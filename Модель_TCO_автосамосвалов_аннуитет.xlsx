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Методика" sheetId="1" state="visible" r:id="rId1"/>
    <sheet name="Дашборд" sheetId="2" state="visible" r:id="rId2"/>
    <sheet name="Параметры" sheetId="3" state="visible" r:id="rId3"/>
    <sheet name="Ввод данных" sheetId="4" state="visible" r:id="rId4"/>
    <sheet name="Поставщик 1" sheetId="5" state="visible" r:id="rId5"/>
    <sheet name="Поставщик 2" sheetId="6" state="visible" r:id="rId6"/>
    <sheet name="Поставщик 3" sheetId="7" state="visible" r:id="rId7"/>
    <sheet name="Поставщик 4" sheetId="8" state="visible" r:id="rId8"/>
    <sheet name="Поставщик 5" sheetId="9" state="visible" r:id="rId9"/>
    <sheet name="Поставщик 6" sheetId="10" state="visible" r:id="rId10"/>
    <sheet name="Данные по годам" sheetId="11" state="visible" r:id="rId11"/>
    <sheet name="Производительность" sheetId="12" state="visible" r:id="rId12"/>
    <sheet name="Денежный поток" sheetId="13" state="visible" r:id="rId13"/>
    <sheet name="Расчёт аннуитета" sheetId="14" state="visible" r:id="rId14"/>
    <sheet name="Сравнение" sheetId="15" state="visible" r:id="rId15"/>
    <sheet name="Аналитика" sheetId="16" state="visible" r:id="rId16"/>
    <sheet name="Чувствительность" sheetId="17" state="visible" r:id="rId17"/>
    <sheet name="Справочник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0"/>
    <numFmt numFmtId="166" formatCode="#,##0.0"/>
  </numFmts>
  <fonts count="20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FFFFFF"/>
      <sz val="10"/>
    </font>
    <font>
      <b val="1"/>
      <color rgb="00FFFFFF"/>
      <sz val="11"/>
    </font>
    <font>
      <b val="1"/>
      <color rgb="001F3864"/>
      <sz val="9"/>
    </font>
    <font>
      <sz val="10"/>
    </font>
    <font>
      <b val="1"/>
      <sz val="10"/>
    </font>
    <font>
      <i val="1"/>
      <color rgb="00808080"/>
      <sz val="8"/>
    </font>
    <font>
      <b val="1"/>
      <color rgb="001F3864"/>
      <sz val="10"/>
    </font>
    <font>
      <b val="1"/>
      <color rgb="00C55A11"/>
      <sz val="9"/>
    </font>
    <font>
      <b val="1"/>
      <color rgb="001F3864"/>
    </font>
    <font>
      <i val="1"/>
      <color rgb="00808080"/>
      <sz val="9"/>
    </font>
    <font>
      <i val="1"/>
      <color rgb="00C55A11"/>
      <sz val="9"/>
    </font>
    <font>
      <b val="1"/>
      <color rgb="001F3864"/>
      <sz val="12"/>
    </font>
    <font>
      <b val="1"/>
      <color rgb="00006100"/>
      <sz val="12"/>
    </font>
    <font>
      <b val="1"/>
      <color rgb="00FFFFFF"/>
      <sz val="9"/>
    </font>
    <font>
      <b val="1"/>
      <color rgb="001F3864"/>
      <sz val="14"/>
    </font>
    <font>
      <b val="1"/>
      <color rgb="00006100"/>
    </font>
    <font>
      <b val="1"/>
      <color rgb="00C55A11"/>
    </font>
    <font>
      <b val="1"/>
      <color rgb="00006100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6DCE5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0" fillId="5" borderId="1" pivotButton="0" quotePrefix="0" xfId="0"/>
    <xf numFmtId="0" fontId="5" fillId="0" borderId="0" pivotButton="0" quotePrefix="0" xfId="0"/>
    <xf numFmtId="0" fontId="0" fillId="6" borderId="1" pivotButton="0" quotePrefix="0" xfId="0"/>
    <xf numFmtId="0" fontId="15" fillId="2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4" fontId="16" fillId="8" borderId="1" applyAlignment="1" pivotButton="0" quotePrefix="0" xfId="0">
      <alignment horizontal="center" vertical="center" wrapText="1"/>
    </xf>
    <xf numFmtId="3" fontId="16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left" vertical="center" wrapText="1"/>
    </xf>
    <xf numFmtId="4" fontId="6" fillId="8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  <xf numFmtId="165" fontId="8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3" fontId="8" fillId="6" borderId="1" applyAlignment="1" pivotButton="0" quotePrefix="0" xfId="0">
      <alignment horizontal="center" vertical="center" wrapText="1"/>
    </xf>
    <xf numFmtId="4" fontId="8" fillId="6" borderId="1" applyAlignment="1" pivotButton="0" quotePrefix="0" xfId="0">
      <alignment horizontal="center" vertical="center" wrapText="1"/>
    </xf>
    <xf numFmtId="4" fontId="5" fillId="5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4" fontId="5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/>
    </xf>
    <xf numFmtId="4" fontId="8" fillId="0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4" fontId="8" fillId="6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4" fontId="6" fillId="6" borderId="1" applyAlignment="1" pivotButton="0" quotePrefix="0" xfId="0">
      <alignment horizontal="right" vertical="center"/>
    </xf>
    <xf numFmtId="0" fontId="6" fillId="0" borderId="1" pivotButton="0" quotePrefix="0" xfId="0"/>
    <xf numFmtId="0" fontId="5" fillId="0" borderId="1" pivotButton="0" quotePrefix="0" xfId="0"/>
    <xf numFmtId="164" fontId="5" fillId="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4" fillId="4" borderId="1" pivotButton="0" quotePrefix="0" xfId="0"/>
    <xf numFmtId="0" fontId="19" fillId="8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8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4" fontId="0" fillId="0" borderId="0" pivotButton="0" quotePrefix="0" xfId="0"/>
    <xf numFmtId="164" fontId="4" fillId="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Общий аннуитет, руб/ткм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'Сравнение'!$D$4:$I$4</f>
            </numRef>
          </cat>
          <val>
            <numRef>
              <f>'Сравнение'!$D$12:$I$12</f>
            </numRef>
          </val>
        </ser>
        <dLbls>
          <numFmt formatCode="0.0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руб/ткм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Траектория аннуитета по годам, руб/ткм</a:t>
            </a:r>
          </a:p>
        </rich>
      </tx>
    </title>
    <plotArea>
      <lineChart>
        <grouping val="standard"/>
        <ser>
          <idx val="0"/>
          <order val="0"/>
          <tx>
            <strRef>
              <f>'Ввод данных'!D$7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поток'!$E$28:$N$28</f>
            </numRef>
          </val>
        </ser>
        <ser>
          <idx val="1"/>
          <order val="1"/>
          <tx>
            <strRef>
              <f>'Ввод данных'!E$7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поток'!$E$50:$N$50</f>
            </numRef>
          </val>
        </ser>
        <ser>
          <idx val="2"/>
          <order val="2"/>
          <tx>
            <strRef>
              <f>'Ввод данных'!F$7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поток'!$E$72:$N$72</f>
            </numRef>
          </val>
        </ser>
        <ser>
          <idx val="3"/>
          <order val="3"/>
          <tx>
            <strRef>
              <f>'Ввод данных'!G$7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поток'!$E$94:$N$94</f>
            </numRef>
          </val>
        </ser>
        <ser>
          <idx val="4"/>
          <order val="4"/>
          <tx>
            <strRef>
              <f>'Ввод данных'!H$7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поток'!$E$116:$N$116</f>
            </numRef>
          </val>
        </ser>
        <ser>
          <idx val="5"/>
          <order val="5"/>
          <tx>
            <strRef>
              <f>'Ввод данных'!I$7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поток'!$E$138:$N$138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Год эксплуатации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руб/ткм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Структура аннуитета, руб/ткм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'Сравнение'!$B$22</f>
            </strRef>
          </tx>
          <spPr>
            <a:ln>
              <a:prstDash val="solid"/>
            </a:ln>
          </spPr>
          <cat>
            <numRef>
              <f>'Сравнение'!$D$21:$I$21</f>
            </numRef>
          </cat>
          <val>
            <numRef>
              <f>'Сравнение'!$D$22:$I$22</f>
            </numRef>
          </val>
        </ser>
        <ser>
          <idx val="1"/>
          <order val="1"/>
          <tx>
            <strRef>
              <f>'Сравнение'!$B$23</f>
            </strRef>
          </tx>
          <spPr>
            <a:ln>
              <a:prstDash val="solid"/>
            </a:ln>
          </spPr>
          <cat>
            <numRef>
              <f>'Сравнение'!$D$21:$I$21</f>
            </numRef>
          </cat>
          <val>
            <numRef>
              <f>'Сравнение'!$D$23:$I$23</f>
            </numRef>
          </val>
        </ser>
        <ser>
          <idx val="2"/>
          <order val="2"/>
          <tx>
            <strRef>
              <f>'Сравнение'!$B$24</f>
            </strRef>
          </tx>
          <spPr>
            <a:ln>
              <a:prstDash val="solid"/>
            </a:ln>
          </spPr>
          <cat>
            <numRef>
              <f>'Сравнение'!$D$21:$I$21</f>
            </numRef>
          </cat>
          <val>
            <numRef>
              <f>'Сравнение'!$D$24:$I$24</f>
            </numRef>
          </val>
        </ser>
        <ser>
          <idx val="3"/>
          <order val="3"/>
          <tx>
            <strRef>
              <f>'Сравнение'!$B$25</f>
            </strRef>
          </tx>
          <spPr>
            <a:ln>
              <a:prstDash val="solid"/>
            </a:ln>
          </spPr>
          <cat>
            <numRef>
              <f>'Сравнение'!$D$21:$I$21</f>
            </numRef>
          </cat>
          <val>
            <numRef>
              <f>'Сравнение'!$D$25:$I$25</f>
            </numRef>
          </val>
        </ser>
        <ser>
          <idx val="4"/>
          <order val="4"/>
          <tx>
            <strRef>
              <f>'Сравнение'!$B$26</f>
            </strRef>
          </tx>
          <spPr>
            <a:ln>
              <a:prstDash val="solid"/>
            </a:ln>
          </spPr>
          <cat>
            <numRef>
              <f>'Сравнение'!$D$21:$I$21</f>
            </numRef>
          </cat>
          <val>
            <numRef>
              <f>'Сравнение'!$D$26:$I$26</f>
            </numRef>
          </val>
        </ser>
        <ser>
          <idx val="5"/>
          <order val="5"/>
          <tx>
            <strRef>
              <f>'Сравнение'!$B$27</f>
            </strRef>
          </tx>
          <spPr>
            <a:ln>
              <a:prstDash val="solid"/>
            </a:ln>
          </spPr>
          <cat>
            <numRef>
              <f>'Сравнение'!$D$21:$I$21</f>
            </numRef>
          </cat>
          <val>
            <numRef>
              <f>'Сравнение'!$D$27:$I$27</f>
            </numRef>
          </val>
        </ser>
        <ser>
          <idx val="6"/>
          <order val="6"/>
          <tx>
            <strRef>
              <f>'Сравнение'!$B$28</f>
            </strRef>
          </tx>
          <spPr>
            <a:ln>
              <a:prstDash val="solid"/>
            </a:ln>
          </spPr>
          <cat>
            <numRef>
              <f>'Сравнение'!$D$21:$I$21</f>
            </numRef>
          </cat>
          <val>
            <numRef>
              <f>'Сравнение'!$D$28:$I$28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руб/ткм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Общий аннуитет, руб/ткм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'Сравнение'!$D$4:$I$4</f>
            </numRef>
          </cat>
          <val>
            <numRef>
              <f>'Сравнение'!$D$12:$I$12</f>
            </numRef>
          </val>
        </ser>
        <dLbls>
          <numFmt formatCode="0.0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руб/ткм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Стоимость самосвала, тыс.руб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'Сравнение'!$D$4:$I$4</f>
            </numRef>
          </cat>
          <val>
            <numRef>
              <f>'Сравнение'!$D$5:$I$5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Аннуитет vs производительность</a:t>
            </a:r>
          </a:p>
        </rich>
      </tx>
    </title>
    <plotArea>
      <scatterChart>
        <ser>
          <idx val="0"/>
          <order val="0"/>
          <tx>
            <v>варианты</v>
          </tx>
          <spPr>
            <a:ln>
              <a:noFill/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xVal>
            <numRef>
              <f>'Аналитика'!$D$7:$I$7</f>
            </numRef>
          </xVal>
          <yVal>
            <numRef>
              <f>'Аналитика'!$D$9:$I$9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Годовой грузооборот, тыс.ткм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Аннуитет, руб/ткм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Диапазон риска аннуитета, руб/ткм</a:t>
            </a:r>
          </a:p>
        </rich>
      </tx>
    </title>
    <plotArea>
      <barChart>
        <barDir val="col"/>
        <grouping val="clustered"/>
        <ser>
          <idx val="0"/>
          <order val="0"/>
          <tx>
            <v>оптимистичный</v>
          </tx>
          <spPr>
            <a:ln>
              <a:prstDash val="solid"/>
            </a:ln>
          </spPr>
          <cat>
            <numRef>
              <f>'Аналитика'!$D$4:$I$4</f>
            </numRef>
          </cat>
          <val>
            <numRef>
              <f>'Аналитика'!$D$24:$I$24</f>
            </numRef>
          </val>
        </ser>
        <ser>
          <idx val="1"/>
          <order val="1"/>
          <tx>
            <v>базовый</v>
          </tx>
          <spPr>
            <a:ln>
              <a:prstDash val="solid"/>
            </a:ln>
          </spPr>
          <cat>
            <numRef>
              <f>'Аналитика'!$D$4:$I$4</f>
            </numRef>
          </cat>
          <val>
            <numRef>
              <f>'Аналитика'!$D$25:$I$25</f>
            </numRef>
          </val>
        </ser>
        <ser>
          <idx val="2"/>
          <order val="2"/>
          <tx>
            <v>пессимистичный</v>
          </tx>
          <spPr>
            <a:ln>
              <a:prstDash val="solid"/>
            </a:ln>
          </spPr>
          <cat>
            <numRef>
              <f>'Аналитика'!$D$4:$I$4</f>
            </numRef>
          </cat>
          <val>
            <numRef>
              <f>'Аналитика'!$D$26:$I$26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руб/ткм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Торнадо: отклонение аннуитета, руб/ткм</a:t>
            </a:r>
          </a:p>
        </rich>
      </tx>
    </title>
    <plotArea>
      <barChart>
        <barDir val="bar"/>
        <grouping val="stacked"/>
        <ser>
          <idx val="0"/>
          <order val="0"/>
          <spPr>
            <a:solidFill>
              <a:srgbClr val="70AD47"/>
            </a:solidFill>
            <a:ln>
              <a:prstDash val="solid"/>
            </a:ln>
          </spPr>
          <cat>
            <numRef>
              <f>'Чувствительность'!$B$19:$B$22</f>
            </numRef>
          </cat>
          <val>
            <numRef>
              <f>'Чувствительность'!$I$19:$I$22</f>
            </numRef>
          </val>
        </ser>
        <ser>
          <idx val="1"/>
          <order val="1"/>
          <spPr>
            <a:solidFill>
              <a:srgbClr val="C55A11"/>
            </a:solidFill>
            <a:ln>
              <a:prstDash val="solid"/>
            </a:ln>
          </spPr>
          <cat>
            <numRef>
              <f>'Чувствительность'!$B$19:$B$22</f>
            </numRef>
          </cat>
          <val>
            <numRef>
              <f>'Чувствительность'!$J$19:$J$22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22</row>
      <rowOff>0</rowOff>
    </from>
    <ext cx="39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22</row>
      <rowOff>0</rowOff>
    </from>
    <ext cx="39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21</row>
      <rowOff>0</rowOff>
    </from>
    <ext cx="46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5</row>
      <rowOff>0</rowOff>
    </from>
    <ext cx="540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122" customWidth="1" min="3" max="3"/>
  </cols>
  <sheetData>
    <row r="1">
      <c r="B1" s="1" t="inlineStr">
        <is>
          <t>МЕТОДИКА: АННУИТЕТ ЗАТРАТ (РУБ/ТКМ) НА ВЛАДЕНИЕ АВТОСАМОСВАЛАМИ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Пост-налоговый погодовой дисконтированный аннуитет жизненного цикла.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4" t="n"/>
      <c r="C4" s="5" t="inlineStr">
        <is>
          <t>1. НАЗНАЧЕНИЕ</t>
        </is>
      </c>
    </row>
    <row r="5" ht="50" customHeight="1">
      <c r="C5" s="6" t="inlineStr">
        <is>
          <t>Экономическое сравнение карьерных автосамосвалов одного класса по удельному аннуитету затрат (руб/ткм грузооборота, а также руб/т перевезённой массы) за полный срок эксплуатации. Метрика корректно сопоставляет самосвалы с разной ценой, грузоподъёмностью и производительностью. Лучший вариант — минимум руб/ткм.</t>
        </is>
      </c>
    </row>
    <row r="6">
      <c r="B6" s="4" t="n"/>
      <c r="C6" s="5" t="inlineStr">
        <is>
          <t>2. ПРОИЗВОДИТЕЛЬНОСТЬ (транспортный цикл из файла «Производительность»)</t>
        </is>
      </c>
    </row>
    <row r="7" ht="70" customHeight="1">
      <c r="C7" s="6" t="inlineStr">
        <is>
          <t>Время рейса = (подход + погрузка + разгрузка + прочее) + время движения; время движения = 2 × плечо / скорость × 60 (гружёный + порожний ход). Рейсов/час = 60 / время рейса. Часовая производительность (т/эфф.час) = рейсов/час × грузоподъёмность × КИГ. КИО = КТГ × (1 − простои_смены/(60 × смена)); эффективное время = КФВ × КИО. Годовой объём (тыс.т) = часовая × эффективное время; грузооборот (тыс.ткм) = объём × плечо; пробег = рейсы × 2 × плечо.</t>
        </is>
      </c>
    </row>
    <row r="8">
      <c r="B8" s="4" t="n"/>
      <c r="C8" s="5" t="inlineStr">
        <is>
          <t>3. ПОГОДОВОЙ ДЕНЕЖНЫЙ ПОТОК (10 лет)</t>
        </is>
      </c>
    </row>
    <row r="9" ht="65" customHeight="1">
      <c r="C9" s="6" t="inlineStr">
        <is>
          <t>Для каждого года считаются: топливо (грузооборот × г/ткм × цена), ТОиР и сервис (задаются ПО ГОДАМ на листах «Поставщик N» — ТО, текущие и капитальные ремонты; годы капремонтов дают всплеск затрат), шины (пробег × удельный расход × цена), персонал, транспортный налог. Добавляются амортизация (НУ) и налог на прибыль (щит). Операционный поток = база + налог − амортизация. Инвестиции — в год 0, остаточная стоимость — в конце срока.</t>
        </is>
      </c>
    </row>
    <row r="10">
      <c r="B10" s="4" t="n"/>
      <c r="C10" s="5" t="inlineStr">
        <is>
          <t>4. АННУИТЕТ (ЯДРО)</t>
        </is>
      </c>
    </row>
    <row r="11" ht="65" customHeight="1">
      <c r="C11" s="6" t="inlineStr">
        <is>
          <t>Потоки дисконтируются и преобразуются в эквивалентный годовой платёж: Аннуитет = NPV затрат / Σ(дисконт-факторов). Инвестиционный аннуитет = (Цена − дисконт. остаточная стоимость) / Σ(дисконт-факторов). Операционный аннуитет — приведённые эксплуатационные затраты после налога. Общий = инвестиционный + операционный. Удельный аннуитет (руб/ткм) = общий аннуитет / средний годовой грузооборот; руб/т = руб/ткм × плечо.</t>
        </is>
      </c>
    </row>
    <row r="12">
      <c r="B12" s="4" t="n"/>
      <c r="C12" s="5" t="inlineStr">
        <is>
          <t>5. ПОРЯДОК РАБОТЫ</t>
        </is>
      </c>
    </row>
    <row r="13" ht="70" customHeight="1">
      <c r="C13" s="6" t="inlineStr">
        <is>
          <t>«Параметры» → «Ввод данных» (цена, грузоподъёмность, мощность двигателя, персонал) → листы «Поставщик 1…6»: по каждой машине задаются КТГ, простои и затраты ТОиР по годам — КТГ и ИТОГО ТОиР считаются автоматически. Сводка «Данные по годам» тянет итоги сама → авторасчёт «Производительность», «Денежный поток», «Расчёт аннуитета» → «Дашборд», «Сравнение», «Аналитика», «Чувствительность». Правки — в листах «Поставщик N» и «Ввод данных».</t>
        </is>
      </c>
    </row>
    <row r="14">
      <c r="B14" s="4" t="n"/>
      <c r="C14" s="5" t="inlineStr">
        <is>
          <t>6. ДОПУЩЕНИЯ</t>
        </is>
      </c>
    </row>
    <row r="15">
      <c r="C15" s="6" t="inlineStr">
        <is>
          <t>• Самосвалы сравниваются в одном классе и одной задаче; разница в производительности учтена через руб/ткм и руб/т.</t>
        </is>
      </c>
    </row>
    <row r="16">
      <c r="C16" s="6" t="inlineStr">
        <is>
          <t>• Данные примера — «в расчёте» из корпоративного файла 000_БСЛ-2027. Автосамосвалы (карьер «Сухой Лог»), горизонт 10 лет.</t>
        </is>
      </c>
    </row>
    <row r="17">
      <c r="C17" s="6" t="inlineStr">
        <is>
          <t>• Цена самосвалов в файле поставщика не указана — подставлена ОЦЕНКА, требует уточнения (жёлтые ячейки «Ввод данных»).</t>
        </is>
      </c>
    </row>
    <row r="18" ht="30" customHeight="1">
      <c r="C18" s="6" t="inlineStr">
        <is>
          <t>• Расход топлива (г/ткм), шины и КИГ — общие параметры; уточняются по данным поставщика/факту эксплуатации.</t>
        </is>
      </c>
    </row>
    <row r="20">
      <c r="C20" s="7" t="inlineStr">
        <is>
          <t>Обозначения:</t>
        </is>
      </c>
    </row>
    <row r="21">
      <c r="B21" s="8" t="n"/>
      <c r="C21" s="9" t="inlineStr">
        <is>
          <t>жёлтые ячейки — ввод данных</t>
        </is>
      </c>
    </row>
    <row r="22">
      <c r="B22" s="10" t="n"/>
      <c r="C22" s="9" t="inlineStr">
        <is>
          <t>зелёные ячейки — итоговые показатели / лучший вариант</t>
        </is>
      </c>
    </row>
  </sheetData>
  <mergeCells count="2">
    <mergeCell ref="B1:K1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N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2" customWidth="1" min="4" max="4"/>
    <col width="22" customWidth="1" min="5" max="5"/>
    <col width="6" customWidth="1" min="6" max="6"/>
    <col width="13" customWidth="1" min="7" max="7"/>
    <col width="13" customWidth="1" min="8" max="8"/>
    <col width="15" customWidth="1" min="9" max="9"/>
    <col width="13" customWidth="1" min="10" max="10"/>
  </cols>
  <sheetData>
    <row r="1">
      <c r="B1" s="1" t="inlineStr">
        <is>
          <t>ИТОГОВЫЙ ДАШБОРД — СРАВНЕНИЕ АВТОСАМОСВАЛОВ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Ключевые показатели и графики. Данные обновляются автоматически.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5" t="inlineStr">
        <is>
          <t>КЛЮЧЕВЫЕ ПОКАЗАТЕЛИ</t>
        </is>
      </c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B5" s="11" t="inlineStr">
        <is>
          <t>Лучший вариант</t>
        </is>
      </c>
      <c r="C5" s="11" t="inlineStr">
        <is>
          <t>Мин. аннуитет, руб/ткм</t>
        </is>
      </c>
      <c r="D5" s="11" t="inlineStr">
        <is>
          <t>Мин. NPV владения, тыс.руб</t>
        </is>
      </c>
      <c r="E5" s="11" t="inlineStr">
        <is>
          <t>Разброс аннуитета, руб/ткм</t>
        </is>
      </c>
    </row>
    <row r="6">
      <c r="B6" s="12" t="str">
        <f>INDEX('Ввод данных'!D7:I7,MATCH(MIN('Расчёт аннуитета'!D26:I26),'Расчёт аннуитета'!D26:I26,0))</f>
        <v>NHL NTE 240</v>
      </c>
      <c r="C6" s="13">
        <f>MIN('Расчёт аннуитета'!D26:I26)</f>
        <v>12.046304484372927</v>
      </c>
      <c r="D6" s="14">
        <f>MIN('Расчёт аннуитета'!D14:I14)</f>
        <v>784177.6188145537</v>
      </c>
      <c r="E6" s="13">
        <f>MAX('Расчёт аннуитета'!D26:I26)-MIN('Расчёт аннуитета'!D26:I26)</f>
        <v>5.29039697634664</v>
      </c>
    </row>
    <row r="8">
      <c r="B8" s="5" t="inlineStr">
        <is>
          <t>РЕЙТИНГ ПО УДЕЛЬНОМУ АННУИТЕТУ (руб/ткм)</t>
        </is>
      </c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B9" s="15" t="inlineStr">
        <is>
          <t>Место</t>
        </is>
      </c>
      <c r="C9" s="15" t="inlineStr">
        <is>
          <t>Автосамосвал</t>
        </is>
      </c>
      <c r="D9" s="16" t="n"/>
      <c r="E9" s="16" t="n"/>
      <c r="F9" s="17" t="n"/>
      <c r="G9" s="15" t="inlineStr">
        <is>
          <t>руб/ткм</t>
        </is>
      </c>
      <c r="H9" s="17" t="n"/>
      <c r="I9" s="15" t="inlineStr">
        <is>
          <t>руб/т</t>
        </is>
      </c>
    </row>
    <row r="10">
      <c r="B10" s="18" t="n">
        <v>1</v>
      </c>
      <c r="C10" s="19" t="str">
        <f>INDEX('Ввод данных'!D7:I7,MATCH(SMALL('Расчёт аннуитета'!D26:I26,1),'Расчёт аннуитета'!D26:I26,0))</f>
        <v>NHL NTE 240</v>
      </c>
      <c r="G10" s="20">
        <f>SMALL('Расчёт аннуитета'!D26:I26,1)</f>
        <v>12.046304484372927</v>
      </c>
      <c r="I10" s="21">
        <f>INDEX('Расчёт аннуитета'!$D$28:$I$28,MATCH(SMALL('Расчёт аннуитета'!D26:I26,1),'Расчёт аннуитета'!D26:I26,0))</f>
        <v>36.61594711069995</v>
      </c>
    </row>
    <row r="11">
      <c r="B11" s="18" t="n">
        <v>2</v>
      </c>
      <c r="C11" s="22" t="str">
        <f>INDEX('Ввод данных'!D7:I7,MATCH(SMALL('Расчёт аннуитета'!D26:I26,2),'Расчёт аннуитета'!D26:I26,0))</f>
        <v>SANY SET240S</v>
      </c>
      <c r="G11" s="21">
        <f>SMALL('Расчёт аннуитета'!D26:I26,2)</f>
        <v>14.02617021866486</v>
      </c>
      <c r="I11" s="21">
        <f>INDEX('Расчёт аннуитета'!$D$28:$I$28,MATCH(SMALL('Расчёт аннуитета'!D26:I26,2),'Расчёт аннуитета'!D26:I26,0))</f>
        <v>42.633946996653705</v>
      </c>
    </row>
    <row r="12">
      <c r="B12" s="18" t="n">
        <v>3</v>
      </c>
      <c r="C12" s="22" t="str">
        <f>INDEX('Ввод данных'!D7:I7,MATCH(SMALL('Расчёт аннуитета'!D26:I26,3),'Расчёт аннуитета'!D26:I26,0))</f>
        <v>БелАЗ 7531
(БТЛ)</v>
      </c>
      <c r="G12" s="21">
        <f>SMALL('Расчёт аннуитета'!D26:I26,3)</f>
        <v>14.09582018136366</v>
      </c>
      <c r="I12" s="21">
        <f>INDEX('Расчёт аннуитета'!$D$28:$I$28,MATCH(SMALL('Расчёт аннуитета'!D26:I26,3),'Расчёт аннуитета'!D26:I26,0))</f>
        <v>42.84565502327298</v>
      </c>
    </row>
    <row r="13">
      <c r="B13" s="18" t="n">
        <v>4</v>
      </c>
      <c r="C13" s="22" t="str">
        <f>INDEX('Ввод данных'!D7:I7,MATCH(SMALL('Расчёт аннуитета'!D26:I26,4),'Расчёт аннуитета'!D26:I26,0))</f>
        <v>БелАЗ 7531
(ГПФК)</v>
      </c>
      <c r="G13" s="21">
        <f>SMALL('Расчёт аннуитета'!D26:I26,4)</f>
        <v>14.372984125005184</v>
      </c>
      <c r="I13" s="21">
        <f>INDEX('Расчёт аннуитета'!$D$28:$I$28,MATCH(SMALL('Расчёт аннуитета'!D26:I26,4),'Расчёт аннуитета'!D26:I26,0))</f>
        <v>43.688122546365754</v>
      </c>
    </row>
    <row r="14">
      <c r="B14" s="18" t="n">
        <v>5</v>
      </c>
      <c r="C14" s="22" t="str">
        <f>INDEX('Ввод данных'!D7:I7,MATCH(SMALL('Расчёт аннуитета'!D26:I26,5),'Расчёт аннуитета'!D26:I26,0))</f>
        <v>TZCO TZE240</v>
      </c>
      <c r="G14" s="21">
        <f>SMALL('Расчёт аннуитета'!D26:I26,5)</f>
        <v>16.119302620810195</v>
      </c>
      <c r="I14" s="21">
        <f>INDEX('Расчёт аннуитета'!$D$28:$I$28,MATCH(SMALL('Расчёт аннуитета'!D26:I26,5),'Расчёт аннуитета'!D26:I26,0))</f>
        <v>48.996232246214674</v>
      </c>
    </row>
    <row r="15">
      <c r="B15" s="18" t="n">
        <v>6</v>
      </c>
      <c r="C15" s="22" t="str">
        <f>INDEX('Ввод данных'!D7:I7,MATCH(SMALL('Расчёт аннуитета'!D26:I26,6),'Расчёт аннуитета'!D26:I26,0))</f>
        <v>Estar ESDE240
(ГПБ К)</v>
      </c>
      <c r="G15" s="21">
        <f>SMALL('Расчёт аннуитета'!D26:I26,6)</f>
        <v>17.336701460719567</v>
      </c>
      <c r="I15" s="21">
        <f>INDEX('Расчёт аннуитета'!$D$28:$I$28,MATCH(SMALL('Расчёт аннуитета'!D26:I26,6),'Расчёт аннуитета'!D26:I26,0))</f>
        <v>52.6966377600032</v>
      </c>
    </row>
  </sheetData>
  <mergeCells count="18">
    <mergeCell ref="C13:F13"/>
    <mergeCell ref="C9:F9"/>
    <mergeCell ref="G12:H12"/>
    <mergeCell ref="B1:N1"/>
    <mergeCell ref="C14:F14"/>
    <mergeCell ref="G15:H15"/>
    <mergeCell ref="G10:H10"/>
    <mergeCell ref="G11:H11"/>
    <mergeCell ref="C12:F12"/>
    <mergeCell ref="B8:J8"/>
    <mergeCell ref="G14:H14"/>
    <mergeCell ref="B4:J4"/>
    <mergeCell ref="C11:F11"/>
    <mergeCell ref="C10:F10"/>
    <mergeCell ref="G9:H9"/>
    <mergeCell ref="C15:F15"/>
    <mergeCell ref="B2:N2"/>
    <mergeCell ref="G13:H1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4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13" customWidth="1" min="3" max="3"/>
    <col width="12" customWidth="1" min="4" max="4"/>
    <col width="54" customWidth="1" min="5" max="5"/>
  </cols>
  <sheetData>
    <row r="1">
      <c r="B1" s="1" t="inlineStr">
        <is>
          <t>ГЛОБАЛЬНЫЕ ПАРАМЕТРЫ МОДЕЛИ</t>
        </is>
      </c>
      <c r="C1" s="2" t="n"/>
      <c r="D1" s="2" t="n"/>
      <c r="E1" s="2" t="n"/>
      <c r="F1" s="2" t="n"/>
    </row>
    <row r="2">
      <c r="B2" s="3" t="inlineStr">
        <is>
          <t>Единые допущения для всех вариантов. Жёлтые ячейки — ввод.</t>
        </is>
      </c>
      <c r="C2" s="2" t="n"/>
      <c r="D2" s="2" t="n"/>
      <c r="E2" s="2" t="n"/>
      <c r="F2" s="2" t="n"/>
    </row>
    <row r="4">
      <c r="B4" s="5" t="inlineStr">
        <is>
          <t>Финансовые допущения</t>
        </is>
      </c>
      <c r="C4" s="4" t="n"/>
      <c r="D4" s="4" t="n"/>
      <c r="E4" s="4" t="n"/>
    </row>
    <row r="5">
      <c r="B5" s="15" t="inlineStr">
        <is>
          <t>Параметр</t>
        </is>
      </c>
      <c r="C5" s="15" t="inlineStr">
        <is>
          <t>Значение</t>
        </is>
      </c>
      <c r="D5" s="15" t="inlineStr">
        <is>
          <t>Ед.</t>
        </is>
      </c>
      <c r="E5" s="15" t="inlineStr">
        <is>
          <t>Комментарий</t>
        </is>
      </c>
    </row>
    <row r="6">
      <c r="B6" s="22" t="inlineStr">
        <is>
          <t>Ставка дисконтирования (WACC)</t>
        </is>
      </c>
      <c r="C6" s="23" t="n">
        <v>0.12</v>
      </c>
      <c r="D6" s="24" t="inlineStr">
        <is>
          <t>%/год</t>
        </is>
      </c>
      <c r="E6" s="25" t="inlineStr">
        <is>
          <t>Стоимость капитала для приведения к текущей стоимости</t>
        </is>
      </c>
    </row>
    <row r="7">
      <c r="B7" s="22" t="inlineStr">
        <is>
          <t>Налог на прибыль</t>
        </is>
      </c>
      <c r="C7" s="23" t="n">
        <v>0.25</v>
      </c>
      <c r="D7" s="24" t="inlineStr">
        <is>
          <t>%</t>
        </is>
      </c>
      <c r="E7" s="25" t="inlineStr">
        <is>
          <t>Формирует налоговый щит на затраты и амортизацию</t>
        </is>
      </c>
    </row>
    <row r="8">
      <c r="B8" s="22" t="inlineStr">
        <is>
          <t>Срок эксплуатации (горизонт)</t>
        </is>
      </c>
      <c r="C8" s="26" t="n">
        <v>10</v>
      </c>
      <c r="D8" s="24" t="inlineStr">
        <is>
          <t>лет</t>
        </is>
      </c>
      <c r="E8" s="25" t="inlineStr">
        <is>
          <t>Фиксирован = 10 лет в погодовом движке</t>
        </is>
      </c>
    </row>
    <row r="9">
      <c r="B9" s="22" t="inlineStr">
        <is>
          <t>Срок амортизации (налоговый учёт)</t>
        </is>
      </c>
      <c r="C9" s="27" t="n">
        <v>5.083</v>
      </c>
      <c r="D9" s="24" t="inlineStr">
        <is>
          <t>лет</t>
        </is>
      </c>
      <c r="E9" s="25" t="inlineStr">
        <is>
          <t>Линейная; 61 мес ≈ 5,08 года</t>
        </is>
      </c>
    </row>
    <row r="10">
      <c r="B10" s="22" t="inlineStr">
        <is>
          <t>Цена дизельного топлива</t>
        </is>
      </c>
      <c r="C10" s="28" t="n">
        <v>66.01900000000001</v>
      </c>
      <c r="D10" s="24" t="inlineStr">
        <is>
          <t>тыс.руб/т</t>
        </is>
      </c>
      <c r="E10" s="25" t="inlineStr">
        <is>
          <t>СЛ 2025: 1 274 749,9 тыс.руб / 19 308,86 т</t>
        </is>
      </c>
    </row>
    <row r="12">
      <c r="B12" s="5" t="inlineStr">
        <is>
          <t>Эскалация цен (реальный/номинальный рост)</t>
        </is>
      </c>
      <c r="C12" s="4" t="n"/>
      <c r="D12" s="4" t="n"/>
      <c r="E12" s="4" t="n"/>
    </row>
    <row r="13">
      <c r="B13" s="15" t="inlineStr">
        <is>
          <t>Параметр</t>
        </is>
      </c>
      <c r="C13" s="15" t="inlineStr">
        <is>
          <t>Значение</t>
        </is>
      </c>
      <c r="D13" s="15" t="inlineStr">
        <is>
          <t>Ед.</t>
        </is>
      </c>
      <c r="E13" s="15" t="inlineStr">
        <is>
          <t>Комментарий</t>
        </is>
      </c>
    </row>
    <row r="14">
      <c r="B14" s="22" t="inlineStr">
        <is>
          <t>Эскалация цены топлива</t>
        </is>
      </c>
      <c r="C14" s="23" t="n">
        <v>0</v>
      </c>
      <c r="D14" s="24" t="inlineStr">
        <is>
          <t>%/год</t>
        </is>
      </c>
      <c r="E14" s="25" t="inlineStr">
        <is>
          <t>0 = данные уже с учётом инфляции</t>
        </is>
      </c>
    </row>
    <row r="15">
      <c r="B15" s="22" t="inlineStr">
        <is>
          <t>Эскалация ЗЧ/шин/расходников</t>
        </is>
      </c>
      <c r="C15" s="23" t="n">
        <v>0</v>
      </c>
      <c r="D15" s="24" t="inlineStr">
        <is>
          <t>%/год</t>
        </is>
      </c>
      <c r="E15" s="25" t="inlineStr">
        <is>
          <t>ТОиР задаётся по годам напрямую</t>
        </is>
      </c>
    </row>
    <row r="16">
      <c r="B16" s="22" t="inlineStr">
        <is>
          <t>Эскалация оплаты труда</t>
        </is>
      </c>
      <c r="C16" s="23" t="n">
        <v>0</v>
      </c>
      <c r="D16" s="24" t="inlineStr">
        <is>
          <t>%/год</t>
        </is>
      </c>
      <c r="E16" s="25" t="inlineStr">
        <is>
          <t>Рост ФОТ экипажей</t>
        </is>
      </c>
    </row>
    <row r="18">
      <c r="B18" s="5" t="inlineStr">
        <is>
          <t>Курсы валют</t>
        </is>
      </c>
      <c r="C18" s="4" t="n"/>
      <c r="D18" s="4" t="n"/>
      <c r="E18" s="4" t="n"/>
    </row>
    <row r="19">
      <c r="B19" s="15" t="inlineStr">
        <is>
          <t>Параметр</t>
        </is>
      </c>
      <c r="C19" s="15" t="inlineStr">
        <is>
          <t>Значение</t>
        </is>
      </c>
      <c r="D19" s="15" t="inlineStr">
        <is>
          <t>Ед.</t>
        </is>
      </c>
      <c r="E19" s="15" t="inlineStr">
        <is>
          <t>Комментарий</t>
        </is>
      </c>
    </row>
    <row r="20">
      <c r="B20" s="22" t="inlineStr">
        <is>
          <t>Курс юаня (CNY)</t>
        </is>
      </c>
      <c r="C20" s="28" t="n">
        <v>12.7702</v>
      </c>
      <c r="D20" s="24" t="inlineStr">
        <is>
          <t>руб</t>
        </is>
      </c>
      <c r="E20" s="25" t="inlineStr">
        <is>
          <t>Для оборудования из Китая</t>
        </is>
      </c>
    </row>
    <row r="21">
      <c r="B21" s="22" t="inlineStr">
        <is>
          <t>Курс доллара (USD)</t>
        </is>
      </c>
      <c r="C21" s="28" t="n">
        <v>94.0485</v>
      </c>
      <c r="D21" s="24" t="inlineStr">
        <is>
          <t>руб</t>
        </is>
      </c>
      <c r="E21" s="25" t="inlineStr"/>
    </row>
    <row r="22">
      <c r="B22" s="22" t="inlineStr">
        <is>
          <t>Курс евро (EUR)</t>
        </is>
      </c>
      <c r="C22" s="28" t="n">
        <v>100</v>
      </c>
      <c r="D22" s="24" t="inlineStr">
        <is>
          <t>руб</t>
        </is>
      </c>
      <c r="E22" s="25" t="inlineStr"/>
    </row>
    <row r="24">
      <c r="B24" s="5" t="inlineStr">
        <is>
          <t>Параметры производительности (транспортный цикл)</t>
        </is>
      </c>
      <c r="C24" s="4" t="n"/>
      <c r="D24" s="4" t="n"/>
      <c r="E24" s="4" t="n"/>
    </row>
    <row r="25">
      <c r="B25" s="15" t="inlineStr">
        <is>
          <t>Параметр</t>
        </is>
      </c>
      <c r="C25" s="15" t="inlineStr">
        <is>
          <t>Значение</t>
        </is>
      </c>
      <c r="D25" s="15" t="inlineStr">
        <is>
          <t>Ед.</t>
        </is>
      </c>
      <c r="E25" s="15" t="inlineStr">
        <is>
          <t>Комментарий</t>
        </is>
      </c>
    </row>
    <row r="26">
      <c r="B26" s="22" t="inlineStr">
        <is>
          <t>Календарный фонд времени</t>
        </is>
      </c>
      <c r="C26" s="26" t="n">
        <v>8760</v>
      </c>
      <c r="D26" s="24" t="inlineStr">
        <is>
          <t>час/год</t>
        </is>
      </c>
      <c r="E26" s="25" t="inlineStr">
        <is>
          <t>24 ч × 365 дн</t>
        </is>
      </c>
    </row>
    <row r="27">
      <c r="B27" s="22" t="inlineStr">
        <is>
          <t>Длительность смены</t>
        </is>
      </c>
      <c r="C27" s="26" t="n">
        <v>12</v>
      </c>
      <c r="D27" s="24" t="inlineStr">
        <is>
          <t>час</t>
        </is>
      </c>
      <c r="E27" s="25" t="inlineStr">
        <is>
          <t>Для пересчёта простоев</t>
        </is>
      </c>
    </row>
    <row r="28">
      <c r="B28" s="22" t="inlineStr">
        <is>
          <t>Расстояние транспортировки (плечо)</t>
        </is>
      </c>
      <c r="C28" s="28" t="n">
        <v>3.0396</v>
      </c>
      <c r="D28" s="24" t="inlineStr">
        <is>
          <t>км</t>
        </is>
      </c>
      <c r="E28" s="25" t="inlineStr">
        <is>
          <t>Среднее плечо откатки (гружёный ход)</t>
        </is>
      </c>
    </row>
    <row r="29">
      <c r="B29" s="22" t="inlineStr">
        <is>
          <t>Средняя техническая скорость</t>
        </is>
      </c>
      <c r="C29" s="27" t="n">
        <v>22.46</v>
      </c>
      <c r="D29" s="24" t="inlineStr">
        <is>
          <t>км/час</t>
        </is>
      </c>
      <c r="E29" s="25" t="inlineStr">
        <is>
          <t>С учётом профиля трассы</t>
        </is>
      </c>
    </row>
    <row r="30">
      <c r="B30" s="22" t="inlineStr">
        <is>
          <t>КИГ (использование грузоподъёмности)</t>
        </is>
      </c>
      <c r="C30" s="28" t="n">
        <v>0.9837</v>
      </c>
      <c r="D30" s="24" t="inlineStr">
        <is>
          <t>коэф.</t>
        </is>
      </c>
      <c r="E30" s="25" t="inlineStr">
        <is>
          <t>Доля номинальной грузоподъёмности (факт NTE)</t>
        </is>
      </c>
    </row>
    <row r="31">
      <c r="B31" s="22" t="inlineStr">
        <is>
          <t>Фикс. время рейса (подход+погр+разгр+прочее)</t>
        </is>
      </c>
      <c r="C31" s="29" t="n">
        <v>8.4</v>
      </c>
      <c r="D31" s="24" t="inlineStr">
        <is>
          <t>мин</t>
        </is>
      </c>
      <c r="E31" s="25" t="inlineStr">
        <is>
          <t>Подход/погрузка/разгрузка 7,9 + прочие 0,5</t>
        </is>
      </c>
    </row>
    <row r="32">
      <c r="B32" s="22" t="inlineStr">
        <is>
          <t>Удельный расход топлива</t>
        </is>
      </c>
      <c r="C32" s="26" t="n">
        <v>90</v>
      </c>
      <c r="D32" s="24" t="inlineStr">
        <is>
          <t>г/ткм</t>
        </is>
      </c>
      <c r="E32" s="25" t="inlineStr">
        <is>
          <t>На тонно-километр грузооборота</t>
        </is>
      </c>
    </row>
    <row r="34">
      <c r="B34" s="5" t="inlineStr">
        <is>
          <t>Шины</t>
        </is>
      </c>
      <c r="C34" s="4" t="n"/>
      <c r="D34" s="4" t="n"/>
      <c r="E34" s="4" t="n"/>
    </row>
    <row r="35">
      <c r="B35" s="15" t="inlineStr">
        <is>
          <t>Параметр</t>
        </is>
      </c>
      <c r="C35" s="15" t="inlineStr">
        <is>
          <t>Значение</t>
        </is>
      </c>
      <c r="D35" s="15" t="inlineStr">
        <is>
          <t>Ед.</t>
        </is>
      </c>
      <c r="E35" s="15" t="inlineStr">
        <is>
          <t>Комментарий</t>
        </is>
      </c>
    </row>
    <row r="36">
      <c r="B36" s="22" t="inlineStr">
        <is>
          <t>Удельный расход шин</t>
        </is>
      </c>
      <c r="C36" s="28" t="n">
        <v>0.075</v>
      </c>
      <c r="D36" s="24" t="inlineStr">
        <is>
          <t>шт./тыс.км</t>
        </is>
      </c>
      <c r="E36" s="25" t="inlineStr">
        <is>
          <t>Комплект/износ на пробег</t>
        </is>
      </c>
    </row>
    <row r="37">
      <c r="B37" s="22" t="inlineStr">
        <is>
          <t>Цена шины</t>
        </is>
      </c>
      <c r="C37" s="27" t="n">
        <v>2985.38</v>
      </c>
      <c r="D37" s="24" t="inlineStr">
        <is>
          <t>тыс.руб/шт</t>
        </is>
      </c>
      <c r="E37" s="25" t="inlineStr">
        <is>
          <t>DDP, без НДС (типоразмер 50/80R57 и аналоги)</t>
        </is>
      </c>
    </row>
    <row r="39">
      <c r="B39" s="5" t="inlineStr">
        <is>
          <t>Транспортный налог и персонал</t>
        </is>
      </c>
      <c r="C39" s="4" t="n"/>
      <c r="D39" s="4" t="n"/>
      <c r="E39" s="4" t="n"/>
    </row>
    <row r="40">
      <c r="B40" s="15" t="inlineStr">
        <is>
          <t>Параметр</t>
        </is>
      </c>
      <c r="C40" s="15" t="inlineStr">
        <is>
          <t>Значение</t>
        </is>
      </c>
      <c r="D40" s="15" t="inlineStr">
        <is>
          <t>Ед.</t>
        </is>
      </c>
      <c r="E40" s="15" t="inlineStr">
        <is>
          <t>Комментарий</t>
        </is>
      </c>
    </row>
    <row r="41">
      <c r="B41" s="22" t="inlineStr">
        <is>
          <t>Ставка транспортного налога</t>
        </is>
      </c>
      <c r="C41" s="26" t="n">
        <v>85</v>
      </c>
      <c r="D41" s="24" t="inlineStr">
        <is>
          <t>руб/л.с.</t>
        </is>
      </c>
      <c r="E41" s="25" t="inlineStr">
        <is>
          <t>Иркутская область</t>
        </is>
      </c>
    </row>
    <row r="43">
      <c r="B43" s="5" t="inlineStr">
        <is>
          <t>Расчётные финансовые коэффициенты</t>
        </is>
      </c>
      <c r="C43" s="4" t="n"/>
      <c r="D43" s="4" t="n"/>
      <c r="E43" s="4" t="n"/>
    </row>
    <row r="44">
      <c r="B44" s="15" t="inlineStr">
        <is>
          <t>Параметр</t>
        </is>
      </c>
      <c r="C44" s="15" t="inlineStr">
        <is>
          <t>Значение</t>
        </is>
      </c>
      <c r="D44" s="15" t="inlineStr">
        <is>
          <t>Ед.</t>
        </is>
      </c>
      <c r="E44" s="15" t="inlineStr">
        <is>
          <t>Комментарий</t>
        </is>
      </c>
    </row>
    <row r="45">
      <c r="B45" s="22" t="inlineStr">
        <is>
          <t>Коэф. аннуитета Σдиск.факторов (r, N)</t>
        </is>
      </c>
      <c r="C45" s="30">
        <f>IF('Параметры'!C6=0,'Параметры'!C8,(1-(1+'Параметры'!C6)^-'Параметры'!C8)/'Параметры'!C6)</f>
        <v>5.650223028410867</v>
      </c>
      <c r="D45" s="24" t="inlineStr">
        <is>
          <t>коэф.</t>
        </is>
      </c>
      <c r="E45" s="25" t="inlineStr">
        <is>
          <t>Сумма дисконт-факторов за срок службы</t>
        </is>
      </c>
    </row>
    <row r="46">
      <c r="B46" s="22" t="inlineStr">
        <is>
          <t>Коэф. приведённой амортизации</t>
        </is>
      </c>
      <c r="C46" s="30">
        <f>(1/'Параметры'!C9)*((1-(1+'Параметры'!C6)^-INT('Параметры'!C9))/'Параметры'!C6+('Параметры'!C9-INT('Параметры'!C9))*(1+'Параметры'!C6)^-(INT('Параметры'!C9)+1))</f>
        <v>0.7174555548697079</v>
      </c>
      <c r="D46" s="24" t="inlineStr">
        <is>
          <t>коэф.</t>
        </is>
      </c>
      <c r="E46" s="25" t="inlineStr">
        <is>
          <t>Приведённая амортизация на 1 руб. цены (налог. щит)</t>
        </is>
      </c>
    </row>
    <row r="48">
      <c r="B48" s="7" t="inlineStr">
        <is>
          <t>Легенда:</t>
        </is>
      </c>
      <c r="C48" s="8" t="n"/>
      <c r="D48" s="9" t="inlineStr">
        <is>
          <t>— ввод данных</t>
        </is>
      </c>
    </row>
    <row r="49">
      <c r="C49" s="10" t="n"/>
      <c r="D49" s="9" t="inlineStr">
        <is>
          <t>— расчётные показатели</t>
        </is>
      </c>
    </row>
  </sheetData>
  <mergeCells count="11">
    <mergeCell ref="B18:E18"/>
    <mergeCell ref="B4:E4"/>
    <mergeCell ref="B2:F2"/>
    <mergeCell ref="B43:E43"/>
    <mergeCell ref="B12:E12"/>
    <mergeCell ref="D49:E49"/>
    <mergeCell ref="B39:E39"/>
    <mergeCell ref="B24:E24"/>
    <mergeCell ref="B1:F1"/>
    <mergeCell ref="B34:E34"/>
    <mergeCell ref="D48:E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K2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34" customWidth="1" min="11" max="11"/>
  </cols>
  <sheetData>
    <row r="1">
      <c r="B1" s="1" t="inlineStr">
        <is>
          <t>ВВОД ИСХОДНЫХ ДАННЫХ ПО АВТОСАМОСВАЛАМ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Сравнение до 6 машин одного класса. Пример: самосвалы класса 220–240 т, карьер «Сухой Лог».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inlineStr">
        <is>
          <t>Самосвал 1</t>
        </is>
      </c>
      <c r="E4" s="15" t="inlineStr">
        <is>
          <t>Самосвал 2</t>
        </is>
      </c>
      <c r="F4" s="15" t="inlineStr">
        <is>
          <t>Самосвал 3</t>
        </is>
      </c>
      <c r="G4" s="15" t="inlineStr">
        <is>
          <t>Самосвал 4</t>
        </is>
      </c>
      <c r="H4" s="15" t="inlineStr">
        <is>
          <t>Самосвал 5</t>
        </is>
      </c>
      <c r="I4" s="15" t="inlineStr">
        <is>
          <t>Самосвал 6</t>
        </is>
      </c>
      <c r="K4" s="15" t="inlineStr">
        <is>
          <t>Пояснение</t>
        </is>
      </c>
    </row>
    <row r="6">
      <c r="B6" s="5" t="inlineStr">
        <is>
          <t>A. ИДЕНТИФИКАЦИЯ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B7" s="22" t="inlineStr">
        <is>
          <t>Наименование / модель</t>
        </is>
      </c>
      <c r="C7" s="24" t="inlineStr">
        <is>
          <t>—</t>
        </is>
      </c>
      <c r="D7" s="31" t="inlineStr">
        <is>
          <t>NHL NTE 240</t>
        </is>
      </c>
      <c r="E7" s="31" t="inlineStr">
        <is>
          <t>Estar ESDE240
(ГПБ К)</t>
        </is>
      </c>
      <c r="F7" s="31" t="inlineStr">
        <is>
          <t>SANY SET240S</t>
        </is>
      </c>
      <c r="G7" s="31" t="inlineStr">
        <is>
          <t>TZCO TZE240</t>
        </is>
      </c>
      <c r="H7" s="31" t="inlineStr">
        <is>
          <t>БелАЗ 7531
(ГПФК)</t>
        </is>
      </c>
      <c r="I7" s="31" t="inlineStr">
        <is>
          <t>БелАЗ 7531
(БТЛ)</t>
        </is>
      </c>
      <c r="K7" s="25" t="inlineStr">
        <is>
          <t>Название варианта</t>
        </is>
      </c>
    </row>
    <row r="8">
      <c r="B8" s="22" t="inlineStr">
        <is>
          <t>Поставщик</t>
        </is>
      </c>
      <c r="C8" s="24" t="inlineStr">
        <is>
          <t>—</t>
        </is>
      </c>
      <c r="D8" s="31" t="inlineStr">
        <is>
          <t>Горная Евразия</t>
        </is>
      </c>
      <c r="E8" s="31" t="inlineStr">
        <is>
          <t>ГПБ</t>
        </is>
      </c>
      <c r="F8" s="31" t="inlineStr">
        <is>
          <t>ИСТК</t>
        </is>
      </c>
      <c r="G8" s="31" t="inlineStr">
        <is>
          <t>ИСТК</t>
        </is>
      </c>
      <c r="H8" s="31" t="inlineStr">
        <is>
          <t>ГПФК</t>
        </is>
      </c>
      <c r="I8" s="31" t="inlineStr">
        <is>
          <t>БТЛ</t>
        </is>
      </c>
      <c r="K8" s="25" t="inlineStr"/>
    </row>
    <row r="9">
      <c r="B9" s="22" t="inlineStr">
        <is>
          <t>Двигатель / привод</t>
        </is>
      </c>
      <c r="C9" s="24" t="inlineStr">
        <is>
          <t>—</t>
        </is>
      </c>
      <c r="D9" s="31" t="inlineStr">
        <is>
          <t>электро (2500 л.с.)</t>
        </is>
      </c>
      <c r="E9" s="31" t="inlineStr">
        <is>
          <t>1864 л.с.</t>
        </is>
      </c>
      <c r="F9" s="31" t="inlineStr">
        <is>
          <t>2843 л.с.</t>
        </is>
      </c>
      <c r="G9" s="31" t="inlineStr">
        <is>
          <t>2500 л.с.</t>
        </is>
      </c>
      <c r="H9" s="31" t="inlineStr">
        <is>
          <t>2535 л.с.</t>
        </is>
      </c>
      <c r="I9" s="31" t="inlineStr">
        <is>
          <t>2535 л.с.</t>
        </is>
      </c>
      <c r="K9" s="25" t="inlineStr"/>
    </row>
    <row r="10">
      <c r="B10" s="5" t="inlineStr">
        <is>
          <t>B. СТОИМОСТЬ И ОСТАТОЧНАЯ ЦЕНА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B11" s="22" t="inlineStr">
        <is>
          <t>Цена за единицу</t>
        </is>
      </c>
      <c r="C11" s="24" t="inlineStr">
        <is>
          <t>тыс.вал.</t>
        </is>
      </c>
      <c r="D11" s="32" t="n">
        <v>20000</v>
      </c>
      <c r="E11" s="32" t="n">
        <v>2800</v>
      </c>
      <c r="F11" s="32" t="n">
        <v>2700</v>
      </c>
      <c r="G11" s="32" t="n">
        <v>2700</v>
      </c>
      <c r="H11" s="32" t="n">
        <v>300000</v>
      </c>
      <c r="I11" s="32" t="n">
        <v>290000</v>
      </c>
      <c r="K11" s="25" t="inlineStr">
        <is>
          <t>⚠ В файле поставщика цена не указана — ОЦЕНКА, уточнить</t>
        </is>
      </c>
    </row>
    <row r="12">
      <c r="B12" s="22" t="inlineStr">
        <is>
          <t>Валюта цены</t>
        </is>
      </c>
      <c r="C12" s="24" t="inlineStr">
        <is>
          <t>—</t>
        </is>
      </c>
      <c r="D12" s="31" t="inlineStr">
        <is>
          <t>CNY</t>
        </is>
      </c>
      <c r="E12" s="31" t="inlineStr">
        <is>
          <t>USD</t>
        </is>
      </c>
      <c r="F12" s="31" t="inlineStr">
        <is>
          <t>USD</t>
        </is>
      </c>
      <c r="G12" s="31" t="inlineStr">
        <is>
          <t>USD</t>
        </is>
      </c>
      <c r="H12" s="31" t="inlineStr">
        <is>
          <t>RUB</t>
        </is>
      </c>
      <c r="I12" s="31" t="inlineStr">
        <is>
          <t>RUB</t>
        </is>
      </c>
      <c r="K12" s="25" t="inlineStr">
        <is>
          <t>CNY / USD / EUR / RUB</t>
        </is>
      </c>
    </row>
    <row r="13">
      <c r="B13" s="22" t="inlineStr">
        <is>
          <t>Доставка, ПНР, шеф-монтаж</t>
        </is>
      </c>
      <c r="C13" s="24" t="inlineStr">
        <is>
          <t>тыс.руб</t>
        </is>
      </c>
      <c r="D13" s="32" t="n">
        <v>0</v>
      </c>
      <c r="E13" s="32" t="n">
        <v>0</v>
      </c>
      <c r="F13" s="32" t="n">
        <v>0</v>
      </c>
      <c r="G13" s="32" t="n">
        <v>0</v>
      </c>
      <c r="H13" s="32" t="n">
        <v>0</v>
      </c>
      <c r="I13" s="32" t="n">
        <v>0</v>
      </c>
      <c r="K13" s="25" t="inlineStr">
        <is>
          <t>Дополнительно к цене</t>
        </is>
      </c>
    </row>
    <row r="14">
      <c r="B14" s="22" t="inlineStr">
        <is>
          <t>Остаточная стоимость</t>
        </is>
      </c>
      <c r="C14" s="24" t="inlineStr">
        <is>
          <t>% от цены</t>
        </is>
      </c>
      <c r="D14" s="33" t="n">
        <v>0</v>
      </c>
      <c r="E14" s="33" t="n">
        <v>0</v>
      </c>
      <c r="F14" s="33" t="n">
        <v>0</v>
      </c>
      <c r="G14" s="33" t="n">
        <v>0</v>
      </c>
      <c r="H14" s="33" t="n">
        <v>0</v>
      </c>
      <c r="I14" s="33" t="n">
        <v>0</v>
      </c>
      <c r="K14" s="25" t="inlineStr">
        <is>
          <t>Реализация в конце срока (0 = не учитывать)</t>
        </is>
      </c>
    </row>
    <row r="15">
      <c r="B15" s="5" t="inlineStr">
        <is>
          <t>C. ПРОИЗВОДИТЕЛЬНОСТЬ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22" t="inlineStr">
        <is>
          <t>Грузоподъёмность (в расчёте)</t>
        </is>
      </c>
      <c r="C16" s="24" t="inlineStr">
        <is>
          <t>т</t>
        </is>
      </c>
      <c r="D16" s="34" t="n">
        <v>227.8</v>
      </c>
      <c r="E16" s="34" t="n">
        <v>211.392</v>
      </c>
      <c r="F16" s="34" t="n">
        <v>216.362</v>
      </c>
      <c r="G16" s="34" t="n">
        <v>222</v>
      </c>
      <c r="H16" s="34" t="n">
        <v>231</v>
      </c>
      <c r="I16" s="34" t="n">
        <v>231</v>
      </c>
      <c r="K16" s="25" t="inlineStr">
        <is>
          <t>× КИГ (лист «Параметры») = фактическая загрузка</t>
        </is>
      </c>
    </row>
    <row r="17">
      <c r="B17" s="5" t="inlineStr">
        <is>
          <t>D. ПРОЧИЕ ГОДОВЫЕ ЗАТРАТЫ И ПАРАМЕТРЫ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B18" s="22" t="inlineStr">
        <is>
          <t>Расходы на персонал (экипаж)</t>
        </is>
      </c>
      <c r="C18" s="24" t="inlineStr">
        <is>
          <t>тыс.руб/год</t>
        </is>
      </c>
      <c r="D18" s="34" t="n">
        <v>18475.6</v>
      </c>
      <c r="E18" s="34" t="n">
        <v>18475.6</v>
      </c>
      <c r="F18" s="34" t="n">
        <v>18475.6</v>
      </c>
      <c r="G18" s="34" t="n">
        <v>18475.6</v>
      </c>
      <c r="H18" s="34" t="n">
        <v>18475.6</v>
      </c>
      <c r="I18" s="34" t="n">
        <v>18475.6</v>
      </c>
      <c r="K18" s="25" t="inlineStr">
        <is>
          <t>ФОТ+отчисления+прочее на 1 машину</t>
        </is>
      </c>
    </row>
    <row r="19">
      <c r="B19" s="22" t="inlineStr">
        <is>
          <t>Мощность двигателя (транспортный налог)</t>
        </is>
      </c>
      <c r="C19" s="24" t="inlineStr">
        <is>
          <t>л.с.</t>
        </is>
      </c>
      <c r="D19" s="32" t="n">
        <v>2500</v>
      </c>
      <c r="E19" s="32" t="n">
        <v>1864</v>
      </c>
      <c r="F19" s="32" t="n">
        <v>2843</v>
      </c>
      <c r="G19" s="32" t="n">
        <v>2500</v>
      </c>
      <c r="H19" s="32" t="n">
        <v>2535</v>
      </c>
      <c r="I19" s="32" t="n">
        <v>2535</v>
      </c>
      <c r="K19" s="25" t="inlineStr">
        <is>
          <t>× ставку налога (руб/л.с.)</t>
        </is>
      </c>
    </row>
    <row r="20">
      <c r="B20" s="35" t="inlineStr">
        <is>
          <t>ℹ  КТГ, простои и затраты на ТОиР (ТО/ТР/капремонты/сервис) задаются ПО ГОДАМ на листах «Поставщик 1…6». Расход топлива (г/ткм), шины и КИГ — общие на листе «Параметры». Сводка — на листе «Данные по годам».</t>
        </is>
      </c>
    </row>
  </sheetData>
  <mergeCells count="7">
    <mergeCell ref="B1:K1"/>
    <mergeCell ref="B17:K17"/>
    <mergeCell ref="B15:K15"/>
    <mergeCell ref="B6:K6"/>
    <mergeCell ref="B2:K2"/>
    <mergeCell ref="B20:K20"/>
    <mergeCell ref="B10:K10"/>
  </mergeCells>
  <dataValidations count="1">
    <dataValidation sqref="D12:I12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N27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ДАННЫЕ ПОСТАВЩИКА — ВАРИАНТ 1 (ТО и Ремонты ПО ГОДАМ)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Жёлтое — ввод (данные поставщика/расчёта). Зелёное — авто; сводка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7" t="inlineStr">
        <is>
          <t>Автосамосвал:</t>
        </is>
      </c>
      <c r="E4" s="36" t="str">
        <f>'Ввод данных'!D7</f>
        <v>NHL NTE 240</v>
      </c>
    </row>
    <row r="5">
      <c r="B5" s="9" t="inlineStr">
        <is>
          <t>Валюта затрат ТОиР:</t>
        </is>
      </c>
      <c r="D5" s="37" t="inlineStr">
        <is>
          <t>CNY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8" t="inlineStr">
        <is>
          <t>Простои на ТО</t>
        </is>
      </c>
      <c r="C8" s="24" t="inlineStr">
        <is>
          <t>ч/год</t>
        </is>
      </c>
      <c r="E8" s="39">
        <f>E19</f>
        <v>173.404</v>
      </c>
      <c r="F8" s="39">
        <f>F19</f>
        <v>202.004</v>
      </c>
      <c r="G8" s="39">
        <f>G19</f>
        <v>173.404</v>
      </c>
      <c r="H8" s="39">
        <f>H19</f>
        <v>202.004</v>
      </c>
      <c r="I8" s="39">
        <f>I19</f>
        <v>173.404</v>
      </c>
      <c r="J8" s="39">
        <f>J19</f>
        <v>202.004</v>
      </c>
      <c r="K8" s="39">
        <f>K19</f>
        <v>202.004</v>
      </c>
      <c r="L8" s="39">
        <f>L19</f>
        <v>173.404</v>
      </c>
      <c r="M8" s="39">
        <f>M19</f>
        <v>202.004</v>
      </c>
      <c r="N8" s="39">
        <f>N19</f>
        <v>173.404</v>
      </c>
    </row>
    <row r="9">
      <c r="B9" s="38" t="inlineStr">
        <is>
          <t>Простои в ремонтах</t>
        </is>
      </c>
      <c r="C9" s="24" t="inlineStr">
        <is>
          <t>ч/год</t>
        </is>
      </c>
      <c r="E9" s="39">
        <f>E20</f>
        <v>139.0</v>
      </c>
      <c r="F9" s="39">
        <f>F20</f>
        <v>175.0</v>
      </c>
      <c r="G9" s="39">
        <f>G20</f>
        <v>289.0</v>
      </c>
      <c r="H9" s="39">
        <f>H20</f>
        <v>373.0</v>
      </c>
      <c r="I9" s="39">
        <f>I20</f>
        <v>177.0</v>
      </c>
      <c r="J9" s="39">
        <f>J20</f>
        <v>253.0</v>
      </c>
      <c r="K9" s="39">
        <f>K20</f>
        <v>167.0</v>
      </c>
      <c r="L9" s="39">
        <f>L20</f>
        <v>377.0</v>
      </c>
      <c r="M9" s="39">
        <f>M20</f>
        <v>295.0</v>
      </c>
      <c r="N9" s="39">
        <f>N20</f>
        <v>187.0</v>
      </c>
    </row>
    <row r="10">
      <c r="B10" s="38" t="inlineStr">
        <is>
          <t>Ежесменный осмотр (20 мин/смену), справочно</t>
        </is>
      </c>
      <c r="C10" s="24" t="inlineStr">
        <is>
          <t>ч/год</t>
        </is>
      </c>
      <c r="E10" s="39">
        <f>('Параметры'!C26-E8-E9)/'Параметры'!C27*20/60</f>
        <v>234.65544444444444</v>
      </c>
      <c r="F10" s="39">
        <f>('Параметры'!C26-F8-F9)/'Параметры'!C27*20/60</f>
        <v>232.861</v>
      </c>
      <c r="G10" s="39">
        <f>('Параметры'!C26-G8-G9)/'Параметры'!C27*20/60</f>
        <v>230.48877777777776</v>
      </c>
      <c r="H10" s="39">
        <f>('Параметры'!C26-H8-H9)/'Параметры'!C27*20/60</f>
        <v>227.361</v>
      </c>
      <c r="I10" s="39">
        <f>('Параметры'!C26-I8-I9)/'Параметры'!C27*20/60</f>
        <v>233.5998888888889</v>
      </c>
      <c r="J10" s="39">
        <f>('Параметры'!C26-J8-J9)/'Параметры'!C27*20/60</f>
        <v>230.69433333333333</v>
      </c>
      <c r="K10" s="39">
        <f>('Параметры'!C26-K8-K9)/'Параметры'!C27*20/60</f>
        <v>233.0832222222222</v>
      </c>
      <c r="L10" s="39">
        <f>('Параметры'!C26-L8-L9)/'Параметры'!C27*20/60</f>
        <v>228.0443333333333</v>
      </c>
      <c r="M10" s="39">
        <f>('Параметры'!C26-M8-M9)/'Параметры'!C27*20/60</f>
        <v>229.52766666666668</v>
      </c>
      <c r="N10" s="39">
        <f>('Параметры'!C26-N8-N9)/'Параметры'!C27*20/60</f>
        <v>233.3221111111111</v>
      </c>
    </row>
    <row r="11">
      <c r="B11" s="22" t="inlineStr">
        <is>
          <t>КТГ (техготовность) → «Данные по годам»</t>
        </is>
      </c>
      <c r="C11" s="24" t="inlineStr">
        <is>
          <t>коэф.</t>
        </is>
      </c>
      <c r="E11" s="33" t="n">
        <v>0.9376</v>
      </c>
      <c r="F11" s="33" t="n">
        <v>0.9304</v>
      </c>
      <c r="G11" s="33" t="n">
        <v>0.9209000000000001</v>
      </c>
      <c r="H11" s="33" t="n">
        <v>0.9084</v>
      </c>
      <c r="I11" s="33" t="n">
        <v>0.9333</v>
      </c>
      <c r="J11" s="33" t="n">
        <v>0.9217</v>
      </c>
      <c r="K11" s="33" t="n">
        <v>0.9313</v>
      </c>
      <c r="L11" s="33" t="n">
        <v>0.9111</v>
      </c>
      <c r="M11" s="33" t="n">
        <v>0.9171</v>
      </c>
      <c r="N11" s="33" t="n">
        <v>0.9322</v>
      </c>
    </row>
    <row r="12">
      <c r="B12" s="38" t="inlineStr">
        <is>
          <t>Затраты на ТО (ЗЧ+смазочные)</t>
        </is>
      </c>
      <c r="C12" s="24" t="inlineStr">
        <is>
          <t>тыс.вал/г</t>
        </is>
      </c>
      <c r="E12" s="40">
        <f>E21</f>
        <v>297.274</v>
      </c>
      <c r="F12" s="40">
        <f>F21</f>
        <v>297.274</v>
      </c>
      <c r="G12" s="40">
        <f>G21</f>
        <v>297.274</v>
      </c>
      <c r="H12" s="40">
        <f>H21</f>
        <v>297.274</v>
      </c>
      <c r="I12" s="40">
        <f>I21</f>
        <v>297.274</v>
      </c>
      <c r="J12" s="40">
        <f>J21</f>
        <v>297.274</v>
      </c>
      <c r="K12" s="40">
        <f>K21</f>
        <v>297.274</v>
      </c>
      <c r="L12" s="40">
        <f>L21</f>
        <v>297.274</v>
      </c>
      <c r="M12" s="40">
        <f>M21</f>
        <v>297.274</v>
      </c>
      <c r="N12" s="40">
        <f>N21</f>
        <v>297.274</v>
      </c>
    </row>
    <row r="13">
      <c r="B13" s="38" t="inlineStr">
        <is>
          <t>Затраты на текущие ремонты</t>
        </is>
      </c>
      <c r="C13" s="24" t="inlineStr">
        <is>
          <t>тыс.вал/г</t>
        </is>
      </c>
      <c r="E13" s="40">
        <f>E22</f>
        <v>0.0</v>
      </c>
      <c r="F13" s="40">
        <f>F22</f>
        <v>0.0</v>
      </c>
      <c r="G13" s="40">
        <f>G22</f>
        <v>0.0</v>
      </c>
      <c r="H13" s="40">
        <f>H22</f>
        <v>0.0</v>
      </c>
      <c r="I13" s="40">
        <f>I22</f>
        <v>0.0</v>
      </c>
      <c r="J13" s="40">
        <f>J22</f>
        <v>0.0</v>
      </c>
      <c r="K13" s="40">
        <f>K22</f>
        <v>0.0</v>
      </c>
      <c r="L13" s="40">
        <f>L22</f>
        <v>0.0</v>
      </c>
      <c r="M13" s="40">
        <f>M22</f>
        <v>0.0</v>
      </c>
      <c r="N13" s="40">
        <f>N22</f>
        <v>0.0</v>
      </c>
    </row>
    <row r="14">
      <c r="B14" s="38" t="inlineStr">
        <is>
          <t>Затраты на капитальные/ППР ремонты</t>
        </is>
      </c>
      <c r="C14" s="24" t="inlineStr">
        <is>
          <t>тыс.вал/г</t>
        </is>
      </c>
      <c r="E14" s="40">
        <f>E23</f>
        <v>0.0</v>
      </c>
      <c r="F14" s="40">
        <f>F23</f>
        <v>151.61</v>
      </c>
      <c r="G14" s="40">
        <f>G23</f>
        <v>3293.541</v>
      </c>
      <c r="H14" s="40">
        <f>H23</f>
        <v>1329.651</v>
      </c>
      <c r="I14" s="40">
        <f>I23</f>
        <v>207.444</v>
      </c>
      <c r="J14" s="40">
        <f>J23</f>
        <v>3259.167</v>
      </c>
      <c r="K14" s="40">
        <f>K23</f>
        <v>47.962</v>
      </c>
      <c r="L14" s="40">
        <f>L23</f>
        <v>1481.261</v>
      </c>
      <c r="M14" s="40">
        <f>M23</f>
        <v>6533.292</v>
      </c>
      <c r="N14" s="40">
        <f>N23</f>
        <v>44.023</v>
      </c>
    </row>
    <row r="15">
      <c r="B15" s="38" t="inlineStr">
        <is>
          <t>Сервис (трудозатраты) — ТО</t>
        </is>
      </c>
      <c r="C15" s="24" t="inlineStr">
        <is>
          <t>тыс.вал/г</t>
        </is>
      </c>
      <c r="E15" s="40">
        <f>E24</f>
        <v>126.063</v>
      </c>
      <c r="F15" s="40">
        <f>F24</f>
        <v>147.913</v>
      </c>
      <c r="G15" s="40">
        <f>G24</f>
        <v>126.063</v>
      </c>
      <c r="H15" s="40">
        <f>H24</f>
        <v>147.913</v>
      </c>
      <c r="I15" s="40">
        <f>I24</f>
        <v>126.063</v>
      </c>
      <c r="J15" s="40">
        <f>J24</f>
        <v>147.913</v>
      </c>
      <c r="K15" s="40">
        <f>K24</f>
        <v>147.913</v>
      </c>
      <c r="L15" s="40">
        <f>L24</f>
        <v>126.063</v>
      </c>
      <c r="M15" s="40">
        <f>M24</f>
        <v>147.913</v>
      </c>
      <c r="N15" s="40">
        <f>N24</f>
        <v>126.063</v>
      </c>
    </row>
    <row r="16">
      <c r="B16" s="38" t="inlineStr">
        <is>
          <t>Сервис (трудозатраты) — ремонты</t>
        </is>
      </c>
      <c r="C16" s="24" t="inlineStr">
        <is>
          <t>тыс.вал/г</t>
        </is>
      </c>
      <c r="E16" s="40">
        <f>E25</f>
        <v>47.368</v>
      </c>
      <c r="F16" s="40">
        <f>F25</f>
        <v>57.3</v>
      </c>
      <c r="G16" s="40">
        <f>G25</f>
        <v>158.53</v>
      </c>
      <c r="H16" s="40">
        <f>H25</f>
        <v>286.118</v>
      </c>
      <c r="I16" s="40">
        <f>I25</f>
        <v>56.536</v>
      </c>
      <c r="J16" s="40">
        <f>J25</f>
        <v>80.22</v>
      </c>
      <c r="K16" s="40">
        <f>K25</f>
        <v>144.014</v>
      </c>
      <c r="L16" s="40">
        <f>L25</f>
        <v>279.624</v>
      </c>
      <c r="M16" s="40">
        <f>M25</f>
        <v>81.748</v>
      </c>
      <c r="N16" s="40">
        <f>N25</f>
        <v>74.108</v>
      </c>
    </row>
    <row r="17">
      <c r="B17" s="38" t="inlineStr">
        <is>
          <t>ИТОГО ТОиР → «Данные по годам»</t>
        </is>
      </c>
      <c r="C17" s="24" t="inlineStr">
        <is>
          <t>тыс.вал/г</t>
        </is>
      </c>
      <c r="E17" s="40">
        <f>E12+E13+E14+E15+E16</f>
        <v>470.705</v>
      </c>
      <c r="F17" s="40">
        <f>F12+F13+F14+F15+F16</f>
        <v>654.097</v>
      </c>
      <c r="G17" s="40">
        <f>G12+G13+G14+G15+G16</f>
        <v>3875.4080000000004</v>
      </c>
      <c r="H17" s="40">
        <f>H12+H13+H14+H15+H16</f>
        <v>2060.956</v>
      </c>
      <c r="I17" s="40">
        <f>I12+I13+I14+I15+I16</f>
        <v>687.317</v>
      </c>
      <c r="J17" s="40">
        <f>J12+J13+J14+J15+J16</f>
        <v>3784.5739999999996</v>
      </c>
      <c r="K17" s="40">
        <f>K12+K13+K14+K15+K16</f>
        <v>637.163</v>
      </c>
      <c r="L17" s="40">
        <f>L12+L13+L14+L15+L16</f>
        <v>2184.2219999999998</v>
      </c>
      <c r="M17" s="40">
        <f>M12+M13+M14+M15+M16</f>
        <v>7060.227000000001</v>
      </c>
      <c r="N17" s="40">
        <f>N12+N13+N14+N15+N16</f>
        <v>541.4680000000001</v>
      </c>
    </row>
    <row r="18">
      <c r="B18" s="5" t="inlineStr">
        <is>
          <t>ВВОД ДАННЫХ ПОСТАВЩИКА ПО ГОДАМ (жёлтое)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B19" s="22" t="inlineStr">
        <is>
          <t>Простои на ТО</t>
        </is>
      </c>
      <c r="C19" s="24" t="inlineStr">
        <is>
          <t>ч/год</t>
        </is>
      </c>
      <c r="E19" s="32" t="n">
        <v>173.404</v>
      </c>
      <c r="F19" s="32" t="n">
        <v>202.004</v>
      </c>
      <c r="G19" s="32" t="n">
        <v>173.404</v>
      </c>
      <c r="H19" s="32" t="n">
        <v>202.004</v>
      </c>
      <c r="I19" s="32" t="n">
        <v>173.404</v>
      </c>
      <c r="J19" s="32" t="n">
        <v>202.004</v>
      </c>
      <c r="K19" s="32" t="n">
        <v>202.004</v>
      </c>
      <c r="L19" s="32" t="n">
        <v>173.404</v>
      </c>
      <c r="M19" s="32" t="n">
        <v>202.004</v>
      </c>
      <c r="N19" s="32" t="n">
        <v>173.404</v>
      </c>
    </row>
    <row r="20">
      <c r="B20" s="22" t="inlineStr">
        <is>
          <t>Простои в ремонтах</t>
        </is>
      </c>
      <c r="C20" s="24" t="inlineStr">
        <is>
          <t>ч/год</t>
        </is>
      </c>
      <c r="E20" s="32" t="n">
        <v>139</v>
      </c>
      <c r="F20" s="32" t="n">
        <v>175</v>
      </c>
      <c r="G20" s="32" t="n">
        <v>289</v>
      </c>
      <c r="H20" s="32" t="n">
        <v>373</v>
      </c>
      <c r="I20" s="32" t="n">
        <v>177</v>
      </c>
      <c r="J20" s="32" t="n">
        <v>253</v>
      </c>
      <c r="K20" s="32" t="n">
        <v>167</v>
      </c>
      <c r="L20" s="32" t="n">
        <v>377</v>
      </c>
      <c r="M20" s="32" t="n">
        <v>295</v>
      </c>
      <c r="N20" s="32" t="n">
        <v>187</v>
      </c>
    </row>
    <row r="21">
      <c r="B21" s="22" t="inlineStr">
        <is>
          <t>Затраты на ТО (ЗЧ+смазочные)</t>
        </is>
      </c>
      <c r="C21" s="24" t="inlineStr">
        <is>
          <t>тыс.вал/г</t>
        </is>
      </c>
      <c r="E21" s="41" t="n">
        <v>297.274</v>
      </c>
      <c r="F21" s="41" t="n">
        <v>297.274</v>
      </c>
      <c r="G21" s="41" t="n">
        <v>297.274</v>
      </c>
      <c r="H21" s="41" t="n">
        <v>297.274</v>
      </c>
      <c r="I21" s="41" t="n">
        <v>297.274</v>
      </c>
      <c r="J21" s="41" t="n">
        <v>297.274</v>
      </c>
      <c r="K21" s="41" t="n">
        <v>297.274</v>
      </c>
      <c r="L21" s="41" t="n">
        <v>297.274</v>
      </c>
      <c r="M21" s="41" t="n">
        <v>297.274</v>
      </c>
      <c r="N21" s="41" t="n">
        <v>297.274</v>
      </c>
    </row>
    <row r="22">
      <c r="B22" s="22" t="inlineStr">
        <is>
          <t>Затраты на текущие ремонты</t>
        </is>
      </c>
      <c r="C22" s="24" t="inlineStr">
        <is>
          <t>тыс.вал/г</t>
        </is>
      </c>
      <c r="E22" s="41" t="n">
        <v>0</v>
      </c>
      <c r="F22" s="41" t="n">
        <v>0</v>
      </c>
      <c r="G22" s="41" t="n">
        <v>0</v>
      </c>
      <c r="H22" s="41" t="n">
        <v>0</v>
      </c>
      <c r="I22" s="41" t="n">
        <v>0</v>
      </c>
      <c r="J22" s="41" t="n">
        <v>0</v>
      </c>
      <c r="K22" s="41" t="n">
        <v>0</v>
      </c>
      <c r="L22" s="41" t="n">
        <v>0</v>
      </c>
      <c r="M22" s="41" t="n">
        <v>0</v>
      </c>
      <c r="N22" s="41" t="n">
        <v>0</v>
      </c>
    </row>
    <row r="23">
      <c r="B23" s="22" t="inlineStr">
        <is>
          <t>Затраты на капитальные/ППР ремонты</t>
        </is>
      </c>
      <c r="C23" s="24" t="inlineStr">
        <is>
          <t>тыс.вал/г</t>
        </is>
      </c>
      <c r="E23" s="41" t="n">
        <v>0</v>
      </c>
      <c r="F23" s="41" t="n">
        <v>151.61</v>
      </c>
      <c r="G23" s="41" t="n">
        <v>3293.541</v>
      </c>
      <c r="H23" s="41" t="n">
        <v>1329.651</v>
      </c>
      <c r="I23" s="41" t="n">
        <v>207.444</v>
      </c>
      <c r="J23" s="41" t="n">
        <v>3259.167</v>
      </c>
      <c r="K23" s="41" t="n">
        <v>47.962</v>
      </c>
      <c r="L23" s="41" t="n">
        <v>1481.261</v>
      </c>
      <c r="M23" s="41" t="n">
        <v>6533.292</v>
      </c>
      <c r="N23" s="41" t="n">
        <v>44.023</v>
      </c>
    </row>
    <row r="24">
      <c r="B24" s="22" t="inlineStr">
        <is>
          <t>Сервис (трудозатраты) — ТО</t>
        </is>
      </c>
      <c r="C24" s="24" t="inlineStr">
        <is>
          <t>тыс.вал/г</t>
        </is>
      </c>
      <c r="E24" s="41" t="n">
        <v>126.063</v>
      </c>
      <c r="F24" s="41" t="n">
        <v>147.913</v>
      </c>
      <c r="G24" s="41" t="n">
        <v>126.063</v>
      </c>
      <c r="H24" s="41" t="n">
        <v>147.913</v>
      </c>
      <c r="I24" s="41" t="n">
        <v>126.063</v>
      </c>
      <c r="J24" s="41" t="n">
        <v>147.913</v>
      </c>
      <c r="K24" s="41" t="n">
        <v>147.913</v>
      </c>
      <c r="L24" s="41" t="n">
        <v>126.063</v>
      </c>
      <c r="M24" s="41" t="n">
        <v>147.913</v>
      </c>
      <c r="N24" s="41" t="n">
        <v>126.063</v>
      </c>
    </row>
    <row r="25">
      <c r="B25" s="22" t="inlineStr">
        <is>
          <t>Сервис (трудозатраты) — ремонты</t>
        </is>
      </c>
      <c r="C25" s="24" t="inlineStr">
        <is>
          <t>тыс.вал/г</t>
        </is>
      </c>
      <c r="E25" s="41" t="n">
        <v>47.368</v>
      </c>
      <c r="F25" s="41" t="n">
        <v>57.3</v>
      </c>
      <c r="G25" s="41" t="n">
        <v>158.53</v>
      </c>
      <c r="H25" s="41" t="n">
        <v>286.118</v>
      </c>
      <c r="I25" s="41" t="n">
        <v>56.536</v>
      </c>
      <c r="J25" s="41" t="n">
        <v>80.22</v>
      </c>
      <c r="K25" s="41" t="n">
        <v>144.014</v>
      </c>
      <c r="L25" s="41" t="n">
        <v>279.624</v>
      </c>
      <c r="M25" s="41" t="n">
        <v>81.748</v>
      </c>
      <c r="N25" s="41" t="n">
        <v>74.108</v>
      </c>
    </row>
    <row r="27">
      <c r="B27" s="42" t="inlineStr">
        <is>
          <t>Строки 18–24 — ввод (жёлтое): простои и затраты ТОиР по годам, в валюте (см. «Валюта затрат ТОиР»). Пересчёт в рубли — в «Денежном потоке» по курсу с листа «Параметры». Данные примера — «в расчёте» из 000_БСЛ-2027 (карьер «Сухой Лог»). «Рваный» график капремонтов по годам учитывается дисконтированием.</t>
        </is>
      </c>
    </row>
  </sheetData>
  <mergeCells count="6">
    <mergeCell ref="B27:N27"/>
    <mergeCell ref="B1:N1"/>
    <mergeCell ref="E4:N4"/>
    <mergeCell ref="B18:N18"/>
    <mergeCell ref="B7:N7"/>
    <mergeCell ref="B2:N2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N27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ДАННЫЕ ПОСТАВЩИКА — ВАРИАНТ 2 (ТО и Ремонты ПО ГОДАМ)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Жёлтое — ввод (данные поставщика/расчёта). Зелёное — авто; сводка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7" t="inlineStr">
        <is>
          <t>Автосамосвал:</t>
        </is>
      </c>
      <c r="E4" s="36" t="str">
        <f>'Ввод данных'!E7</f>
        <v>Estar ESDE240
(ГПБ К)</v>
      </c>
    </row>
    <row r="5">
      <c r="B5" s="9" t="inlineStr">
        <is>
          <t>Валюта затрат ТОиР:</t>
        </is>
      </c>
      <c r="D5" s="37" t="inlineStr">
        <is>
          <t>USD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8" t="inlineStr">
        <is>
          <t>Простои на ТО</t>
        </is>
      </c>
      <c r="C8" s="24" t="inlineStr">
        <is>
          <t>ч/год</t>
        </is>
      </c>
      <c r="E8" s="39">
        <f>E19</f>
        <v>153.0</v>
      </c>
      <c r="F8" s="39">
        <f>F19</f>
        <v>153.0</v>
      </c>
      <c r="G8" s="39">
        <f>G19</f>
        <v>153.0</v>
      </c>
      <c r="H8" s="39">
        <f>H19</f>
        <v>153.0</v>
      </c>
      <c r="I8" s="39">
        <f>I19</f>
        <v>153.0</v>
      </c>
      <c r="J8" s="39">
        <f>J19</f>
        <v>153.0</v>
      </c>
      <c r="K8" s="39">
        <f>K19</f>
        <v>153.0</v>
      </c>
      <c r="L8" s="39">
        <f>L19</f>
        <v>153.0</v>
      </c>
      <c r="M8" s="39">
        <f>M19</f>
        <v>153.0</v>
      </c>
      <c r="N8" s="39">
        <f>N19</f>
        <v>153.0</v>
      </c>
    </row>
    <row r="9">
      <c r="B9" s="38" t="inlineStr">
        <is>
          <t>Простои в ремонтах</t>
        </is>
      </c>
      <c r="C9" s="24" t="inlineStr">
        <is>
          <t>ч/год</t>
        </is>
      </c>
      <c r="E9" s="39">
        <f>E20</f>
        <v>420.0</v>
      </c>
      <c r="F9" s="39">
        <f>F20</f>
        <v>505.0</v>
      </c>
      <c r="G9" s="39">
        <f>G20</f>
        <v>905.0</v>
      </c>
      <c r="H9" s="39">
        <f>H20</f>
        <v>1287.0</v>
      </c>
      <c r="I9" s="39">
        <f>I20</f>
        <v>455.0</v>
      </c>
      <c r="J9" s="39">
        <f>J20</f>
        <v>1132.0</v>
      </c>
      <c r="K9" s="39">
        <f>K20</f>
        <v>485.0</v>
      </c>
      <c r="L9" s="39">
        <f>L20</f>
        <v>1290.0</v>
      </c>
      <c r="M9" s="39">
        <f>M20</f>
        <v>782.0</v>
      </c>
      <c r="N9" s="39">
        <f>N20</f>
        <v>1155.0</v>
      </c>
    </row>
    <row r="10">
      <c r="B10" s="38" t="inlineStr">
        <is>
          <t>Ежесменный осмотр (20 мин/смену), справочно</t>
        </is>
      </c>
      <c r="C10" s="24" t="inlineStr">
        <is>
          <t>ч/год</t>
        </is>
      </c>
      <c r="E10" s="39">
        <f>('Параметры'!C26-E8-E9)/'Параметры'!C27*20/60</f>
        <v>227.41666666666666</v>
      </c>
      <c r="F10" s="39">
        <f>('Параметры'!C26-F8-F9)/'Параметры'!C27*20/60</f>
        <v>225.05555555555554</v>
      </c>
      <c r="G10" s="39">
        <f>('Параметры'!C26-G8-G9)/'Параметры'!C27*20/60</f>
        <v>213.94444444444446</v>
      </c>
      <c r="H10" s="39">
        <f>('Параметры'!C26-H8-H9)/'Параметры'!C27*20/60</f>
        <v>203.33333333333334</v>
      </c>
      <c r="I10" s="39">
        <f>('Параметры'!C26-I8-I9)/'Параметры'!C27*20/60</f>
        <v>226.44444444444446</v>
      </c>
      <c r="J10" s="39">
        <f>('Параметры'!C26-J8-J9)/'Параметры'!C27*20/60</f>
        <v>207.63888888888886</v>
      </c>
      <c r="K10" s="39">
        <f>('Параметры'!C26-K8-K9)/'Параметры'!C27*20/60</f>
        <v>225.61111111111114</v>
      </c>
      <c r="L10" s="39">
        <f>('Параметры'!C26-L8-L9)/'Параметры'!C27*20/60</f>
        <v>203.25</v>
      </c>
      <c r="M10" s="39">
        <f>('Параметры'!C26-M8-M9)/'Параметры'!C27*20/60</f>
        <v>217.36111111111114</v>
      </c>
      <c r="N10" s="39">
        <f>('Параметры'!C26-N8-N9)/'Параметры'!C27*20/60</f>
        <v>207.0</v>
      </c>
    </row>
    <row r="11">
      <c r="B11" s="22" t="inlineStr">
        <is>
          <t>КТГ (техготовность) → «Данные по годам»</t>
        </is>
      </c>
      <c r="C11" s="24" t="inlineStr">
        <is>
          <t>коэф.</t>
        </is>
      </c>
      <c r="E11" s="33" t="n">
        <v>0.9116</v>
      </c>
      <c r="F11" s="33" t="n">
        <v>0.8956</v>
      </c>
      <c r="G11" s="33" t="n">
        <v>0.8493000000000001</v>
      </c>
      <c r="H11" s="33" t="n">
        <v>0.806</v>
      </c>
      <c r="I11" s="33" t="n">
        <v>0.899</v>
      </c>
      <c r="J11" s="33" t="n">
        <v>0.8221000000000001</v>
      </c>
      <c r="K11" s="33" t="n">
        <v>0.8885999999999999</v>
      </c>
      <c r="L11" s="33" t="n">
        <v>0.8107</v>
      </c>
      <c r="M11" s="33" t="n">
        <v>0.8562</v>
      </c>
      <c r="N11" s="33" t="n">
        <v>0.834</v>
      </c>
    </row>
    <row r="12">
      <c r="B12" s="38" t="inlineStr">
        <is>
          <t>Затраты на ТО (ЗЧ+смазочные)</t>
        </is>
      </c>
      <c r="C12" s="24" t="inlineStr">
        <is>
          <t>тыс.вал/г</t>
        </is>
      </c>
      <c r="E12" s="40">
        <f>E21</f>
        <v>154.719</v>
      </c>
      <c r="F12" s="40">
        <f>F21</f>
        <v>154.719</v>
      </c>
      <c r="G12" s="40">
        <f>G21</f>
        <v>154.719</v>
      </c>
      <c r="H12" s="40">
        <f>H21</f>
        <v>154.719</v>
      </c>
      <c r="I12" s="40">
        <f>I21</f>
        <v>154.719</v>
      </c>
      <c r="J12" s="40">
        <f>J21</f>
        <v>154.719</v>
      </c>
      <c r="K12" s="40">
        <f>K21</f>
        <v>154.719</v>
      </c>
      <c r="L12" s="40">
        <f>L21</f>
        <v>154.719</v>
      </c>
      <c r="M12" s="40">
        <f>M21</f>
        <v>154.719</v>
      </c>
      <c r="N12" s="40">
        <f>N21</f>
        <v>154.719</v>
      </c>
    </row>
    <row r="13">
      <c r="B13" s="38" t="inlineStr">
        <is>
          <t>Затраты на текущие ремонты</t>
        </is>
      </c>
      <c r="C13" s="24" t="inlineStr">
        <is>
          <t>тыс.вал/г</t>
        </is>
      </c>
      <c r="E13" s="40">
        <f>E22</f>
        <v>0.0</v>
      </c>
      <c r="F13" s="40">
        <f>F22</f>
        <v>0.0</v>
      </c>
      <c r="G13" s="40">
        <f>G22</f>
        <v>0.0</v>
      </c>
      <c r="H13" s="40">
        <f>H22</f>
        <v>0.0</v>
      </c>
      <c r="I13" s="40">
        <f>I22</f>
        <v>0.0</v>
      </c>
      <c r="J13" s="40">
        <f>J22</f>
        <v>0.0</v>
      </c>
      <c r="K13" s="40">
        <f>K22</f>
        <v>0.0</v>
      </c>
      <c r="L13" s="40">
        <f>L22</f>
        <v>0.0</v>
      </c>
      <c r="M13" s="40">
        <f>M22</f>
        <v>0.0</v>
      </c>
      <c r="N13" s="40">
        <f>N22</f>
        <v>0.0</v>
      </c>
    </row>
    <row r="14">
      <c r="B14" s="38" t="inlineStr">
        <is>
          <t>Затраты на капитальные/ППР ремонты</t>
        </is>
      </c>
      <c r="C14" s="24" t="inlineStr">
        <is>
          <t>тыс.вал/г</t>
        </is>
      </c>
      <c r="E14" s="40">
        <f>E23</f>
        <v>4.931</v>
      </c>
      <c r="F14" s="40">
        <f>F23</f>
        <v>88.53</v>
      </c>
      <c r="G14" s="40">
        <f>G23</f>
        <v>701.511</v>
      </c>
      <c r="H14" s="40">
        <f>H23</f>
        <v>2494.29</v>
      </c>
      <c r="I14" s="40">
        <f>I23</f>
        <v>7.014</v>
      </c>
      <c r="J14" s="40">
        <f>J23</f>
        <v>785.11</v>
      </c>
      <c r="K14" s="40">
        <f>K23</f>
        <v>4.931</v>
      </c>
      <c r="L14" s="40">
        <f>L23</f>
        <v>2494.29</v>
      </c>
      <c r="M14" s="40">
        <f>M23</f>
        <v>4.931</v>
      </c>
      <c r="N14" s="40">
        <f>N23</f>
        <v>4.931</v>
      </c>
    </row>
    <row r="15">
      <c r="B15" s="38" t="inlineStr">
        <is>
          <t>Сервис (трудозатраты) — ТО</t>
        </is>
      </c>
      <c r="C15" s="24" t="inlineStr">
        <is>
          <t>тыс.вал/г</t>
        </is>
      </c>
      <c r="E15" s="40">
        <f>E24</f>
        <v>19.44</v>
      </c>
      <c r="F15" s="40">
        <f>F24</f>
        <v>19.44</v>
      </c>
      <c r="G15" s="40">
        <f>G24</f>
        <v>19.44</v>
      </c>
      <c r="H15" s="40">
        <f>H24</f>
        <v>19.44</v>
      </c>
      <c r="I15" s="40">
        <f>I24</f>
        <v>19.44</v>
      </c>
      <c r="J15" s="40">
        <f>J24</f>
        <v>19.44</v>
      </c>
      <c r="K15" s="40">
        <f>K24</f>
        <v>19.44</v>
      </c>
      <c r="L15" s="40">
        <f>L24</f>
        <v>19.44</v>
      </c>
      <c r="M15" s="40">
        <f>M24</f>
        <v>19.44</v>
      </c>
      <c r="N15" s="40">
        <f>N24</f>
        <v>19.44</v>
      </c>
    </row>
    <row r="16">
      <c r="B16" s="38" t="inlineStr">
        <is>
          <t>Сервис (трудозатраты) — ремонты</t>
        </is>
      </c>
      <c r="C16" s="24" t="inlineStr">
        <is>
          <t>тыс.вал/г</t>
        </is>
      </c>
      <c r="E16" s="40">
        <f>E25</f>
        <v>1.44</v>
      </c>
      <c r="F16" s="40">
        <f>F25</f>
        <v>14.04</v>
      </c>
      <c r="G16" s="40">
        <f>G25</f>
        <v>52.47</v>
      </c>
      <c r="H16" s="40">
        <f>H25</f>
        <v>82.89</v>
      </c>
      <c r="I16" s="40">
        <f>I25</f>
        <v>3.06</v>
      </c>
      <c r="J16" s="40">
        <f>J25</f>
        <v>65.07</v>
      </c>
      <c r="K16" s="40">
        <f>K25</f>
        <v>1.44</v>
      </c>
      <c r="L16" s="40">
        <f>L25</f>
        <v>82.89</v>
      </c>
      <c r="M16" s="40">
        <f>M25</f>
        <v>1.44</v>
      </c>
      <c r="N16" s="40">
        <f>N25</f>
        <v>1.44</v>
      </c>
    </row>
    <row r="17">
      <c r="B17" s="38" t="inlineStr">
        <is>
          <t>ИТОГО ТОиР → «Данные по годам»</t>
        </is>
      </c>
      <c r="C17" s="24" t="inlineStr">
        <is>
          <t>тыс.вал/г</t>
        </is>
      </c>
      <c r="E17" s="40">
        <f>E12+E13+E14+E15+E16</f>
        <v>180.53</v>
      </c>
      <c r="F17" s="40">
        <f>F12+F13+F14+F15+F16</f>
        <v>276.72900000000004</v>
      </c>
      <c r="G17" s="40">
        <f>G12+G13+G14+G15+G16</f>
        <v>928.1400000000001</v>
      </c>
      <c r="H17" s="40">
        <f>H12+H13+H14+H15+H16</f>
        <v>2751.339</v>
      </c>
      <c r="I17" s="40">
        <f>I12+I13+I14+I15+I16</f>
        <v>184.233</v>
      </c>
      <c r="J17" s="40">
        <f>J12+J13+J14+J15+J16</f>
        <v>1024.339</v>
      </c>
      <c r="K17" s="40">
        <f>K12+K13+K14+K15+K16</f>
        <v>180.53</v>
      </c>
      <c r="L17" s="40">
        <f>L12+L13+L14+L15+L16</f>
        <v>2751.339</v>
      </c>
      <c r="M17" s="40">
        <f>M12+M13+M14+M15+M16</f>
        <v>180.53</v>
      </c>
      <c r="N17" s="40">
        <f>N12+N13+N14+N15+N16</f>
        <v>180.53</v>
      </c>
    </row>
    <row r="18">
      <c r="B18" s="5" t="inlineStr">
        <is>
          <t>ВВОД ДАННЫХ ПОСТАВЩИКА ПО ГОДАМ (жёлтое)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B19" s="22" t="inlineStr">
        <is>
          <t>Простои на ТО</t>
        </is>
      </c>
      <c r="C19" s="24" t="inlineStr">
        <is>
          <t>ч/год</t>
        </is>
      </c>
      <c r="E19" s="32" t="n">
        <v>153</v>
      </c>
      <c r="F19" s="32" t="n">
        <v>153</v>
      </c>
      <c r="G19" s="32" t="n">
        <v>153</v>
      </c>
      <c r="H19" s="32" t="n">
        <v>153</v>
      </c>
      <c r="I19" s="32" t="n">
        <v>153</v>
      </c>
      <c r="J19" s="32" t="n">
        <v>153</v>
      </c>
      <c r="K19" s="32" t="n">
        <v>153</v>
      </c>
      <c r="L19" s="32" t="n">
        <v>153</v>
      </c>
      <c r="M19" s="32" t="n">
        <v>153</v>
      </c>
      <c r="N19" s="32" t="n">
        <v>153</v>
      </c>
    </row>
    <row r="20">
      <c r="B20" s="22" t="inlineStr">
        <is>
          <t>Простои в ремонтах</t>
        </is>
      </c>
      <c r="C20" s="24" t="inlineStr">
        <is>
          <t>ч/год</t>
        </is>
      </c>
      <c r="E20" s="32" t="n">
        <v>420</v>
      </c>
      <c r="F20" s="32" t="n">
        <v>505</v>
      </c>
      <c r="G20" s="32" t="n">
        <v>905</v>
      </c>
      <c r="H20" s="32" t="n">
        <v>1287</v>
      </c>
      <c r="I20" s="32" t="n">
        <v>455</v>
      </c>
      <c r="J20" s="32" t="n">
        <v>1132</v>
      </c>
      <c r="K20" s="32" t="n">
        <v>485</v>
      </c>
      <c r="L20" s="32" t="n">
        <v>1290</v>
      </c>
      <c r="M20" s="32" t="n">
        <v>782</v>
      </c>
      <c r="N20" s="32" t="n">
        <v>1155</v>
      </c>
    </row>
    <row r="21">
      <c r="B21" s="22" t="inlineStr">
        <is>
          <t>Затраты на ТО (ЗЧ+смазочные)</t>
        </is>
      </c>
      <c r="C21" s="24" t="inlineStr">
        <is>
          <t>тыс.вал/г</t>
        </is>
      </c>
      <c r="E21" s="41" t="n">
        <v>154.719</v>
      </c>
      <c r="F21" s="41" t="n">
        <v>154.719</v>
      </c>
      <c r="G21" s="41" t="n">
        <v>154.719</v>
      </c>
      <c r="H21" s="41" t="n">
        <v>154.719</v>
      </c>
      <c r="I21" s="41" t="n">
        <v>154.719</v>
      </c>
      <c r="J21" s="41" t="n">
        <v>154.719</v>
      </c>
      <c r="K21" s="41" t="n">
        <v>154.719</v>
      </c>
      <c r="L21" s="41" t="n">
        <v>154.719</v>
      </c>
      <c r="M21" s="41" t="n">
        <v>154.719</v>
      </c>
      <c r="N21" s="41" t="n">
        <v>154.719</v>
      </c>
    </row>
    <row r="22">
      <c r="B22" s="22" t="inlineStr">
        <is>
          <t>Затраты на текущие ремонты</t>
        </is>
      </c>
      <c r="C22" s="24" t="inlineStr">
        <is>
          <t>тыс.вал/г</t>
        </is>
      </c>
      <c r="E22" s="41" t="n">
        <v>0</v>
      </c>
      <c r="F22" s="41" t="n">
        <v>0</v>
      </c>
      <c r="G22" s="41" t="n">
        <v>0</v>
      </c>
      <c r="H22" s="41" t="n">
        <v>0</v>
      </c>
      <c r="I22" s="41" t="n">
        <v>0</v>
      </c>
      <c r="J22" s="41" t="n">
        <v>0</v>
      </c>
      <c r="K22" s="41" t="n">
        <v>0</v>
      </c>
      <c r="L22" s="41" t="n">
        <v>0</v>
      </c>
      <c r="M22" s="41" t="n">
        <v>0</v>
      </c>
      <c r="N22" s="41" t="n">
        <v>0</v>
      </c>
    </row>
    <row r="23">
      <c r="B23" s="22" t="inlineStr">
        <is>
          <t>Затраты на капитальные/ППР ремонты</t>
        </is>
      </c>
      <c r="C23" s="24" t="inlineStr">
        <is>
          <t>тыс.вал/г</t>
        </is>
      </c>
      <c r="E23" s="41" t="n">
        <v>4.931</v>
      </c>
      <c r="F23" s="41" t="n">
        <v>88.53</v>
      </c>
      <c r="G23" s="41" t="n">
        <v>701.511</v>
      </c>
      <c r="H23" s="41" t="n">
        <v>2494.29</v>
      </c>
      <c r="I23" s="41" t="n">
        <v>7.014</v>
      </c>
      <c r="J23" s="41" t="n">
        <v>785.11</v>
      </c>
      <c r="K23" s="41" t="n">
        <v>4.931</v>
      </c>
      <c r="L23" s="41" t="n">
        <v>2494.29</v>
      </c>
      <c r="M23" s="41" t="n">
        <v>4.931</v>
      </c>
      <c r="N23" s="41" t="n">
        <v>4.931</v>
      </c>
    </row>
    <row r="24">
      <c r="B24" s="22" t="inlineStr">
        <is>
          <t>Сервис (трудозатраты) — ТО</t>
        </is>
      </c>
      <c r="C24" s="24" t="inlineStr">
        <is>
          <t>тыс.вал/г</t>
        </is>
      </c>
      <c r="E24" s="41" t="n">
        <v>19.44</v>
      </c>
      <c r="F24" s="41" t="n">
        <v>19.44</v>
      </c>
      <c r="G24" s="41" t="n">
        <v>19.44</v>
      </c>
      <c r="H24" s="41" t="n">
        <v>19.44</v>
      </c>
      <c r="I24" s="41" t="n">
        <v>19.44</v>
      </c>
      <c r="J24" s="41" t="n">
        <v>19.44</v>
      </c>
      <c r="K24" s="41" t="n">
        <v>19.44</v>
      </c>
      <c r="L24" s="41" t="n">
        <v>19.44</v>
      </c>
      <c r="M24" s="41" t="n">
        <v>19.44</v>
      </c>
      <c r="N24" s="41" t="n">
        <v>19.44</v>
      </c>
    </row>
    <row r="25">
      <c r="B25" s="22" t="inlineStr">
        <is>
          <t>Сервис (трудозатраты) — ремонты</t>
        </is>
      </c>
      <c r="C25" s="24" t="inlineStr">
        <is>
          <t>тыс.вал/г</t>
        </is>
      </c>
      <c r="E25" s="41" t="n">
        <v>1.44</v>
      </c>
      <c r="F25" s="41" t="n">
        <v>14.04</v>
      </c>
      <c r="G25" s="41" t="n">
        <v>52.47</v>
      </c>
      <c r="H25" s="41" t="n">
        <v>82.89</v>
      </c>
      <c r="I25" s="41" t="n">
        <v>3.06</v>
      </c>
      <c r="J25" s="41" t="n">
        <v>65.06999999999999</v>
      </c>
      <c r="K25" s="41" t="n">
        <v>1.44</v>
      </c>
      <c r="L25" s="41" t="n">
        <v>82.89</v>
      </c>
      <c r="M25" s="41" t="n">
        <v>1.44</v>
      </c>
      <c r="N25" s="41" t="n">
        <v>1.44</v>
      </c>
    </row>
    <row r="27">
      <c r="B27" s="42" t="inlineStr">
        <is>
          <t>Строки 18–24 — ввод (жёлтое): простои и затраты ТОиР по годам, в валюте (см. «Валюта затрат ТОиР»). Пересчёт в рубли — в «Денежном потоке» по курсу с листа «Параметры». Данные примера — «в расчёте» из 000_БСЛ-2027 (карьер «Сухой Лог»). «Рваный» график капремонтов по годам учитывается дисконтированием.</t>
        </is>
      </c>
    </row>
  </sheetData>
  <mergeCells count="6">
    <mergeCell ref="B27:N27"/>
    <mergeCell ref="B1:N1"/>
    <mergeCell ref="E4:N4"/>
    <mergeCell ref="B18:N18"/>
    <mergeCell ref="B7:N7"/>
    <mergeCell ref="B2:N2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N27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ДАННЫЕ ПОСТАВЩИКА — ВАРИАНТ 3 (ТО и Ремонты ПО ГОДАМ)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Жёлтое — ввод (данные поставщика/расчёта). Зелёное — авто; сводка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7" t="inlineStr">
        <is>
          <t>Автосамосвал:</t>
        </is>
      </c>
      <c r="E4" s="36" t="str">
        <f>'Ввод данных'!F7</f>
        <v>SANY SET240S</v>
      </c>
    </row>
    <row r="5">
      <c r="B5" s="9" t="inlineStr">
        <is>
          <t>Валюта затрат ТОиР:</t>
        </is>
      </c>
      <c r="D5" s="37" t="inlineStr">
        <is>
          <t>USD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8" t="inlineStr">
        <is>
          <t>Простои на ТО</t>
        </is>
      </c>
      <c r="C8" s="24" t="inlineStr">
        <is>
          <t>ч/год</t>
        </is>
      </c>
      <c r="E8" s="39">
        <f>E19</f>
        <v>186.0</v>
      </c>
      <c r="F8" s="39">
        <f>F19</f>
        <v>186.0</v>
      </c>
      <c r="G8" s="39">
        <f>G19</f>
        <v>186.0</v>
      </c>
      <c r="H8" s="39">
        <f>H19</f>
        <v>186.0</v>
      </c>
      <c r="I8" s="39">
        <f>I19</f>
        <v>186.0</v>
      </c>
      <c r="J8" s="39">
        <f>J19</f>
        <v>186.0</v>
      </c>
      <c r="K8" s="39">
        <f>K19</f>
        <v>186.0</v>
      </c>
      <c r="L8" s="39">
        <f>L19</f>
        <v>186.0</v>
      </c>
      <c r="M8" s="39">
        <f>M19</f>
        <v>186.0</v>
      </c>
      <c r="N8" s="39">
        <f>N19</f>
        <v>186.0</v>
      </c>
    </row>
    <row r="9">
      <c r="B9" s="38" t="inlineStr">
        <is>
          <t>Простои в ремонтах</t>
        </is>
      </c>
      <c r="C9" s="24" t="inlineStr">
        <is>
          <t>ч/год</t>
        </is>
      </c>
      <c r="E9" s="39">
        <f>E20</f>
        <v>280.0</v>
      </c>
      <c r="F9" s="39">
        <f>F20</f>
        <v>570.0</v>
      </c>
      <c r="G9" s="39">
        <f>G20</f>
        <v>750.0</v>
      </c>
      <c r="H9" s="39">
        <f>H20</f>
        <v>505.0</v>
      </c>
      <c r="I9" s="39">
        <f>I20</f>
        <v>930.0</v>
      </c>
      <c r="J9" s="39">
        <f>J20</f>
        <v>505.0</v>
      </c>
      <c r="K9" s="39">
        <f>K20</f>
        <v>750.0</v>
      </c>
      <c r="L9" s="39">
        <f>L20</f>
        <v>505.0</v>
      </c>
      <c r="M9" s="39">
        <f>M20</f>
        <v>930.0</v>
      </c>
      <c r="N9" s="39">
        <f>N20</f>
        <v>660.0</v>
      </c>
    </row>
    <row r="10">
      <c r="B10" s="38" t="inlineStr">
        <is>
          <t>Ежесменный осмотр (20 мин/смену), справочно</t>
        </is>
      </c>
      <c r="C10" s="24" t="inlineStr">
        <is>
          <t>ч/год</t>
        </is>
      </c>
      <c r="E10" s="39">
        <f>('Параметры'!C26-E8-E9)/'Параметры'!C27*20/60</f>
        <v>230.38888888888886</v>
      </c>
      <c r="F10" s="39">
        <f>('Параметры'!C26-F8-F9)/'Параметры'!C27*20/60</f>
        <v>222.33333333333334</v>
      </c>
      <c r="G10" s="39">
        <f>('Параметры'!C26-G8-G9)/'Параметры'!C27*20/60</f>
        <v>217.33333333333334</v>
      </c>
      <c r="H10" s="39">
        <f>('Параметры'!C26-H8-H9)/'Параметры'!C27*20/60</f>
        <v>224.13888888888886</v>
      </c>
      <c r="I10" s="39">
        <f>('Параметры'!C26-I8-I9)/'Параметры'!C27*20/60</f>
        <v>212.33333333333334</v>
      </c>
      <c r="J10" s="39">
        <f>('Параметры'!C26-J8-J9)/'Параметры'!C27*20/60</f>
        <v>224.13888888888886</v>
      </c>
      <c r="K10" s="39">
        <f>('Параметры'!C26-K8-K9)/'Параметры'!C27*20/60</f>
        <v>217.33333333333334</v>
      </c>
      <c r="L10" s="39">
        <f>('Параметры'!C26-L8-L9)/'Параметры'!C27*20/60</f>
        <v>224.13888888888886</v>
      </c>
      <c r="M10" s="39">
        <f>('Параметры'!C26-M8-M9)/'Параметры'!C27*20/60</f>
        <v>212.33333333333334</v>
      </c>
      <c r="N10" s="39">
        <f>('Параметры'!C26-N8-N9)/'Параметры'!C27*20/60</f>
        <v>219.83333333333334</v>
      </c>
    </row>
    <row r="11">
      <c r="B11" s="22" t="inlineStr">
        <is>
          <t>КТГ (техготовность) → «Данные по годам»</t>
        </is>
      </c>
      <c r="C11" s="24" t="inlineStr">
        <is>
          <t>коэф.</t>
        </is>
      </c>
      <c r="E11" s="33" t="n">
        <v>0.9357</v>
      </c>
      <c r="F11" s="33" t="n">
        <v>0.9026</v>
      </c>
      <c r="G11" s="33" t="n">
        <v>0.8659</v>
      </c>
      <c r="H11" s="33" t="n">
        <v>0.904</v>
      </c>
      <c r="I11" s="33" t="n">
        <v>0.85</v>
      </c>
      <c r="J11" s="33" t="n">
        <v>0.904</v>
      </c>
      <c r="K11" s="33" t="n">
        <v>0.8659</v>
      </c>
      <c r="L11" s="33" t="n">
        <v>0.904</v>
      </c>
      <c r="M11" s="33" t="n">
        <v>0.85</v>
      </c>
      <c r="N11" s="33" t="n">
        <v>0.885</v>
      </c>
    </row>
    <row r="12">
      <c r="B12" s="38" t="inlineStr">
        <is>
          <t>Затраты на ТО (ЗЧ+смазочные)</t>
        </is>
      </c>
      <c r="C12" s="24" t="inlineStr">
        <is>
          <t>тыс.вал/г</t>
        </is>
      </c>
      <c r="E12" s="40">
        <f>E21</f>
        <v>93.681</v>
      </c>
      <c r="F12" s="40">
        <f>F21</f>
        <v>93.681</v>
      </c>
      <c r="G12" s="40">
        <f>G21</f>
        <v>93.681</v>
      </c>
      <c r="H12" s="40">
        <f>H21</f>
        <v>93.681</v>
      </c>
      <c r="I12" s="40">
        <f>I21</f>
        <v>93.681</v>
      </c>
      <c r="J12" s="40">
        <f>J21</f>
        <v>93.681</v>
      </c>
      <c r="K12" s="40">
        <f>K21</f>
        <v>93.681</v>
      </c>
      <c r="L12" s="40">
        <f>L21</f>
        <v>93.681</v>
      </c>
      <c r="M12" s="40">
        <f>M21</f>
        <v>93.681</v>
      </c>
      <c r="N12" s="40">
        <f>N21</f>
        <v>93.681</v>
      </c>
    </row>
    <row r="13">
      <c r="B13" s="38" t="inlineStr">
        <is>
          <t>Затраты на текущие ремонты</t>
        </is>
      </c>
      <c r="C13" s="24" t="inlineStr">
        <is>
          <t>тыс.вал/г</t>
        </is>
      </c>
      <c r="E13" s="40">
        <f>E22</f>
        <v>17.931</v>
      </c>
      <c r="F13" s="40">
        <f>F22</f>
        <v>17.931</v>
      </c>
      <c r="G13" s="40">
        <f>G22</f>
        <v>17.931</v>
      </c>
      <c r="H13" s="40">
        <f>H22</f>
        <v>17.931</v>
      </c>
      <c r="I13" s="40">
        <f>I22</f>
        <v>17.931</v>
      </c>
      <c r="J13" s="40">
        <f>J22</f>
        <v>17.931</v>
      </c>
      <c r="K13" s="40">
        <f>K22</f>
        <v>17.931</v>
      </c>
      <c r="L13" s="40">
        <f>L22</f>
        <v>17.931</v>
      </c>
      <c r="M13" s="40">
        <f>M22</f>
        <v>17.931</v>
      </c>
      <c r="N13" s="40">
        <f>N22</f>
        <v>17.931</v>
      </c>
    </row>
    <row r="14">
      <c r="B14" s="38" t="inlineStr">
        <is>
          <t>Затраты на капитальные/ППР ремонты</t>
        </is>
      </c>
      <c r="C14" s="24" t="inlineStr">
        <is>
          <t>тыс.вал/г</t>
        </is>
      </c>
      <c r="E14" s="40">
        <f>E23</f>
        <v>0.0</v>
      </c>
      <c r="F14" s="40">
        <f>F23</f>
        <v>62.211</v>
      </c>
      <c r="G14" s="40">
        <f>G23</f>
        <v>433.633</v>
      </c>
      <c r="H14" s="40">
        <f>H23</f>
        <v>156.454</v>
      </c>
      <c r="I14" s="40">
        <f>I23</f>
        <v>803.169</v>
      </c>
      <c r="J14" s="40">
        <f>J23</f>
        <v>592.571</v>
      </c>
      <c r="K14" s="40">
        <f>K23</f>
        <v>103.048</v>
      </c>
      <c r="L14" s="40">
        <f>L23</f>
        <v>120.245</v>
      </c>
      <c r="M14" s="40">
        <f>M23</f>
        <v>1178.573</v>
      </c>
      <c r="N14" s="40">
        <f>N23</f>
        <v>39.493</v>
      </c>
    </row>
    <row r="15">
      <c r="B15" s="38" t="inlineStr">
        <is>
          <t>Сервис (трудозатраты) — ТО</t>
        </is>
      </c>
      <c r="C15" s="24" t="inlineStr">
        <is>
          <t>тыс.вал/г</t>
        </is>
      </c>
      <c r="E15" s="40">
        <f>E24</f>
        <v>17.204</v>
      </c>
      <c r="F15" s="40">
        <f>F24</f>
        <v>17.204</v>
      </c>
      <c r="G15" s="40">
        <f>G24</f>
        <v>17.204</v>
      </c>
      <c r="H15" s="40">
        <f>H24</f>
        <v>17.204</v>
      </c>
      <c r="I15" s="40">
        <f>I24</f>
        <v>17.204</v>
      </c>
      <c r="J15" s="40">
        <f>J24</f>
        <v>17.204</v>
      </c>
      <c r="K15" s="40">
        <f>K24</f>
        <v>17.204</v>
      </c>
      <c r="L15" s="40">
        <f>L24</f>
        <v>17.204</v>
      </c>
      <c r="M15" s="40">
        <f>M24</f>
        <v>17.204</v>
      </c>
      <c r="N15" s="40">
        <f>N24</f>
        <v>17.204</v>
      </c>
    </row>
    <row r="16">
      <c r="B16" s="38" t="inlineStr">
        <is>
          <t>Сервис (трудозатраты) — ремонты</t>
        </is>
      </c>
      <c r="C16" s="24" t="inlineStr">
        <is>
          <t>тыс.вал/г</t>
        </is>
      </c>
      <c r="E16" s="40">
        <f>E25</f>
        <v>6.532</v>
      </c>
      <c r="F16" s="40">
        <f>F25</f>
        <v>20.24</v>
      </c>
      <c r="G16" s="40">
        <f>G25</f>
        <v>35.512</v>
      </c>
      <c r="H16" s="40">
        <f>H25</f>
        <v>19.872</v>
      </c>
      <c r="I16" s="40">
        <f>I25</f>
        <v>41.952</v>
      </c>
      <c r="J16" s="40">
        <f>J25</f>
        <v>19.872</v>
      </c>
      <c r="K16" s="40">
        <f>K25</f>
        <v>35.512</v>
      </c>
      <c r="L16" s="40">
        <f>L25</f>
        <v>19.872</v>
      </c>
      <c r="M16" s="40">
        <f>M25</f>
        <v>41.952</v>
      </c>
      <c r="N16" s="40">
        <f>N25</f>
        <v>27.692</v>
      </c>
    </row>
    <row r="17">
      <c r="B17" s="38" t="inlineStr">
        <is>
          <t>ИТОГО ТОиР → «Данные по годам»</t>
        </is>
      </c>
      <c r="C17" s="24" t="inlineStr">
        <is>
          <t>тыс.вал/г</t>
        </is>
      </c>
      <c r="E17" s="40">
        <f>E12+E13+E14+E15+E16</f>
        <v>135.348</v>
      </c>
      <c r="F17" s="40">
        <f>F12+F13+F14+F15+F16</f>
        <v>211.267</v>
      </c>
      <c r="G17" s="40">
        <f>G12+G13+G14+G15+G16</f>
        <v>597.961</v>
      </c>
      <c r="H17" s="40">
        <f>H12+H13+H14+H15+H16</f>
        <v>305.14200000000005</v>
      </c>
      <c r="I17" s="40">
        <f>I12+I13+I14+I15+I16</f>
        <v>973.9369999999999</v>
      </c>
      <c r="J17" s="40">
        <f>J12+J13+J14+J15+J16</f>
        <v>741.2589999999999</v>
      </c>
      <c r="K17" s="40">
        <f>K12+K13+K14+K15+K16</f>
        <v>267.376</v>
      </c>
      <c r="L17" s="40">
        <f>L12+L13+L14+L15+L16</f>
        <v>268.933</v>
      </c>
      <c r="M17" s="40">
        <f>M12+M13+M14+M15+M16</f>
        <v>1349.3410000000001</v>
      </c>
      <c r="N17" s="40">
        <f>N12+N13+N14+N15+N16</f>
        <v>196.001</v>
      </c>
    </row>
    <row r="18">
      <c r="B18" s="5" t="inlineStr">
        <is>
          <t>ВВОД ДАННЫХ ПОСТАВЩИКА ПО ГОДАМ (жёлтое)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B19" s="22" t="inlineStr">
        <is>
          <t>Простои на ТО</t>
        </is>
      </c>
      <c r="C19" s="24" t="inlineStr">
        <is>
          <t>ч/год</t>
        </is>
      </c>
      <c r="E19" s="32" t="n">
        <v>186</v>
      </c>
      <c r="F19" s="32" t="n">
        <v>186</v>
      </c>
      <c r="G19" s="32" t="n">
        <v>186</v>
      </c>
      <c r="H19" s="32" t="n">
        <v>186</v>
      </c>
      <c r="I19" s="32" t="n">
        <v>186</v>
      </c>
      <c r="J19" s="32" t="n">
        <v>186</v>
      </c>
      <c r="K19" s="32" t="n">
        <v>186</v>
      </c>
      <c r="L19" s="32" t="n">
        <v>186</v>
      </c>
      <c r="M19" s="32" t="n">
        <v>186</v>
      </c>
      <c r="N19" s="32" t="n">
        <v>186</v>
      </c>
    </row>
    <row r="20">
      <c r="B20" s="22" t="inlineStr">
        <is>
          <t>Простои в ремонтах</t>
        </is>
      </c>
      <c r="C20" s="24" t="inlineStr">
        <is>
          <t>ч/год</t>
        </is>
      </c>
      <c r="E20" s="32" t="n">
        <v>280</v>
      </c>
      <c r="F20" s="32" t="n">
        <v>570</v>
      </c>
      <c r="G20" s="32" t="n">
        <v>750</v>
      </c>
      <c r="H20" s="32" t="n">
        <v>505</v>
      </c>
      <c r="I20" s="32" t="n">
        <v>930</v>
      </c>
      <c r="J20" s="32" t="n">
        <v>505</v>
      </c>
      <c r="K20" s="32" t="n">
        <v>750</v>
      </c>
      <c r="L20" s="32" t="n">
        <v>505</v>
      </c>
      <c r="M20" s="32" t="n">
        <v>930</v>
      </c>
      <c r="N20" s="32" t="n">
        <v>660</v>
      </c>
    </row>
    <row r="21">
      <c r="B21" s="22" t="inlineStr">
        <is>
          <t>Затраты на ТО (ЗЧ+смазочные)</t>
        </is>
      </c>
      <c r="C21" s="24" t="inlineStr">
        <is>
          <t>тыс.вал/г</t>
        </is>
      </c>
      <c r="E21" s="41" t="n">
        <v>93.681</v>
      </c>
      <c r="F21" s="41" t="n">
        <v>93.681</v>
      </c>
      <c r="G21" s="41" t="n">
        <v>93.681</v>
      </c>
      <c r="H21" s="41" t="n">
        <v>93.681</v>
      </c>
      <c r="I21" s="41" t="n">
        <v>93.681</v>
      </c>
      <c r="J21" s="41" t="n">
        <v>93.681</v>
      </c>
      <c r="K21" s="41" t="n">
        <v>93.681</v>
      </c>
      <c r="L21" s="41" t="n">
        <v>93.681</v>
      </c>
      <c r="M21" s="41" t="n">
        <v>93.681</v>
      </c>
      <c r="N21" s="41" t="n">
        <v>93.681</v>
      </c>
    </row>
    <row r="22">
      <c r="B22" s="22" t="inlineStr">
        <is>
          <t>Затраты на текущие ремонты</t>
        </is>
      </c>
      <c r="C22" s="24" t="inlineStr">
        <is>
          <t>тыс.вал/г</t>
        </is>
      </c>
      <c r="E22" s="41" t="n">
        <v>17.931</v>
      </c>
      <c r="F22" s="41" t="n">
        <v>17.931</v>
      </c>
      <c r="G22" s="41" t="n">
        <v>17.931</v>
      </c>
      <c r="H22" s="41" t="n">
        <v>17.931</v>
      </c>
      <c r="I22" s="41" t="n">
        <v>17.931</v>
      </c>
      <c r="J22" s="41" t="n">
        <v>17.931</v>
      </c>
      <c r="K22" s="41" t="n">
        <v>17.931</v>
      </c>
      <c r="L22" s="41" t="n">
        <v>17.931</v>
      </c>
      <c r="M22" s="41" t="n">
        <v>17.931</v>
      </c>
      <c r="N22" s="41" t="n">
        <v>17.931</v>
      </c>
    </row>
    <row r="23">
      <c r="B23" s="22" t="inlineStr">
        <is>
          <t>Затраты на капитальные/ППР ремонты</t>
        </is>
      </c>
      <c r="C23" s="24" t="inlineStr">
        <is>
          <t>тыс.вал/г</t>
        </is>
      </c>
      <c r="E23" s="41" t="n">
        <v>0</v>
      </c>
      <c r="F23" s="41" t="n">
        <v>62.211</v>
      </c>
      <c r="G23" s="41" t="n">
        <v>433.633</v>
      </c>
      <c r="H23" s="41" t="n">
        <v>156.454</v>
      </c>
      <c r="I23" s="41" t="n">
        <v>803.169</v>
      </c>
      <c r="J23" s="41" t="n">
        <v>592.571</v>
      </c>
      <c r="K23" s="41" t="n">
        <v>103.048</v>
      </c>
      <c r="L23" s="41" t="n">
        <v>120.245</v>
      </c>
      <c r="M23" s="41" t="n">
        <v>1178.573</v>
      </c>
      <c r="N23" s="41" t="n">
        <v>39.493</v>
      </c>
    </row>
    <row r="24">
      <c r="B24" s="22" t="inlineStr">
        <is>
          <t>Сервис (трудозатраты) — ТО</t>
        </is>
      </c>
      <c r="C24" s="24" t="inlineStr">
        <is>
          <t>тыс.вал/г</t>
        </is>
      </c>
      <c r="E24" s="41" t="n">
        <v>17.204</v>
      </c>
      <c r="F24" s="41" t="n">
        <v>17.204</v>
      </c>
      <c r="G24" s="41" t="n">
        <v>17.204</v>
      </c>
      <c r="H24" s="41" t="n">
        <v>17.204</v>
      </c>
      <c r="I24" s="41" t="n">
        <v>17.204</v>
      </c>
      <c r="J24" s="41" t="n">
        <v>17.204</v>
      </c>
      <c r="K24" s="41" t="n">
        <v>17.204</v>
      </c>
      <c r="L24" s="41" t="n">
        <v>17.204</v>
      </c>
      <c r="M24" s="41" t="n">
        <v>17.204</v>
      </c>
      <c r="N24" s="41" t="n">
        <v>17.204</v>
      </c>
    </row>
    <row r="25">
      <c r="B25" s="22" t="inlineStr">
        <is>
          <t>Сервис (трудозатраты) — ремонты</t>
        </is>
      </c>
      <c r="C25" s="24" t="inlineStr">
        <is>
          <t>тыс.вал/г</t>
        </is>
      </c>
      <c r="E25" s="41" t="n">
        <v>6.532</v>
      </c>
      <c r="F25" s="41" t="n">
        <v>20.24</v>
      </c>
      <c r="G25" s="41" t="n">
        <v>35.512</v>
      </c>
      <c r="H25" s="41" t="n">
        <v>19.872</v>
      </c>
      <c r="I25" s="41" t="n">
        <v>41.952</v>
      </c>
      <c r="J25" s="41" t="n">
        <v>19.872</v>
      </c>
      <c r="K25" s="41" t="n">
        <v>35.512</v>
      </c>
      <c r="L25" s="41" t="n">
        <v>19.872</v>
      </c>
      <c r="M25" s="41" t="n">
        <v>41.952</v>
      </c>
      <c r="N25" s="41" t="n">
        <v>27.692</v>
      </c>
    </row>
    <row r="27">
      <c r="B27" s="42" t="inlineStr">
        <is>
          <t>Строки 18–24 — ввод (жёлтое): простои и затраты ТОиР по годам, в валюте (см. «Валюта затрат ТОиР»). Пересчёт в рубли — в «Денежном потоке» по курсу с листа «Параметры». Данные примера — «в расчёте» из 000_БСЛ-2027 (карьер «Сухой Лог»). «Рваный» график капремонтов по годам учитывается дисконтированием.</t>
        </is>
      </c>
    </row>
  </sheetData>
  <mergeCells count="6">
    <mergeCell ref="B27:N27"/>
    <mergeCell ref="B1:N1"/>
    <mergeCell ref="E4:N4"/>
    <mergeCell ref="B18:N18"/>
    <mergeCell ref="B7:N7"/>
    <mergeCell ref="B2:N2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N27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ДАННЫЕ ПОСТАВЩИКА — ВАРИАНТ 4 (ТО и Ремонты ПО ГОДАМ)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Жёлтое — ввод (данные поставщика/расчёта). Зелёное — авто; сводка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7" t="inlineStr">
        <is>
          <t>Автосамосвал:</t>
        </is>
      </c>
      <c r="E4" s="36" t="str">
        <f>'Ввод данных'!G7</f>
        <v>TZCO TZE240</v>
      </c>
    </row>
    <row r="5">
      <c r="B5" s="9" t="inlineStr">
        <is>
          <t>Валюта затрат ТОиР:</t>
        </is>
      </c>
      <c r="D5" s="37" t="inlineStr">
        <is>
          <t>USD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8" t="inlineStr">
        <is>
          <t>Простои на ТО</t>
        </is>
      </c>
      <c r="C8" s="24" t="inlineStr">
        <is>
          <t>ч/год</t>
        </is>
      </c>
      <c r="E8" s="39">
        <f>E19</f>
        <v>196.0</v>
      </c>
      <c r="F8" s="39">
        <f>F19</f>
        <v>196.0</v>
      </c>
      <c r="G8" s="39">
        <f>G19</f>
        <v>196.0</v>
      </c>
      <c r="H8" s="39">
        <f>H19</f>
        <v>196.0</v>
      </c>
      <c r="I8" s="39">
        <f>I19</f>
        <v>196.0</v>
      </c>
      <c r="J8" s="39">
        <f>J19</f>
        <v>196.0</v>
      </c>
      <c r="K8" s="39">
        <f>K19</f>
        <v>196.0</v>
      </c>
      <c r="L8" s="39">
        <f>L19</f>
        <v>196.0</v>
      </c>
      <c r="M8" s="39">
        <f>M19</f>
        <v>196.0</v>
      </c>
      <c r="N8" s="39">
        <f>N19</f>
        <v>196.0</v>
      </c>
    </row>
    <row r="9">
      <c r="B9" s="38" t="inlineStr">
        <is>
          <t>Простои в ремонтах</t>
        </is>
      </c>
      <c r="C9" s="24" t="inlineStr">
        <is>
          <t>ч/год</t>
        </is>
      </c>
      <c r="E9" s="39">
        <f>E20</f>
        <v>425.0</v>
      </c>
      <c r="F9" s="39">
        <f>F20</f>
        <v>690.0</v>
      </c>
      <c r="G9" s="39">
        <f>G20</f>
        <v>1600.0</v>
      </c>
      <c r="H9" s="39">
        <f>H20</f>
        <v>690.0</v>
      </c>
      <c r="I9" s="39">
        <f>I20</f>
        <v>425.0</v>
      </c>
      <c r="J9" s="39">
        <f>J20</f>
        <v>1800.0</v>
      </c>
      <c r="K9" s="39">
        <f>K20</f>
        <v>425.0</v>
      </c>
      <c r="L9" s="39">
        <f>L20</f>
        <v>690.0</v>
      </c>
      <c r="M9" s="39">
        <f>M20</f>
        <v>425.0</v>
      </c>
      <c r="N9" s="39">
        <f>N20</f>
        <v>690.0</v>
      </c>
    </row>
    <row r="10">
      <c r="B10" s="38" t="inlineStr">
        <is>
          <t>Ежесменный осмотр (20 мин/смену), справочно</t>
        </is>
      </c>
      <c r="C10" s="24" t="inlineStr">
        <is>
          <t>ч/год</t>
        </is>
      </c>
      <c r="E10" s="39">
        <f>('Параметры'!C26-E8-E9)/'Параметры'!C27*20/60</f>
        <v>226.08333333333334</v>
      </c>
      <c r="F10" s="39">
        <f>('Параметры'!C26-F8-F9)/'Параметры'!C27*20/60</f>
        <v>218.7222222222222</v>
      </c>
      <c r="G10" s="39">
        <f>('Параметры'!C26-G8-G9)/'Параметры'!C27*20/60</f>
        <v>193.44444444444446</v>
      </c>
      <c r="H10" s="39">
        <f>('Параметры'!C26-H8-H9)/'Параметры'!C27*20/60</f>
        <v>218.7222222222222</v>
      </c>
      <c r="I10" s="39">
        <f>('Параметры'!C26-I8-I9)/'Параметры'!C27*20/60</f>
        <v>226.08333333333334</v>
      </c>
      <c r="J10" s="39">
        <f>('Параметры'!C26-J8-J9)/'Параметры'!C27*20/60</f>
        <v>187.88888888888886</v>
      </c>
      <c r="K10" s="39">
        <f>('Параметры'!C26-K8-K9)/'Параметры'!C27*20/60</f>
        <v>226.08333333333334</v>
      </c>
      <c r="L10" s="39">
        <f>('Параметры'!C26-L8-L9)/'Параметры'!C27*20/60</f>
        <v>218.7222222222222</v>
      </c>
      <c r="M10" s="39">
        <f>('Параметры'!C26-M8-M9)/'Параметры'!C27*20/60</f>
        <v>226.08333333333334</v>
      </c>
      <c r="N10" s="39">
        <f>('Параметры'!C26-N8-N9)/'Параметры'!C27*20/60</f>
        <v>218.7222222222222</v>
      </c>
    </row>
    <row r="11">
      <c r="B11" s="22" t="inlineStr">
        <is>
          <t>КТГ (техготовность) → «Данные по годам»</t>
        </is>
      </c>
      <c r="C11" s="24" t="inlineStr">
        <is>
          <t>коэф.</t>
        </is>
      </c>
      <c r="E11" s="33" t="n">
        <v>0.9096</v>
      </c>
      <c r="F11" s="33" t="n">
        <v>0.8842</v>
      </c>
      <c r="G11" s="33" t="n">
        <v>0.774</v>
      </c>
      <c r="H11" s="33" t="n">
        <v>0.8842</v>
      </c>
      <c r="I11" s="33" t="n">
        <v>0.9096</v>
      </c>
      <c r="J11" s="33" t="n">
        <v>0.748</v>
      </c>
      <c r="K11" s="33" t="n">
        <v>0.9096</v>
      </c>
      <c r="L11" s="33" t="n">
        <v>0.8842</v>
      </c>
      <c r="M11" s="33" t="n">
        <v>0.9096</v>
      </c>
      <c r="N11" s="33" t="n">
        <v>0.8842</v>
      </c>
    </row>
    <row r="12">
      <c r="B12" s="38" t="inlineStr">
        <is>
          <t>Затраты на ТО (ЗЧ+смазочные)</t>
        </is>
      </c>
      <c r="C12" s="24" t="inlineStr">
        <is>
          <t>тыс.вал/г</t>
        </is>
      </c>
      <c r="E12" s="40">
        <f>E21</f>
        <v>217.032</v>
      </c>
      <c r="F12" s="40">
        <f>F21</f>
        <v>217.032</v>
      </c>
      <c r="G12" s="40">
        <f>G21</f>
        <v>217.032</v>
      </c>
      <c r="H12" s="40">
        <f>H21</f>
        <v>217.032</v>
      </c>
      <c r="I12" s="40">
        <f>I21</f>
        <v>217.032</v>
      </c>
      <c r="J12" s="40">
        <f>J21</f>
        <v>217.032</v>
      </c>
      <c r="K12" s="40">
        <f>K21</f>
        <v>217.032</v>
      </c>
      <c r="L12" s="40">
        <f>L21</f>
        <v>217.032</v>
      </c>
      <c r="M12" s="40">
        <f>M21</f>
        <v>217.032</v>
      </c>
      <c r="N12" s="40">
        <f>N21</f>
        <v>217.032</v>
      </c>
    </row>
    <row r="13">
      <c r="B13" s="38" t="inlineStr">
        <is>
          <t>Затраты на текущие ремонты</t>
        </is>
      </c>
      <c r="C13" s="24" t="inlineStr">
        <is>
          <t>тыс.вал/г</t>
        </is>
      </c>
      <c r="E13" s="40">
        <f>E22</f>
        <v>7.5</v>
      </c>
      <c r="F13" s="40">
        <f>F22</f>
        <v>7.5</v>
      </c>
      <c r="G13" s="40">
        <f>G22</f>
        <v>7.5</v>
      </c>
      <c r="H13" s="40">
        <f>H22</f>
        <v>7.5</v>
      </c>
      <c r="I13" s="40">
        <f>I22</f>
        <v>7.5</v>
      </c>
      <c r="J13" s="40">
        <f>J22</f>
        <v>7.5</v>
      </c>
      <c r="K13" s="40">
        <f>K22</f>
        <v>7.5</v>
      </c>
      <c r="L13" s="40">
        <f>L22</f>
        <v>7.5</v>
      </c>
      <c r="M13" s="40">
        <f>M22</f>
        <v>7.5</v>
      </c>
      <c r="N13" s="40">
        <f>N22</f>
        <v>7.5</v>
      </c>
    </row>
    <row r="14">
      <c r="B14" s="38" t="inlineStr">
        <is>
          <t>Затраты на капитальные/ППР ремонты</t>
        </is>
      </c>
      <c r="C14" s="24" t="inlineStr">
        <is>
          <t>тыс.вал/г</t>
        </is>
      </c>
      <c r="E14" s="40">
        <f>E23</f>
        <v>22.18</v>
      </c>
      <c r="F14" s="40">
        <f>F23</f>
        <v>117.302</v>
      </c>
      <c r="G14" s="40">
        <f>G23</f>
        <v>1471.522</v>
      </c>
      <c r="H14" s="40">
        <f>H23</f>
        <v>117.302</v>
      </c>
      <c r="I14" s="40">
        <f>I23</f>
        <v>22.18</v>
      </c>
      <c r="J14" s="40">
        <f>J23</f>
        <v>1566.643</v>
      </c>
      <c r="K14" s="40">
        <f>K23</f>
        <v>22.18</v>
      </c>
      <c r="L14" s="40">
        <f>L23</f>
        <v>117.302</v>
      </c>
      <c r="M14" s="40">
        <f>M23</f>
        <v>22.18</v>
      </c>
      <c r="N14" s="40">
        <f>N23</f>
        <v>117.302</v>
      </c>
    </row>
    <row r="15">
      <c r="B15" s="38" t="inlineStr">
        <is>
          <t>Сервис (трудозатраты) — ТО</t>
        </is>
      </c>
      <c r="C15" s="24" t="inlineStr">
        <is>
          <t>тыс.вал/г</t>
        </is>
      </c>
      <c r="E15" s="40">
        <f>E24</f>
        <v>50.416</v>
      </c>
      <c r="F15" s="40">
        <f>F24</f>
        <v>50.416</v>
      </c>
      <c r="G15" s="40">
        <f>G24</f>
        <v>50.416</v>
      </c>
      <c r="H15" s="40">
        <f>H24</f>
        <v>50.416</v>
      </c>
      <c r="I15" s="40">
        <f>I24</f>
        <v>50.416</v>
      </c>
      <c r="J15" s="40">
        <f>J24</f>
        <v>50.416</v>
      </c>
      <c r="K15" s="40">
        <f>K24</f>
        <v>50.416</v>
      </c>
      <c r="L15" s="40">
        <f>L24</f>
        <v>50.416</v>
      </c>
      <c r="M15" s="40">
        <f>M24</f>
        <v>50.416</v>
      </c>
      <c r="N15" s="40">
        <f>N24</f>
        <v>50.416</v>
      </c>
    </row>
    <row r="16">
      <c r="B16" s="38" t="inlineStr">
        <is>
          <t>Сервис (трудозатраты) — ремонты</t>
        </is>
      </c>
      <c r="C16" s="24" t="inlineStr">
        <is>
          <t>тыс.вал/г</t>
        </is>
      </c>
      <c r="E16" s="40">
        <f>E25</f>
        <v>2.208</v>
      </c>
      <c r="F16" s="40">
        <f>F25</f>
        <v>237.323</v>
      </c>
      <c r="G16" s="40">
        <f>G25</f>
        <v>134.734</v>
      </c>
      <c r="H16" s="40">
        <f>H25</f>
        <v>237.323</v>
      </c>
      <c r="I16" s="40">
        <f>I25</f>
        <v>2.208</v>
      </c>
      <c r="J16" s="40">
        <f>J25</f>
        <v>369.849</v>
      </c>
      <c r="K16" s="40">
        <f>K25</f>
        <v>2.208</v>
      </c>
      <c r="L16" s="40">
        <f>L25</f>
        <v>237.323</v>
      </c>
      <c r="M16" s="40">
        <f>M25</f>
        <v>2.208</v>
      </c>
      <c r="N16" s="40">
        <f>N25</f>
        <v>237.323</v>
      </c>
    </row>
    <row r="17">
      <c r="B17" s="38" t="inlineStr">
        <is>
          <t>ИТОГО ТОиР → «Данные по годам»</t>
        </is>
      </c>
      <c r="C17" s="24" t="inlineStr">
        <is>
          <t>тыс.вал/г</t>
        </is>
      </c>
      <c r="E17" s="40">
        <f>E12+E13+E14+E15+E16</f>
        <v>299.33600000000007</v>
      </c>
      <c r="F17" s="40">
        <f>F12+F13+F14+F15+F16</f>
        <v>629.573</v>
      </c>
      <c r="G17" s="40">
        <f>G12+G13+G14+G15+G16</f>
        <v>1881.2039999999997</v>
      </c>
      <c r="H17" s="40">
        <f>H12+H13+H14+H15+H16</f>
        <v>629.573</v>
      </c>
      <c r="I17" s="40">
        <f>I12+I13+I14+I15+I16</f>
        <v>299.33600000000007</v>
      </c>
      <c r="J17" s="40">
        <f>J12+J13+J14+J15+J16</f>
        <v>2211.44</v>
      </c>
      <c r="K17" s="40">
        <f>K12+K13+K14+K15+K16</f>
        <v>299.33600000000007</v>
      </c>
      <c r="L17" s="40">
        <f>L12+L13+L14+L15+L16</f>
        <v>629.573</v>
      </c>
      <c r="M17" s="40">
        <f>M12+M13+M14+M15+M16</f>
        <v>299.33600000000007</v>
      </c>
      <c r="N17" s="40">
        <f>N12+N13+N14+N15+N16</f>
        <v>629.573</v>
      </c>
    </row>
    <row r="18">
      <c r="B18" s="5" t="inlineStr">
        <is>
          <t>ВВОД ДАННЫХ ПОСТАВЩИКА ПО ГОДАМ (жёлтое)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B19" s="22" t="inlineStr">
        <is>
          <t>Простои на ТО</t>
        </is>
      </c>
      <c r="C19" s="24" t="inlineStr">
        <is>
          <t>ч/год</t>
        </is>
      </c>
      <c r="E19" s="32" t="n">
        <v>196</v>
      </c>
      <c r="F19" s="32" t="n">
        <v>196</v>
      </c>
      <c r="G19" s="32" t="n">
        <v>196</v>
      </c>
      <c r="H19" s="32" t="n">
        <v>196</v>
      </c>
      <c r="I19" s="32" t="n">
        <v>196</v>
      </c>
      <c r="J19" s="32" t="n">
        <v>196</v>
      </c>
      <c r="K19" s="32" t="n">
        <v>196</v>
      </c>
      <c r="L19" s="32" t="n">
        <v>196</v>
      </c>
      <c r="M19" s="32" t="n">
        <v>196</v>
      </c>
      <c r="N19" s="32" t="n">
        <v>196</v>
      </c>
    </row>
    <row r="20">
      <c r="B20" s="22" t="inlineStr">
        <is>
          <t>Простои в ремонтах</t>
        </is>
      </c>
      <c r="C20" s="24" t="inlineStr">
        <is>
          <t>ч/год</t>
        </is>
      </c>
      <c r="E20" s="32" t="n">
        <v>425</v>
      </c>
      <c r="F20" s="32" t="n">
        <v>690</v>
      </c>
      <c r="G20" s="32" t="n">
        <v>1600</v>
      </c>
      <c r="H20" s="32" t="n">
        <v>690</v>
      </c>
      <c r="I20" s="32" t="n">
        <v>425</v>
      </c>
      <c r="J20" s="32" t="n">
        <v>1800</v>
      </c>
      <c r="K20" s="32" t="n">
        <v>425</v>
      </c>
      <c r="L20" s="32" t="n">
        <v>690</v>
      </c>
      <c r="M20" s="32" t="n">
        <v>425</v>
      </c>
      <c r="N20" s="32" t="n">
        <v>690</v>
      </c>
    </row>
    <row r="21">
      <c r="B21" s="22" t="inlineStr">
        <is>
          <t>Затраты на ТО (ЗЧ+смазочные)</t>
        </is>
      </c>
      <c r="C21" s="24" t="inlineStr">
        <is>
          <t>тыс.вал/г</t>
        </is>
      </c>
      <c r="E21" s="41" t="n">
        <v>217.032</v>
      </c>
      <c r="F21" s="41" t="n">
        <v>217.032</v>
      </c>
      <c r="G21" s="41" t="n">
        <v>217.032</v>
      </c>
      <c r="H21" s="41" t="n">
        <v>217.032</v>
      </c>
      <c r="I21" s="41" t="n">
        <v>217.032</v>
      </c>
      <c r="J21" s="41" t="n">
        <v>217.032</v>
      </c>
      <c r="K21" s="41" t="n">
        <v>217.032</v>
      </c>
      <c r="L21" s="41" t="n">
        <v>217.032</v>
      </c>
      <c r="M21" s="41" t="n">
        <v>217.032</v>
      </c>
      <c r="N21" s="41" t="n">
        <v>217.032</v>
      </c>
    </row>
    <row r="22">
      <c r="B22" s="22" t="inlineStr">
        <is>
          <t>Затраты на текущие ремонты</t>
        </is>
      </c>
      <c r="C22" s="24" t="inlineStr">
        <is>
          <t>тыс.вал/г</t>
        </is>
      </c>
      <c r="E22" s="41" t="n">
        <v>7.5</v>
      </c>
      <c r="F22" s="41" t="n">
        <v>7.5</v>
      </c>
      <c r="G22" s="41" t="n">
        <v>7.5</v>
      </c>
      <c r="H22" s="41" t="n">
        <v>7.5</v>
      </c>
      <c r="I22" s="41" t="n">
        <v>7.5</v>
      </c>
      <c r="J22" s="41" t="n">
        <v>7.5</v>
      </c>
      <c r="K22" s="41" t="n">
        <v>7.5</v>
      </c>
      <c r="L22" s="41" t="n">
        <v>7.5</v>
      </c>
      <c r="M22" s="41" t="n">
        <v>7.5</v>
      </c>
      <c r="N22" s="41" t="n">
        <v>7.5</v>
      </c>
    </row>
    <row r="23">
      <c r="B23" s="22" t="inlineStr">
        <is>
          <t>Затраты на капитальные/ППР ремонты</t>
        </is>
      </c>
      <c r="C23" s="24" t="inlineStr">
        <is>
          <t>тыс.вал/г</t>
        </is>
      </c>
      <c r="E23" s="41" t="n">
        <v>22.18</v>
      </c>
      <c r="F23" s="41" t="n">
        <v>117.302</v>
      </c>
      <c r="G23" s="41" t="n">
        <v>1471.522</v>
      </c>
      <c r="H23" s="41" t="n">
        <v>117.302</v>
      </c>
      <c r="I23" s="41" t="n">
        <v>22.18</v>
      </c>
      <c r="J23" s="41" t="n">
        <v>1566.643</v>
      </c>
      <c r="K23" s="41" t="n">
        <v>22.18</v>
      </c>
      <c r="L23" s="41" t="n">
        <v>117.302</v>
      </c>
      <c r="M23" s="41" t="n">
        <v>22.18</v>
      </c>
      <c r="N23" s="41" t="n">
        <v>117.302</v>
      </c>
    </row>
    <row r="24">
      <c r="B24" s="22" t="inlineStr">
        <is>
          <t>Сервис (трудозатраты) — ТО</t>
        </is>
      </c>
      <c r="C24" s="24" t="inlineStr">
        <is>
          <t>тыс.вал/г</t>
        </is>
      </c>
      <c r="E24" s="41" t="n">
        <v>50.416</v>
      </c>
      <c r="F24" s="41" t="n">
        <v>50.416</v>
      </c>
      <c r="G24" s="41" t="n">
        <v>50.416</v>
      </c>
      <c r="H24" s="41" t="n">
        <v>50.416</v>
      </c>
      <c r="I24" s="41" t="n">
        <v>50.416</v>
      </c>
      <c r="J24" s="41" t="n">
        <v>50.416</v>
      </c>
      <c r="K24" s="41" t="n">
        <v>50.416</v>
      </c>
      <c r="L24" s="41" t="n">
        <v>50.416</v>
      </c>
      <c r="M24" s="41" t="n">
        <v>50.416</v>
      </c>
      <c r="N24" s="41" t="n">
        <v>50.416</v>
      </c>
    </row>
    <row r="25">
      <c r="B25" s="22" t="inlineStr">
        <is>
          <t>Сервис (трудозатраты) — ремонты</t>
        </is>
      </c>
      <c r="C25" s="24" t="inlineStr">
        <is>
          <t>тыс.вал/г</t>
        </is>
      </c>
      <c r="E25" s="41" t="n">
        <v>2.208</v>
      </c>
      <c r="F25" s="41" t="n">
        <v>237.323</v>
      </c>
      <c r="G25" s="41" t="n">
        <v>134.734</v>
      </c>
      <c r="H25" s="41" t="n">
        <v>237.323</v>
      </c>
      <c r="I25" s="41" t="n">
        <v>2.208</v>
      </c>
      <c r="J25" s="41" t="n">
        <v>369.849</v>
      </c>
      <c r="K25" s="41" t="n">
        <v>2.208</v>
      </c>
      <c r="L25" s="41" t="n">
        <v>237.323</v>
      </c>
      <c r="M25" s="41" t="n">
        <v>2.208</v>
      </c>
      <c r="N25" s="41" t="n">
        <v>237.323</v>
      </c>
    </row>
    <row r="27">
      <c r="B27" s="42" t="inlineStr">
        <is>
          <t>Строки 18–24 — ввод (жёлтое): простои и затраты ТОиР по годам, в валюте (см. «Валюта затрат ТОиР»). Пересчёт в рубли — в «Денежном потоке» по курсу с листа «Параметры». Данные примера — «в расчёте» из 000_БСЛ-2027 (карьер «Сухой Лог»). «Рваный» график капремонтов по годам учитывается дисконтированием.</t>
        </is>
      </c>
    </row>
  </sheetData>
  <mergeCells count="6">
    <mergeCell ref="B27:N27"/>
    <mergeCell ref="B1:N1"/>
    <mergeCell ref="E4:N4"/>
    <mergeCell ref="B18:N18"/>
    <mergeCell ref="B7:N7"/>
    <mergeCell ref="B2:N2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N27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ДАННЫЕ ПОСТАВЩИКА — ВАРИАНТ 5 (ТО и Ремонты ПО ГОДАМ)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Жёлтое — ввод (данные поставщика/расчёта). Зелёное — авто; сводка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7" t="inlineStr">
        <is>
          <t>Автосамосвал:</t>
        </is>
      </c>
      <c r="E4" s="36" t="str">
        <f>'Ввод данных'!H7</f>
        <v>БелАЗ 7531
(ГПФК)</v>
      </c>
    </row>
    <row r="5">
      <c r="B5" s="9" t="inlineStr">
        <is>
          <t>Валюта затрат ТОиР:</t>
        </is>
      </c>
      <c r="D5" s="37" t="inlineStr">
        <is>
          <t>USD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8" t="inlineStr">
        <is>
          <t>Простои на ТО</t>
        </is>
      </c>
      <c r="C8" s="24" t="inlineStr">
        <is>
          <t>ч/год</t>
        </is>
      </c>
      <c r="E8" s="39">
        <f>E19</f>
        <v>249.395</v>
      </c>
      <c r="F8" s="39">
        <f>F19</f>
        <v>238.375</v>
      </c>
      <c r="G8" s="39">
        <f>G19</f>
        <v>238.375</v>
      </c>
      <c r="H8" s="39">
        <f>H19</f>
        <v>238.375</v>
      </c>
      <c r="I8" s="39">
        <f>I19</f>
        <v>238.375</v>
      </c>
      <c r="J8" s="39">
        <f>J19</f>
        <v>238.375</v>
      </c>
      <c r="K8" s="39">
        <f>K19</f>
        <v>238.375</v>
      </c>
      <c r="L8" s="39">
        <f>L19</f>
        <v>238.375</v>
      </c>
      <c r="M8" s="39">
        <f>M19</f>
        <v>238.375</v>
      </c>
      <c r="N8" s="39">
        <f>N19</f>
        <v>238.375</v>
      </c>
    </row>
    <row r="9">
      <c r="B9" s="38" t="inlineStr">
        <is>
          <t>Простои в ремонтах</t>
        </is>
      </c>
      <c r="C9" s="24" t="inlineStr">
        <is>
          <t>ч/год</t>
        </is>
      </c>
      <c r="E9" s="39">
        <f>E20</f>
        <v>135.0</v>
      </c>
      <c r="F9" s="39">
        <f>F20</f>
        <v>341.0</v>
      </c>
      <c r="G9" s="39">
        <f>G20</f>
        <v>417.667</v>
      </c>
      <c r="H9" s="39">
        <f>H20</f>
        <v>588.0</v>
      </c>
      <c r="I9" s="39">
        <f>I20</f>
        <v>402.0</v>
      </c>
      <c r="J9" s="39">
        <f>J20</f>
        <v>680.333</v>
      </c>
      <c r="K9" s="39">
        <f>K20</f>
        <v>549.0</v>
      </c>
      <c r="L9" s="39">
        <f>L20</f>
        <v>487.0</v>
      </c>
      <c r="M9" s="39">
        <f>M20</f>
        <v>793.0</v>
      </c>
      <c r="N9" s="39">
        <f>N20</f>
        <v>842.333</v>
      </c>
    </row>
    <row r="10">
      <c r="B10" s="38" t="inlineStr">
        <is>
          <t>Ежесменный осмотр (20 мин/смену), справочно</t>
        </is>
      </c>
      <c r="C10" s="24" t="inlineStr">
        <is>
          <t>ч/год</t>
        </is>
      </c>
      <c r="E10" s="39">
        <f>('Параметры'!C26-E8-E9)/'Параметры'!C27*20/60</f>
        <v>232.65569444444446</v>
      </c>
      <c r="F10" s="39">
        <f>('Параметры'!C26-F8-F9)/'Параметры'!C27*20/60</f>
        <v>227.23958333333334</v>
      </c>
      <c r="G10" s="39">
        <f>('Параметры'!C26-G8-G9)/'Параметры'!C27*20/60</f>
        <v>225.10994444444444</v>
      </c>
      <c r="H10" s="39">
        <f>('Параметры'!C26-H8-H9)/'Параметры'!C27*20/60</f>
        <v>220.3784722222222</v>
      </c>
      <c r="I10" s="39">
        <f>('Параметры'!C26-I8-I9)/'Параметры'!C27*20/60</f>
        <v>225.54513888888886</v>
      </c>
      <c r="J10" s="39">
        <f>('Параметры'!C26-J8-J9)/'Параметры'!C27*20/60</f>
        <v>217.81366666666665</v>
      </c>
      <c r="K10" s="39">
        <f>('Параметры'!C26-K8-K9)/'Параметры'!C27*20/60</f>
        <v>221.46180555555554</v>
      </c>
      <c r="L10" s="39">
        <f>('Параметры'!C26-L8-L9)/'Параметры'!C27*20/60</f>
        <v>223.1840277777778</v>
      </c>
      <c r="M10" s="39">
        <f>('Параметры'!C26-M8-M9)/'Параметры'!C27*20/60</f>
        <v>214.6840277777778</v>
      </c>
      <c r="N10" s="39">
        <f>('Параметры'!C26-N8-N9)/'Параметры'!C27*20/60</f>
        <v>213.31366666666665</v>
      </c>
    </row>
    <row r="11">
      <c r="B11" s="22" t="inlineStr">
        <is>
          <t>КТГ (техготовность) → «Данные по годам»</t>
        </is>
      </c>
      <c r="C11" s="24" t="inlineStr">
        <is>
          <t>коэф.</t>
        </is>
      </c>
      <c r="E11" s="33" t="n">
        <v>0.9083</v>
      </c>
      <c r="F11" s="33" t="n">
        <v>0.8858</v>
      </c>
      <c r="G11" s="33" t="n">
        <v>0.8646</v>
      </c>
      <c r="H11" s="33" t="n">
        <v>0.8748</v>
      </c>
      <c r="I11" s="33" t="n">
        <v>0.8813</v>
      </c>
      <c r="J11" s="33" t="n">
        <v>0.8464</v>
      </c>
      <c r="K11" s="33" t="n">
        <v>0.8971</v>
      </c>
      <c r="L11" s="33" t="n">
        <v>0.8546</v>
      </c>
      <c r="M11" s="33" t="n">
        <v>0.842</v>
      </c>
      <c r="N11" s="33" t="n">
        <v>0.8611</v>
      </c>
    </row>
    <row r="12">
      <c r="B12" s="38" t="inlineStr">
        <is>
          <t>Затраты на ТО (ЗЧ+смазочные)</t>
        </is>
      </c>
      <c r="C12" s="24" t="inlineStr">
        <is>
          <t>тыс.вал/г</t>
        </is>
      </c>
      <c r="E12" s="40">
        <f>E21</f>
        <v>62.265</v>
      </c>
      <c r="F12" s="40">
        <f>F21</f>
        <v>51.1</v>
      </c>
      <c r="G12" s="40">
        <f>G21</f>
        <v>51.1</v>
      </c>
      <c r="H12" s="40">
        <f>H21</f>
        <v>51.1</v>
      </c>
      <c r="I12" s="40">
        <f>I21</f>
        <v>51.1</v>
      </c>
      <c r="J12" s="40">
        <f>J21</f>
        <v>51.1</v>
      </c>
      <c r="K12" s="40">
        <f>K21</f>
        <v>51.1</v>
      </c>
      <c r="L12" s="40">
        <f>L21</f>
        <v>51.1</v>
      </c>
      <c r="M12" s="40">
        <f>M21</f>
        <v>51.1</v>
      </c>
      <c r="N12" s="40">
        <f>N21</f>
        <v>51.1</v>
      </c>
    </row>
    <row r="13">
      <c r="B13" s="38" t="inlineStr">
        <is>
          <t>Затраты на текущие ремонты</t>
        </is>
      </c>
      <c r="C13" s="24" t="inlineStr">
        <is>
          <t>тыс.вал/г</t>
        </is>
      </c>
      <c r="E13" s="40">
        <f>E22</f>
        <v>16.5</v>
      </c>
      <c r="F13" s="40">
        <f>F22</f>
        <v>183.7</v>
      </c>
      <c r="G13" s="40">
        <f>G22</f>
        <v>158.5</v>
      </c>
      <c r="H13" s="40">
        <f>H22</f>
        <v>50.7</v>
      </c>
      <c r="I13" s="40">
        <f>I22</f>
        <v>163.5</v>
      </c>
      <c r="J13" s="40">
        <f>J22</f>
        <v>188.7</v>
      </c>
      <c r="K13" s="40">
        <f>K22</f>
        <v>35.5</v>
      </c>
      <c r="L13" s="40">
        <f>L22</f>
        <v>198.7</v>
      </c>
      <c r="M13" s="40">
        <f>M22</f>
        <v>173.5</v>
      </c>
      <c r="N13" s="40">
        <f>N22</f>
        <v>70.7</v>
      </c>
    </row>
    <row r="14">
      <c r="B14" s="38" t="inlineStr">
        <is>
          <t>Затраты на капитальные/ППР ремонты</t>
        </is>
      </c>
      <c r="C14" s="24" t="inlineStr">
        <is>
          <t>тыс.вал/г</t>
        </is>
      </c>
      <c r="E14" s="40">
        <f>E23</f>
        <v>0.0</v>
      </c>
      <c r="F14" s="40">
        <f>F23</f>
        <v>0.0</v>
      </c>
      <c r="G14" s="40">
        <f>G23</f>
        <v>267.4</v>
      </c>
      <c r="H14" s="40">
        <f>H23</f>
        <v>530.0</v>
      </c>
      <c r="I14" s="40">
        <f>I23</f>
        <v>327.0</v>
      </c>
      <c r="J14" s="40">
        <f>J23</f>
        <v>338.2</v>
      </c>
      <c r="K14" s="40">
        <f>K23</f>
        <v>14.2</v>
      </c>
      <c r="L14" s="40">
        <f>L23</f>
        <v>490.0</v>
      </c>
      <c r="M14" s="40">
        <f>M23</f>
        <v>620.2</v>
      </c>
      <c r="N14" s="40">
        <f>N23</f>
        <v>0.0</v>
      </c>
    </row>
    <row r="15">
      <c r="B15" s="38" t="inlineStr">
        <is>
          <t>Сервис (трудозатраты) — ТО</t>
        </is>
      </c>
      <c r="C15" s="24" t="inlineStr">
        <is>
          <t>тыс.вал/г</t>
        </is>
      </c>
      <c r="E15" s="40">
        <f>E24</f>
        <v>60.181</v>
      </c>
      <c r="F15" s="40">
        <f>F24</f>
        <v>59.257</v>
      </c>
      <c r="G15" s="40">
        <f>G24</f>
        <v>59.257</v>
      </c>
      <c r="H15" s="40">
        <f>H24</f>
        <v>59.257</v>
      </c>
      <c r="I15" s="40">
        <f>I24</f>
        <v>59.257</v>
      </c>
      <c r="J15" s="40">
        <f>J24</f>
        <v>59.257</v>
      </c>
      <c r="K15" s="40">
        <f>K24</f>
        <v>59.257</v>
      </c>
      <c r="L15" s="40">
        <f>L24</f>
        <v>59.257</v>
      </c>
      <c r="M15" s="40">
        <f>M24</f>
        <v>59.257</v>
      </c>
      <c r="N15" s="40">
        <f>N24</f>
        <v>59.257</v>
      </c>
    </row>
    <row r="16">
      <c r="B16" s="38" t="inlineStr">
        <is>
          <t>Сервис (трудозатраты) — ремонты</t>
        </is>
      </c>
      <c r="C16" s="24" t="inlineStr">
        <is>
          <t>тыс.вал/г</t>
        </is>
      </c>
      <c r="E16" s="40">
        <f>E25</f>
        <v>9.101</v>
      </c>
      <c r="F16" s="40">
        <f>F25</f>
        <v>23.544</v>
      </c>
      <c r="G16" s="40">
        <f>G25</f>
        <v>35.811</v>
      </c>
      <c r="H16" s="40">
        <f>H25</f>
        <v>35.949</v>
      </c>
      <c r="I16" s="40">
        <f>I25</f>
        <v>30.766</v>
      </c>
      <c r="J16" s="40">
        <f>J25</f>
        <v>51.362</v>
      </c>
      <c r="K16" s="40">
        <f>K25</f>
        <v>20.438</v>
      </c>
      <c r="L16" s="40">
        <f>L25</f>
        <v>48.137</v>
      </c>
      <c r="M16" s="40">
        <f>M25</f>
        <v>57.693</v>
      </c>
      <c r="N16" s="40">
        <f>N25</f>
        <v>50.452</v>
      </c>
    </row>
    <row r="17">
      <c r="B17" s="38" t="inlineStr">
        <is>
          <t>ИТОГО ТОиР → «Данные по годам»</t>
        </is>
      </c>
      <c r="C17" s="24" t="inlineStr">
        <is>
          <t>тыс.вал/г</t>
        </is>
      </c>
      <c r="E17" s="40">
        <f>E12+E13+E14+E15+E16</f>
        <v>148.047</v>
      </c>
      <c r="F17" s="40">
        <f>F12+F13+F14+F15+F16</f>
        <v>317.60099999999994</v>
      </c>
      <c r="G17" s="40">
        <f>G12+G13+G14+G15+G16</f>
        <v>572.068</v>
      </c>
      <c r="H17" s="40">
        <f>H12+H13+H14+H15+H16</f>
        <v>727.0059999999999</v>
      </c>
      <c r="I17" s="40">
        <f>I12+I13+I14+I15+I16</f>
        <v>631.6229999999999</v>
      </c>
      <c r="J17" s="40">
        <f>J12+J13+J14+J15+J16</f>
        <v>688.6189999999999</v>
      </c>
      <c r="K17" s="40">
        <f>K12+K13+K14+K15+K16</f>
        <v>180.49499999999998</v>
      </c>
      <c r="L17" s="40">
        <f>L12+L13+L14+L15+L16</f>
        <v>847.194</v>
      </c>
      <c r="M17" s="40">
        <f>M12+M13+M14+M15+M16</f>
        <v>961.75</v>
      </c>
      <c r="N17" s="40">
        <f>N12+N13+N14+N15+N16</f>
        <v>231.50900000000001</v>
      </c>
    </row>
    <row r="18">
      <c r="B18" s="5" t="inlineStr">
        <is>
          <t>ВВОД ДАННЫХ ПОСТАВЩИКА ПО ГОДАМ (жёлтое)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B19" s="22" t="inlineStr">
        <is>
          <t>Простои на ТО</t>
        </is>
      </c>
      <c r="C19" s="24" t="inlineStr">
        <is>
          <t>ч/год</t>
        </is>
      </c>
      <c r="E19" s="32" t="n">
        <v>249.395</v>
      </c>
      <c r="F19" s="32" t="n">
        <v>238.375</v>
      </c>
      <c r="G19" s="32" t="n">
        <v>238.375</v>
      </c>
      <c r="H19" s="32" t="n">
        <v>238.375</v>
      </c>
      <c r="I19" s="32" t="n">
        <v>238.375</v>
      </c>
      <c r="J19" s="32" t="n">
        <v>238.375</v>
      </c>
      <c r="K19" s="32" t="n">
        <v>238.375</v>
      </c>
      <c r="L19" s="32" t="n">
        <v>238.375</v>
      </c>
      <c r="M19" s="32" t="n">
        <v>238.375</v>
      </c>
      <c r="N19" s="32" t="n">
        <v>238.375</v>
      </c>
    </row>
    <row r="20">
      <c r="B20" s="22" t="inlineStr">
        <is>
          <t>Простои в ремонтах</t>
        </is>
      </c>
      <c r="C20" s="24" t="inlineStr">
        <is>
          <t>ч/год</t>
        </is>
      </c>
      <c r="E20" s="32" t="n">
        <v>135</v>
      </c>
      <c r="F20" s="32" t="n">
        <v>341</v>
      </c>
      <c r="G20" s="32" t="n">
        <v>417.667</v>
      </c>
      <c r="H20" s="32" t="n">
        <v>588</v>
      </c>
      <c r="I20" s="32" t="n">
        <v>402</v>
      </c>
      <c r="J20" s="32" t="n">
        <v>680.333</v>
      </c>
      <c r="K20" s="32" t="n">
        <v>549</v>
      </c>
      <c r="L20" s="32" t="n">
        <v>487</v>
      </c>
      <c r="M20" s="32" t="n">
        <v>793</v>
      </c>
      <c r="N20" s="32" t="n">
        <v>842.333</v>
      </c>
    </row>
    <row r="21">
      <c r="B21" s="22" t="inlineStr">
        <is>
          <t>Затраты на ТО (ЗЧ+смазочные)</t>
        </is>
      </c>
      <c r="C21" s="24" t="inlineStr">
        <is>
          <t>тыс.вал/г</t>
        </is>
      </c>
      <c r="E21" s="41" t="n">
        <v>62.265</v>
      </c>
      <c r="F21" s="41" t="n">
        <v>51.1</v>
      </c>
      <c r="G21" s="41" t="n">
        <v>51.1</v>
      </c>
      <c r="H21" s="41" t="n">
        <v>51.1</v>
      </c>
      <c r="I21" s="41" t="n">
        <v>51.1</v>
      </c>
      <c r="J21" s="41" t="n">
        <v>51.1</v>
      </c>
      <c r="K21" s="41" t="n">
        <v>51.1</v>
      </c>
      <c r="L21" s="41" t="n">
        <v>51.1</v>
      </c>
      <c r="M21" s="41" t="n">
        <v>51.1</v>
      </c>
      <c r="N21" s="41" t="n">
        <v>51.1</v>
      </c>
    </row>
    <row r="22">
      <c r="B22" s="22" t="inlineStr">
        <is>
          <t>Затраты на текущие ремонты</t>
        </is>
      </c>
      <c r="C22" s="24" t="inlineStr">
        <is>
          <t>тыс.вал/г</t>
        </is>
      </c>
      <c r="E22" s="41" t="n">
        <v>16.5</v>
      </c>
      <c r="F22" s="41" t="n">
        <v>183.7</v>
      </c>
      <c r="G22" s="41" t="n">
        <v>158.5</v>
      </c>
      <c r="H22" s="41" t="n">
        <v>50.7</v>
      </c>
      <c r="I22" s="41" t="n">
        <v>163.5</v>
      </c>
      <c r="J22" s="41" t="n">
        <v>188.7</v>
      </c>
      <c r="K22" s="41" t="n">
        <v>35.5</v>
      </c>
      <c r="L22" s="41" t="n">
        <v>198.7</v>
      </c>
      <c r="M22" s="41" t="n">
        <v>173.5</v>
      </c>
      <c r="N22" s="41" t="n">
        <v>70.7</v>
      </c>
    </row>
    <row r="23">
      <c r="B23" s="22" t="inlineStr">
        <is>
          <t>Затраты на капитальные/ППР ремонты</t>
        </is>
      </c>
      <c r="C23" s="24" t="inlineStr">
        <is>
          <t>тыс.вал/г</t>
        </is>
      </c>
      <c r="E23" s="41" t="n">
        <v>0</v>
      </c>
      <c r="F23" s="41" t="n">
        <v>0</v>
      </c>
      <c r="G23" s="41" t="n">
        <v>267.4</v>
      </c>
      <c r="H23" s="41" t="n">
        <v>530</v>
      </c>
      <c r="I23" s="41" t="n">
        <v>327</v>
      </c>
      <c r="J23" s="41" t="n">
        <v>338.2</v>
      </c>
      <c r="K23" s="41" t="n">
        <v>14.2</v>
      </c>
      <c r="L23" s="41" t="n">
        <v>490</v>
      </c>
      <c r="M23" s="41" t="n">
        <v>620.2</v>
      </c>
      <c r="N23" s="41" t="n">
        <v>0</v>
      </c>
    </row>
    <row r="24">
      <c r="B24" s="22" t="inlineStr">
        <is>
          <t>Сервис (трудозатраты) — ТО</t>
        </is>
      </c>
      <c r="C24" s="24" t="inlineStr">
        <is>
          <t>тыс.вал/г</t>
        </is>
      </c>
      <c r="E24" s="41" t="n">
        <v>60.181</v>
      </c>
      <c r="F24" s="41" t="n">
        <v>59.257</v>
      </c>
      <c r="G24" s="41" t="n">
        <v>59.257</v>
      </c>
      <c r="H24" s="41" t="n">
        <v>59.257</v>
      </c>
      <c r="I24" s="41" t="n">
        <v>59.257</v>
      </c>
      <c r="J24" s="41" t="n">
        <v>59.257</v>
      </c>
      <c r="K24" s="41" t="n">
        <v>59.257</v>
      </c>
      <c r="L24" s="41" t="n">
        <v>59.257</v>
      </c>
      <c r="M24" s="41" t="n">
        <v>59.257</v>
      </c>
      <c r="N24" s="41" t="n">
        <v>59.257</v>
      </c>
    </row>
    <row r="25">
      <c r="B25" s="22" t="inlineStr">
        <is>
          <t>Сервис (трудозатраты) — ремонты</t>
        </is>
      </c>
      <c r="C25" s="24" t="inlineStr">
        <is>
          <t>тыс.вал/г</t>
        </is>
      </c>
      <c r="E25" s="41" t="n">
        <v>9.101000000000001</v>
      </c>
      <c r="F25" s="41" t="n">
        <v>23.544</v>
      </c>
      <c r="G25" s="41" t="n">
        <v>35.811</v>
      </c>
      <c r="H25" s="41" t="n">
        <v>35.949</v>
      </c>
      <c r="I25" s="41" t="n">
        <v>30.766</v>
      </c>
      <c r="J25" s="41" t="n">
        <v>51.362</v>
      </c>
      <c r="K25" s="41" t="n">
        <v>20.438</v>
      </c>
      <c r="L25" s="41" t="n">
        <v>48.137</v>
      </c>
      <c r="M25" s="41" t="n">
        <v>57.693</v>
      </c>
      <c r="N25" s="41" t="n">
        <v>50.452</v>
      </c>
    </row>
    <row r="27">
      <c r="B27" s="42" t="inlineStr">
        <is>
          <t>Строки 18–24 — ввод (жёлтое): простои и затраты ТОиР по годам, в валюте (см. «Валюта затрат ТОиР»). Пересчёт в рубли — в «Денежном потоке» по курсу с листа «Параметры». Данные примера — «в расчёте» из 000_БСЛ-2027 (карьер «Сухой Лог»). «Рваный» график капремонтов по годам учитывается дисконтированием.</t>
        </is>
      </c>
    </row>
  </sheetData>
  <mergeCells count="6">
    <mergeCell ref="B27:N27"/>
    <mergeCell ref="B1:N1"/>
    <mergeCell ref="E4:N4"/>
    <mergeCell ref="B18:N18"/>
    <mergeCell ref="B7:N7"/>
    <mergeCell ref="B2:N2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N27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ДАННЫЕ ПОСТАВЩИКА — ВАРИАНТ 6 (ТО и Ремонты ПО ГОДАМ)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Жёлтое — ввод (данные поставщика/расчёта). Зелёное — авто; сводка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7" t="inlineStr">
        <is>
          <t>Автосамосвал:</t>
        </is>
      </c>
      <c r="E4" s="36" t="str">
        <f>'Ввод данных'!I7</f>
        <v>БелАЗ 7531
(БТЛ)</v>
      </c>
    </row>
    <row r="5">
      <c r="B5" s="9" t="inlineStr">
        <is>
          <t>Валюта затрат ТОиР:</t>
        </is>
      </c>
      <c r="D5" s="37" t="inlineStr">
        <is>
          <t>USD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8" t="inlineStr">
        <is>
          <t>Простои на ТО</t>
        </is>
      </c>
      <c r="C8" s="24" t="inlineStr">
        <is>
          <t>ч/год</t>
        </is>
      </c>
      <c r="E8" s="39">
        <f>E19</f>
        <v>249.395</v>
      </c>
      <c r="F8" s="39">
        <f>F19</f>
        <v>238.375</v>
      </c>
      <c r="G8" s="39">
        <f>G19</f>
        <v>238.375</v>
      </c>
      <c r="H8" s="39">
        <f>H19</f>
        <v>238.375</v>
      </c>
      <c r="I8" s="39">
        <f>I19</f>
        <v>238.375</v>
      </c>
      <c r="J8" s="39">
        <f>J19</f>
        <v>238.375</v>
      </c>
      <c r="K8" s="39">
        <f>K19</f>
        <v>238.375</v>
      </c>
      <c r="L8" s="39">
        <f>L19</f>
        <v>238.375</v>
      </c>
      <c r="M8" s="39">
        <f>M19</f>
        <v>238.375</v>
      </c>
      <c r="N8" s="39">
        <f>N19</f>
        <v>238.375</v>
      </c>
    </row>
    <row r="9">
      <c r="B9" s="38" t="inlineStr">
        <is>
          <t>Простои в ремонтах</t>
        </is>
      </c>
      <c r="C9" s="24" t="inlineStr">
        <is>
          <t>ч/год</t>
        </is>
      </c>
      <c r="E9" s="39">
        <f>E20</f>
        <v>135.0</v>
      </c>
      <c r="F9" s="39">
        <f>F20</f>
        <v>341.0</v>
      </c>
      <c r="G9" s="39">
        <f>G20</f>
        <v>417.667</v>
      </c>
      <c r="H9" s="39">
        <f>H20</f>
        <v>588.0</v>
      </c>
      <c r="I9" s="39">
        <f>I20</f>
        <v>402.0</v>
      </c>
      <c r="J9" s="39">
        <f>J20</f>
        <v>680.333</v>
      </c>
      <c r="K9" s="39">
        <f>K20</f>
        <v>549.0</v>
      </c>
      <c r="L9" s="39">
        <f>L20</f>
        <v>487.0</v>
      </c>
      <c r="M9" s="39">
        <f>M20</f>
        <v>793.0</v>
      </c>
      <c r="N9" s="39">
        <f>N20</f>
        <v>842.333</v>
      </c>
    </row>
    <row r="10">
      <c r="B10" s="38" t="inlineStr">
        <is>
          <t>Ежесменный осмотр (20 мин/смену), справочно</t>
        </is>
      </c>
      <c r="C10" s="24" t="inlineStr">
        <is>
          <t>ч/год</t>
        </is>
      </c>
      <c r="E10" s="39">
        <f>('Параметры'!C26-E8-E9)/'Параметры'!C27*20/60</f>
        <v>232.65569444444446</v>
      </c>
      <c r="F10" s="39">
        <f>('Параметры'!C26-F8-F9)/'Параметры'!C27*20/60</f>
        <v>227.23958333333334</v>
      </c>
      <c r="G10" s="39">
        <f>('Параметры'!C26-G8-G9)/'Параметры'!C27*20/60</f>
        <v>225.10994444444444</v>
      </c>
      <c r="H10" s="39">
        <f>('Параметры'!C26-H8-H9)/'Параметры'!C27*20/60</f>
        <v>220.3784722222222</v>
      </c>
      <c r="I10" s="39">
        <f>('Параметры'!C26-I8-I9)/'Параметры'!C27*20/60</f>
        <v>225.54513888888886</v>
      </c>
      <c r="J10" s="39">
        <f>('Параметры'!C26-J8-J9)/'Параметры'!C27*20/60</f>
        <v>217.81366666666665</v>
      </c>
      <c r="K10" s="39">
        <f>('Параметры'!C26-K8-K9)/'Параметры'!C27*20/60</f>
        <v>221.46180555555554</v>
      </c>
      <c r="L10" s="39">
        <f>('Параметры'!C26-L8-L9)/'Параметры'!C27*20/60</f>
        <v>223.1840277777778</v>
      </c>
      <c r="M10" s="39">
        <f>('Параметры'!C26-M8-M9)/'Параметры'!C27*20/60</f>
        <v>214.6840277777778</v>
      </c>
      <c r="N10" s="39">
        <f>('Параметры'!C26-N8-N9)/'Параметры'!C27*20/60</f>
        <v>213.31366666666665</v>
      </c>
    </row>
    <row r="11">
      <c r="B11" s="22" t="inlineStr">
        <is>
          <t>КТГ (техготовность) → «Данные по годам»</t>
        </is>
      </c>
      <c r="C11" s="24" t="inlineStr">
        <is>
          <t>коэф.</t>
        </is>
      </c>
      <c r="E11" s="33" t="n">
        <v>0.93</v>
      </c>
      <c r="F11" s="33" t="n">
        <v>0.908</v>
      </c>
      <c r="G11" s="33" t="n">
        <v>0.899</v>
      </c>
      <c r="H11" s="33" t="n">
        <v>0.881</v>
      </c>
      <c r="I11" s="33" t="n">
        <v>0.901</v>
      </c>
      <c r="J11" s="33" t="n">
        <v>0.87</v>
      </c>
      <c r="K11" s="33" t="n">
        <v>0.851</v>
      </c>
      <c r="L11" s="33" t="n">
        <v>0.892</v>
      </c>
      <c r="M11" s="33" t="n">
        <v>0.858</v>
      </c>
      <c r="N11" s="33" t="n">
        <v>0.852</v>
      </c>
    </row>
    <row r="12">
      <c r="B12" s="38" t="inlineStr">
        <is>
          <t>Затраты на ТО (ЗЧ+смазочные)</t>
        </is>
      </c>
      <c r="C12" s="24" t="inlineStr">
        <is>
          <t>тыс.вал/г</t>
        </is>
      </c>
      <c r="E12" s="40">
        <f>E21</f>
        <v>49.6</v>
      </c>
      <c r="F12" s="40">
        <f>F21</f>
        <v>41.135</v>
      </c>
      <c r="G12" s="40">
        <f>G21</f>
        <v>41.135</v>
      </c>
      <c r="H12" s="40">
        <f>H21</f>
        <v>41.135</v>
      </c>
      <c r="I12" s="40">
        <f>I21</f>
        <v>41.135</v>
      </c>
      <c r="J12" s="40">
        <f>J21</f>
        <v>41.135</v>
      </c>
      <c r="K12" s="40">
        <f>K21</f>
        <v>41.135</v>
      </c>
      <c r="L12" s="40">
        <f>L21</f>
        <v>41.135</v>
      </c>
      <c r="M12" s="40">
        <f>M21</f>
        <v>41.135</v>
      </c>
      <c r="N12" s="40">
        <f>N21</f>
        <v>41.135</v>
      </c>
    </row>
    <row r="13">
      <c r="B13" s="38" t="inlineStr">
        <is>
          <t>Затраты на текущие ремонты</t>
        </is>
      </c>
      <c r="C13" s="24" t="inlineStr">
        <is>
          <t>тыс.вал/г</t>
        </is>
      </c>
      <c r="E13" s="40">
        <f>E22</f>
        <v>15.011</v>
      </c>
      <c r="F13" s="40">
        <f>F22</f>
        <v>77.065</v>
      </c>
      <c r="G13" s="40">
        <f>G22</f>
        <v>50.721</v>
      </c>
      <c r="H13" s="40">
        <f>H22</f>
        <v>89.861</v>
      </c>
      <c r="I13" s="40">
        <f>I22</f>
        <v>60.141</v>
      </c>
      <c r="J13" s="40">
        <f>J22</f>
        <v>102.874</v>
      </c>
      <c r="K13" s="40">
        <f>K22</f>
        <v>80.547</v>
      </c>
      <c r="L13" s="40">
        <f>L22</f>
        <v>64.172</v>
      </c>
      <c r="M13" s="40">
        <f>M22</f>
        <v>74.323</v>
      </c>
      <c r="N13" s="40">
        <f>N22</f>
        <v>90.366</v>
      </c>
    </row>
    <row r="14">
      <c r="B14" s="38" t="inlineStr">
        <is>
          <t>Затраты на капитальные/ППР ремонты</t>
        </is>
      </c>
      <c r="C14" s="24" t="inlineStr">
        <is>
          <t>тыс.вал/г</t>
        </is>
      </c>
      <c r="E14" s="40">
        <f>E23</f>
        <v>0.0</v>
      </c>
      <c r="F14" s="40">
        <f>F23</f>
        <v>0.0</v>
      </c>
      <c r="G14" s="40">
        <f>G23</f>
        <v>410.928</v>
      </c>
      <c r="H14" s="40">
        <f>H23</f>
        <v>652.532</v>
      </c>
      <c r="I14" s="40">
        <f>I23</f>
        <v>158.405</v>
      </c>
      <c r="J14" s="40">
        <f>J23</f>
        <v>339.483</v>
      </c>
      <c r="K14" s="40">
        <f>K23</f>
        <v>71.445</v>
      </c>
      <c r="L14" s="40">
        <f>L23</f>
        <v>721.657</v>
      </c>
      <c r="M14" s="40">
        <f>M23</f>
        <v>497.888</v>
      </c>
      <c r="N14" s="40">
        <f>N23</f>
        <v>0.0</v>
      </c>
    </row>
    <row r="15">
      <c r="B15" s="38" t="inlineStr">
        <is>
          <t>Сервис (трудозатраты) — ТО</t>
        </is>
      </c>
      <c r="C15" s="24" t="inlineStr">
        <is>
          <t>тыс.вал/г</t>
        </is>
      </c>
      <c r="E15" s="40">
        <f>E24</f>
        <v>48.632</v>
      </c>
      <c r="F15" s="40">
        <f>F24</f>
        <v>46.483</v>
      </c>
      <c r="G15" s="40">
        <f>G24</f>
        <v>46.483</v>
      </c>
      <c r="H15" s="40">
        <f>H24</f>
        <v>46.483</v>
      </c>
      <c r="I15" s="40">
        <f>I24</f>
        <v>46.483</v>
      </c>
      <c r="J15" s="40">
        <f>J24</f>
        <v>46.483</v>
      </c>
      <c r="K15" s="40">
        <f>K24</f>
        <v>46.483</v>
      </c>
      <c r="L15" s="40">
        <f>L24</f>
        <v>46.483</v>
      </c>
      <c r="M15" s="40">
        <f>M24</f>
        <v>46.483</v>
      </c>
      <c r="N15" s="40">
        <f>N24</f>
        <v>46.483</v>
      </c>
    </row>
    <row r="16">
      <c r="B16" s="38" t="inlineStr">
        <is>
          <t>Сервис (трудозатраты) — ремонты</t>
        </is>
      </c>
      <c r="C16" s="24" t="inlineStr">
        <is>
          <t>тыс.вал/г</t>
        </is>
      </c>
      <c r="E16" s="40">
        <f>E25</f>
        <v>17.55</v>
      </c>
      <c r="F16" s="40">
        <f>F25</f>
        <v>44.33</v>
      </c>
      <c r="G16" s="40">
        <f>G25</f>
        <v>66.17</v>
      </c>
      <c r="H16" s="40">
        <f>H25</f>
        <v>81.51</v>
      </c>
      <c r="I16" s="40">
        <f>I25</f>
        <v>58.5</v>
      </c>
      <c r="J16" s="40">
        <f>J25</f>
        <v>106.99</v>
      </c>
      <c r="K16" s="40">
        <f>K25</f>
        <v>83.85</v>
      </c>
      <c r="L16" s="40">
        <f>L25</f>
        <v>98.28</v>
      </c>
      <c r="M16" s="40">
        <f>M25</f>
        <v>145.47</v>
      </c>
      <c r="N16" s="40">
        <f>N25</f>
        <v>157.17</v>
      </c>
    </row>
    <row r="17">
      <c r="B17" s="38" t="inlineStr">
        <is>
          <t>ИТОГО ТОиР → «Данные по годам»</t>
        </is>
      </c>
      <c r="C17" s="24" t="inlineStr">
        <is>
          <t>тыс.вал/г</t>
        </is>
      </c>
      <c r="E17" s="40">
        <f>E12+E13+E14+E15+E16</f>
        <v>130.793</v>
      </c>
      <c r="F17" s="40">
        <f>F12+F13+F14+F15+F16</f>
        <v>209.01299999999998</v>
      </c>
      <c r="G17" s="40">
        <f>G12+G13+G14+G15+G16</f>
        <v>615.4369999999999</v>
      </c>
      <c r="H17" s="40">
        <f>H12+H13+H14+H15+H16</f>
        <v>911.521</v>
      </c>
      <c r="I17" s="40">
        <f>I12+I13+I14+I15+I16</f>
        <v>364.664</v>
      </c>
      <c r="J17" s="40">
        <f>J12+J13+J14+J15+J16</f>
        <v>636.9649999999999</v>
      </c>
      <c r="K17" s="40">
        <f>K12+K13+K14+K15+K16</f>
        <v>323.46</v>
      </c>
      <c r="L17" s="40">
        <f>L12+L13+L14+L15+L16</f>
        <v>971.727</v>
      </c>
      <c r="M17" s="40">
        <f>M12+M13+M14+M15+M16</f>
        <v>805.299</v>
      </c>
      <c r="N17" s="40">
        <f>N12+N13+N14+N15+N16</f>
        <v>335.154</v>
      </c>
    </row>
    <row r="18">
      <c r="B18" s="5" t="inlineStr">
        <is>
          <t>ВВОД ДАННЫХ ПОСТАВЩИКА ПО ГОДАМ (жёлтое)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B19" s="22" t="inlineStr">
        <is>
          <t>Простои на ТО</t>
        </is>
      </c>
      <c r="C19" s="24" t="inlineStr">
        <is>
          <t>ч/год</t>
        </is>
      </c>
      <c r="E19" s="32" t="n">
        <v>249.395</v>
      </c>
      <c r="F19" s="32" t="n">
        <v>238.375</v>
      </c>
      <c r="G19" s="32" t="n">
        <v>238.375</v>
      </c>
      <c r="H19" s="32" t="n">
        <v>238.375</v>
      </c>
      <c r="I19" s="32" t="n">
        <v>238.375</v>
      </c>
      <c r="J19" s="32" t="n">
        <v>238.375</v>
      </c>
      <c r="K19" s="32" t="n">
        <v>238.375</v>
      </c>
      <c r="L19" s="32" t="n">
        <v>238.375</v>
      </c>
      <c r="M19" s="32" t="n">
        <v>238.375</v>
      </c>
      <c r="N19" s="32" t="n">
        <v>238.375</v>
      </c>
    </row>
    <row r="20">
      <c r="B20" s="22" t="inlineStr">
        <is>
          <t>Простои в ремонтах</t>
        </is>
      </c>
      <c r="C20" s="24" t="inlineStr">
        <is>
          <t>ч/год</t>
        </is>
      </c>
      <c r="E20" s="32" t="n">
        <v>135</v>
      </c>
      <c r="F20" s="32" t="n">
        <v>341</v>
      </c>
      <c r="G20" s="32" t="n">
        <v>417.667</v>
      </c>
      <c r="H20" s="32" t="n">
        <v>588</v>
      </c>
      <c r="I20" s="32" t="n">
        <v>402</v>
      </c>
      <c r="J20" s="32" t="n">
        <v>680.333</v>
      </c>
      <c r="K20" s="32" t="n">
        <v>549</v>
      </c>
      <c r="L20" s="32" t="n">
        <v>487</v>
      </c>
      <c r="M20" s="32" t="n">
        <v>793</v>
      </c>
      <c r="N20" s="32" t="n">
        <v>842.333</v>
      </c>
    </row>
    <row r="21">
      <c r="B21" s="22" t="inlineStr">
        <is>
          <t>Затраты на ТО (ЗЧ+смазочные)</t>
        </is>
      </c>
      <c r="C21" s="24" t="inlineStr">
        <is>
          <t>тыс.вал/г</t>
        </is>
      </c>
      <c r="E21" s="41" t="n">
        <v>49.6</v>
      </c>
      <c r="F21" s="41" t="n">
        <v>41.135</v>
      </c>
      <c r="G21" s="41" t="n">
        <v>41.135</v>
      </c>
      <c r="H21" s="41" t="n">
        <v>41.135</v>
      </c>
      <c r="I21" s="41" t="n">
        <v>41.135</v>
      </c>
      <c r="J21" s="41" t="n">
        <v>41.135</v>
      </c>
      <c r="K21" s="41" t="n">
        <v>41.135</v>
      </c>
      <c r="L21" s="41" t="n">
        <v>41.135</v>
      </c>
      <c r="M21" s="41" t="n">
        <v>41.135</v>
      </c>
      <c r="N21" s="41" t="n">
        <v>41.135</v>
      </c>
    </row>
    <row r="22">
      <c r="B22" s="22" t="inlineStr">
        <is>
          <t>Затраты на текущие ремонты</t>
        </is>
      </c>
      <c r="C22" s="24" t="inlineStr">
        <is>
          <t>тыс.вал/г</t>
        </is>
      </c>
      <c r="E22" s="41" t="n">
        <v>15.011</v>
      </c>
      <c r="F22" s="41" t="n">
        <v>77.065</v>
      </c>
      <c r="G22" s="41" t="n">
        <v>50.721</v>
      </c>
      <c r="H22" s="41" t="n">
        <v>89.861</v>
      </c>
      <c r="I22" s="41" t="n">
        <v>60.141</v>
      </c>
      <c r="J22" s="41" t="n">
        <v>102.874</v>
      </c>
      <c r="K22" s="41" t="n">
        <v>80.547</v>
      </c>
      <c r="L22" s="41" t="n">
        <v>64.172</v>
      </c>
      <c r="M22" s="41" t="n">
        <v>74.32299999999999</v>
      </c>
      <c r="N22" s="41" t="n">
        <v>90.366</v>
      </c>
    </row>
    <row r="23">
      <c r="B23" s="22" t="inlineStr">
        <is>
          <t>Затраты на капитальные/ППР ремонты</t>
        </is>
      </c>
      <c r="C23" s="24" t="inlineStr">
        <is>
          <t>тыс.вал/г</t>
        </is>
      </c>
      <c r="E23" s="41" t="n">
        <v>0</v>
      </c>
      <c r="F23" s="41" t="n">
        <v>0</v>
      </c>
      <c r="G23" s="41" t="n">
        <v>410.928</v>
      </c>
      <c r="H23" s="41" t="n">
        <v>652.532</v>
      </c>
      <c r="I23" s="41" t="n">
        <v>158.405</v>
      </c>
      <c r="J23" s="41" t="n">
        <v>339.483</v>
      </c>
      <c r="K23" s="41" t="n">
        <v>71.44499999999999</v>
      </c>
      <c r="L23" s="41" t="n">
        <v>721.657</v>
      </c>
      <c r="M23" s="41" t="n">
        <v>497.888</v>
      </c>
      <c r="N23" s="41" t="n">
        <v>0</v>
      </c>
    </row>
    <row r="24">
      <c r="B24" s="22" t="inlineStr">
        <is>
          <t>Сервис (трудозатраты) — ТО</t>
        </is>
      </c>
      <c r="C24" s="24" t="inlineStr">
        <is>
          <t>тыс.вал/г</t>
        </is>
      </c>
      <c r="E24" s="41" t="n">
        <v>48.632</v>
      </c>
      <c r="F24" s="41" t="n">
        <v>46.483</v>
      </c>
      <c r="G24" s="41" t="n">
        <v>46.483</v>
      </c>
      <c r="H24" s="41" t="n">
        <v>46.483</v>
      </c>
      <c r="I24" s="41" t="n">
        <v>46.483</v>
      </c>
      <c r="J24" s="41" t="n">
        <v>46.483</v>
      </c>
      <c r="K24" s="41" t="n">
        <v>46.483</v>
      </c>
      <c r="L24" s="41" t="n">
        <v>46.483</v>
      </c>
      <c r="M24" s="41" t="n">
        <v>46.483</v>
      </c>
      <c r="N24" s="41" t="n">
        <v>46.483</v>
      </c>
    </row>
    <row r="25">
      <c r="B25" s="22" t="inlineStr">
        <is>
          <t>Сервис (трудозатраты) — ремонты</t>
        </is>
      </c>
      <c r="C25" s="24" t="inlineStr">
        <is>
          <t>тыс.вал/г</t>
        </is>
      </c>
      <c r="E25" s="41" t="n">
        <v>17.55</v>
      </c>
      <c r="F25" s="41" t="n">
        <v>44.33</v>
      </c>
      <c r="G25" s="41" t="n">
        <v>66.17</v>
      </c>
      <c r="H25" s="41" t="n">
        <v>81.51000000000001</v>
      </c>
      <c r="I25" s="41" t="n">
        <v>58.5</v>
      </c>
      <c r="J25" s="41" t="n">
        <v>106.99</v>
      </c>
      <c r="K25" s="41" t="n">
        <v>83.84999999999999</v>
      </c>
      <c r="L25" s="41" t="n">
        <v>98.28</v>
      </c>
      <c r="M25" s="41" t="n">
        <v>145.47</v>
      </c>
      <c r="N25" s="41" t="n">
        <v>157.17</v>
      </c>
    </row>
    <row r="27">
      <c r="B27" s="42" t="inlineStr">
        <is>
          <t>Строки 18–24 — ввод (жёлтое): простои и затраты ТОиР по годам, в валюте (см. «Валюта затрат ТОиР»). Пересчёт в рубли — в «Денежном потоке» по курсу с листа «Параметры». Данные примера — «в расчёте» из 000_БСЛ-2027 (карьер «Сухой Лог»). «Рваный» график капремонтов по годам учитывается дисконтированием.</t>
        </is>
      </c>
    </row>
  </sheetData>
  <mergeCells count="6">
    <mergeCell ref="B27:N27"/>
    <mergeCell ref="B1:N1"/>
    <mergeCell ref="E4:N4"/>
    <mergeCell ref="B18:N18"/>
    <mergeCell ref="B7:N7"/>
    <mergeCell ref="B2:N2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N23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1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ПОГОДОВЫЕ ДАННЫЕ ЭКСПЛУАТАЦИИ (СВОДКА)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Автоматически из листов «Поставщик 1…6». Правьте данные там, здесь — только просмотр.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43" t="inlineStr">
        <is>
          <t>Значения ТЯНУТСЯ из листов «Поставщик 1…6» (КТГ и ИТОГО ТОиР — авто). Чтобы изменить данные по машине — откройте её лист и правьте жёлтые ячейки; сводка и расчёт обновятся сами.</t>
        </is>
      </c>
    </row>
    <row r="5">
      <c r="B5" s="15" t="inlineStr">
        <is>
          <t>Показатель</t>
        </is>
      </c>
      <c r="C5" s="15" t="inlineStr">
        <is>
          <t>Ед.</t>
        </is>
      </c>
      <c r="D5" s="15" t="inlineStr">
        <is>
          <t>Валюта</t>
        </is>
      </c>
      <c r="E5" s="15" t="inlineStr">
        <is>
          <t>год 1</t>
        </is>
      </c>
      <c r="F5" s="15" t="inlineStr">
        <is>
          <t>год 2</t>
        </is>
      </c>
      <c r="G5" s="15" t="inlineStr">
        <is>
          <t>год 3</t>
        </is>
      </c>
      <c r="H5" s="15" t="inlineStr">
        <is>
          <t>год 4</t>
        </is>
      </c>
      <c r="I5" s="15" t="inlineStr">
        <is>
          <t>год 5</t>
        </is>
      </c>
      <c r="J5" s="15" t="inlineStr">
        <is>
          <t>год 6</t>
        </is>
      </c>
      <c r="K5" s="15" t="inlineStr">
        <is>
          <t>год 7</t>
        </is>
      </c>
      <c r="L5" s="15" t="inlineStr">
        <is>
          <t>год 8</t>
        </is>
      </c>
      <c r="M5" s="15" t="inlineStr">
        <is>
          <t>год 9</t>
        </is>
      </c>
      <c r="N5" s="15" t="inlineStr">
        <is>
          <t>год 10</t>
        </is>
      </c>
    </row>
    <row r="6">
      <c r="B6" s="5" t="str">
        <f>"Вариант 1:  "&amp;'Ввод данных'!D7</f>
        <v>Вариант 1:  NHL NTE 240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B7" s="22" t="inlineStr">
        <is>
          <t>КТГ (техготовность)</t>
        </is>
      </c>
      <c r="C7" s="24" t="inlineStr">
        <is>
          <t>коэф.</t>
        </is>
      </c>
      <c r="E7" s="44">
        <f>'Поставщик 1'!E11</f>
        <v>0.9376</v>
      </c>
      <c r="F7" s="44">
        <f>'Поставщик 1'!F11</f>
        <v>0.9304</v>
      </c>
      <c r="G7" s="44">
        <f>'Поставщик 1'!G11</f>
        <v>0.9209</v>
      </c>
      <c r="H7" s="44">
        <f>'Поставщик 1'!H11</f>
        <v>0.9084</v>
      </c>
      <c r="I7" s="44">
        <f>'Поставщик 1'!I11</f>
        <v>0.9333</v>
      </c>
      <c r="J7" s="44">
        <f>'Поставщик 1'!J11</f>
        <v>0.9217</v>
      </c>
      <c r="K7" s="44">
        <f>'Поставщик 1'!K11</f>
        <v>0.9313</v>
      </c>
      <c r="L7" s="44">
        <f>'Поставщик 1'!L11</f>
        <v>0.9111</v>
      </c>
      <c r="M7" s="44">
        <f>'Поставщик 1'!M11</f>
        <v>0.9171</v>
      </c>
      <c r="N7" s="44">
        <f>'Поставщик 1'!N11</f>
        <v>0.9322</v>
      </c>
    </row>
    <row r="8">
      <c r="B8" s="22" t="inlineStr">
        <is>
          <t>Затраты на ТОиР и сервис</t>
        </is>
      </c>
      <c r="C8" s="24" t="inlineStr">
        <is>
          <t>тыс.вал/г</t>
        </is>
      </c>
      <c r="D8" s="45" t="str">
        <f>'Поставщик 1'!$D$5</f>
        <v>CNY</v>
      </c>
      <c r="E8" s="46">
        <f>'Поставщик 1'!E17</f>
        <v>470.705</v>
      </c>
      <c r="F8" s="46">
        <f>'Поставщик 1'!F17</f>
        <v>654.097</v>
      </c>
      <c r="G8" s="46">
        <f>'Поставщик 1'!G17</f>
        <v>3875.4080000000004</v>
      </c>
      <c r="H8" s="46">
        <f>'Поставщик 1'!H17</f>
        <v>2060.956</v>
      </c>
      <c r="I8" s="46">
        <f>'Поставщик 1'!I17</f>
        <v>687.317</v>
      </c>
      <c r="J8" s="46">
        <f>'Поставщик 1'!J17</f>
        <v>3784.5739999999996</v>
      </c>
      <c r="K8" s="46">
        <f>'Поставщик 1'!K17</f>
        <v>637.163</v>
      </c>
      <c r="L8" s="46">
        <f>'Поставщик 1'!L17</f>
        <v>2184.2219999999998</v>
      </c>
      <c r="M8" s="46">
        <f>'Поставщик 1'!M17</f>
        <v>7060.227000000001</v>
      </c>
      <c r="N8" s="46">
        <f>'Поставщик 1'!N17</f>
        <v>541.4680000000001</v>
      </c>
    </row>
    <row r="9">
      <c r="B9" s="5" t="str">
        <f>"Вариант 2:  "&amp;'Ввод данных'!E7</f>
        <v>Вариант 2:  Estar ESDE240
(ГПБ К)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B10" s="22" t="inlineStr">
        <is>
          <t>КТГ (техготовность)</t>
        </is>
      </c>
      <c r="C10" s="24" t="inlineStr">
        <is>
          <t>коэф.</t>
        </is>
      </c>
      <c r="E10" s="44">
        <f>'Поставщик 2'!E11</f>
        <v>0.9116</v>
      </c>
      <c r="F10" s="44">
        <f>'Поставщик 2'!F11</f>
        <v>0.8956</v>
      </c>
      <c r="G10" s="44">
        <f>'Поставщик 2'!G11</f>
        <v>0.8493</v>
      </c>
      <c r="H10" s="44">
        <f>'Поставщик 2'!H11</f>
        <v>0.806</v>
      </c>
      <c r="I10" s="44">
        <f>'Поставщик 2'!I11</f>
        <v>0.899</v>
      </c>
      <c r="J10" s="44">
        <f>'Поставщик 2'!J11</f>
        <v>0.8221</v>
      </c>
      <c r="K10" s="44">
        <f>'Поставщик 2'!K11</f>
        <v>0.8886</v>
      </c>
      <c r="L10" s="44">
        <f>'Поставщик 2'!L11</f>
        <v>0.8107</v>
      </c>
      <c r="M10" s="44">
        <f>'Поставщик 2'!M11</f>
        <v>0.8562</v>
      </c>
      <c r="N10" s="44">
        <f>'Поставщик 2'!N11</f>
        <v>0.834</v>
      </c>
    </row>
    <row r="11">
      <c r="B11" s="22" t="inlineStr">
        <is>
          <t>Затраты на ТОиР и сервис</t>
        </is>
      </c>
      <c r="C11" s="24" t="inlineStr">
        <is>
          <t>тыс.вал/г</t>
        </is>
      </c>
      <c r="D11" s="45" t="str">
        <f>'Поставщик 2'!$D$5</f>
        <v>USD</v>
      </c>
      <c r="E11" s="46">
        <f>'Поставщик 2'!E17</f>
        <v>180.53</v>
      </c>
      <c r="F11" s="46">
        <f>'Поставщик 2'!F17</f>
        <v>276.72900000000004</v>
      </c>
      <c r="G11" s="46">
        <f>'Поставщик 2'!G17</f>
        <v>928.1400000000001</v>
      </c>
      <c r="H11" s="46">
        <f>'Поставщик 2'!H17</f>
        <v>2751.339</v>
      </c>
      <c r="I11" s="46">
        <f>'Поставщик 2'!I17</f>
        <v>184.233</v>
      </c>
      <c r="J11" s="46">
        <f>'Поставщик 2'!J17</f>
        <v>1024.339</v>
      </c>
      <c r="K11" s="46">
        <f>'Поставщик 2'!K17</f>
        <v>180.53</v>
      </c>
      <c r="L11" s="46">
        <f>'Поставщик 2'!L17</f>
        <v>2751.339</v>
      </c>
      <c r="M11" s="46">
        <f>'Поставщик 2'!M17</f>
        <v>180.53</v>
      </c>
      <c r="N11" s="46">
        <f>'Поставщик 2'!N17</f>
        <v>180.53</v>
      </c>
    </row>
    <row r="12">
      <c r="B12" s="5" t="str">
        <f>"Вариант 3:  "&amp;'Ввод данных'!F7</f>
        <v>Вариант 3:  SANY SET240S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B13" s="22" t="inlineStr">
        <is>
          <t>КТГ (техготовность)</t>
        </is>
      </c>
      <c r="C13" s="24" t="inlineStr">
        <is>
          <t>коэф.</t>
        </is>
      </c>
      <c r="E13" s="44">
        <f>'Поставщик 3'!E11</f>
        <v>0.9357</v>
      </c>
      <c r="F13" s="44">
        <f>'Поставщик 3'!F11</f>
        <v>0.9026</v>
      </c>
      <c r="G13" s="44">
        <f>'Поставщик 3'!G11</f>
        <v>0.8659</v>
      </c>
      <c r="H13" s="44">
        <f>'Поставщик 3'!H11</f>
        <v>0.904</v>
      </c>
      <c r="I13" s="44">
        <f>'Поставщик 3'!I11</f>
        <v>0.85</v>
      </c>
      <c r="J13" s="44">
        <f>'Поставщик 3'!J11</f>
        <v>0.904</v>
      </c>
      <c r="K13" s="44">
        <f>'Поставщик 3'!K11</f>
        <v>0.8659</v>
      </c>
      <c r="L13" s="44">
        <f>'Поставщик 3'!L11</f>
        <v>0.904</v>
      </c>
      <c r="M13" s="44">
        <f>'Поставщик 3'!M11</f>
        <v>0.85</v>
      </c>
      <c r="N13" s="44">
        <f>'Поставщик 3'!N11</f>
        <v>0.885</v>
      </c>
    </row>
    <row r="14">
      <c r="B14" s="22" t="inlineStr">
        <is>
          <t>Затраты на ТОиР и сервис</t>
        </is>
      </c>
      <c r="C14" s="24" t="inlineStr">
        <is>
          <t>тыс.вал/г</t>
        </is>
      </c>
      <c r="D14" s="45" t="str">
        <f>'Поставщик 3'!$D$5</f>
        <v>USD</v>
      </c>
      <c r="E14" s="46">
        <f>'Поставщик 3'!E17</f>
        <v>135.348</v>
      </c>
      <c r="F14" s="46">
        <f>'Поставщик 3'!F17</f>
        <v>211.267</v>
      </c>
      <c r="G14" s="46">
        <f>'Поставщик 3'!G17</f>
        <v>597.961</v>
      </c>
      <c r="H14" s="46">
        <f>'Поставщик 3'!H17</f>
        <v>305.14200000000005</v>
      </c>
      <c r="I14" s="46">
        <f>'Поставщик 3'!I17</f>
        <v>973.9369999999999</v>
      </c>
      <c r="J14" s="46">
        <f>'Поставщик 3'!J17</f>
        <v>741.2589999999999</v>
      </c>
      <c r="K14" s="46">
        <f>'Поставщик 3'!K17</f>
        <v>267.376</v>
      </c>
      <c r="L14" s="46">
        <f>'Поставщик 3'!L17</f>
        <v>268.933</v>
      </c>
      <c r="M14" s="46">
        <f>'Поставщик 3'!M17</f>
        <v>1349.3410000000001</v>
      </c>
      <c r="N14" s="46">
        <f>'Поставщик 3'!N17</f>
        <v>196.001</v>
      </c>
    </row>
    <row r="15">
      <c r="B15" s="5" t="str">
        <f>"Вариант 4:  "&amp;'Ввод данных'!G7</f>
        <v>Вариант 4:  TZCO TZE240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B16" s="22" t="inlineStr">
        <is>
          <t>КТГ (техготовность)</t>
        </is>
      </c>
      <c r="C16" s="24" t="inlineStr">
        <is>
          <t>коэф.</t>
        </is>
      </c>
      <c r="E16" s="44">
        <f>'Поставщик 4'!E11</f>
        <v>0.9096</v>
      </c>
      <c r="F16" s="44">
        <f>'Поставщик 4'!F11</f>
        <v>0.8842</v>
      </c>
      <c r="G16" s="44">
        <f>'Поставщик 4'!G11</f>
        <v>0.774</v>
      </c>
      <c r="H16" s="44">
        <f>'Поставщик 4'!H11</f>
        <v>0.8842</v>
      </c>
      <c r="I16" s="44">
        <f>'Поставщик 4'!I11</f>
        <v>0.9096</v>
      </c>
      <c r="J16" s="44">
        <f>'Поставщик 4'!J11</f>
        <v>0.748</v>
      </c>
      <c r="K16" s="44">
        <f>'Поставщик 4'!K11</f>
        <v>0.9096</v>
      </c>
      <c r="L16" s="44">
        <f>'Поставщик 4'!L11</f>
        <v>0.8842</v>
      </c>
      <c r="M16" s="44">
        <f>'Поставщик 4'!M11</f>
        <v>0.9096</v>
      </c>
      <c r="N16" s="44">
        <f>'Поставщик 4'!N11</f>
        <v>0.8842</v>
      </c>
    </row>
    <row r="17">
      <c r="B17" s="22" t="inlineStr">
        <is>
          <t>Затраты на ТОиР и сервис</t>
        </is>
      </c>
      <c r="C17" s="24" t="inlineStr">
        <is>
          <t>тыс.вал/г</t>
        </is>
      </c>
      <c r="D17" s="45" t="str">
        <f>'Поставщик 4'!$D$5</f>
        <v>USD</v>
      </c>
      <c r="E17" s="46">
        <f>'Поставщик 4'!E17</f>
        <v>299.33600000000007</v>
      </c>
      <c r="F17" s="46">
        <f>'Поставщик 4'!F17</f>
        <v>629.573</v>
      </c>
      <c r="G17" s="46">
        <f>'Поставщик 4'!G17</f>
        <v>1881.2039999999997</v>
      </c>
      <c r="H17" s="46">
        <f>'Поставщик 4'!H17</f>
        <v>629.573</v>
      </c>
      <c r="I17" s="46">
        <f>'Поставщик 4'!I17</f>
        <v>299.33600000000007</v>
      </c>
      <c r="J17" s="46">
        <f>'Поставщик 4'!J17</f>
        <v>2211.44</v>
      </c>
      <c r="K17" s="46">
        <f>'Поставщик 4'!K17</f>
        <v>299.33600000000007</v>
      </c>
      <c r="L17" s="46">
        <f>'Поставщик 4'!L17</f>
        <v>629.573</v>
      </c>
      <c r="M17" s="46">
        <f>'Поставщик 4'!M17</f>
        <v>299.33600000000007</v>
      </c>
      <c r="N17" s="46">
        <f>'Поставщик 4'!N17</f>
        <v>629.573</v>
      </c>
    </row>
    <row r="18">
      <c r="B18" s="5" t="str">
        <f>"Вариант 5:  "&amp;'Ввод данных'!H7</f>
        <v>Вариант 5:  БелАЗ 7531
(ГПФК)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B19" s="22" t="inlineStr">
        <is>
          <t>КТГ (техготовность)</t>
        </is>
      </c>
      <c r="C19" s="24" t="inlineStr">
        <is>
          <t>коэф.</t>
        </is>
      </c>
      <c r="E19" s="44">
        <f>'Поставщик 5'!E11</f>
        <v>0.9083</v>
      </c>
      <c r="F19" s="44">
        <f>'Поставщик 5'!F11</f>
        <v>0.8858</v>
      </c>
      <c r="G19" s="44">
        <f>'Поставщик 5'!G11</f>
        <v>0.8646</v>
      </c>
      <c r="H19" s="44">
        <f>'Поставщик 5'!H11</f>
        <v>0.8748</v>
      </c>
      <c r="I19" s="44">
        <f>'Поставщик 5'!I11</f>
        <v>0.8813</v>
      </c>
      <c r="J19" s="44">
        <f>'Поставщик 5'!J11</f>
        <v>0.8464</v>
      </c>
      <c r="K19" s="44">
        <f>'Поставщик 5'!K11</f>
        <v>0.8971</v>
      </c>
      <c r="L19" s="44">
        <f>'Поставщик 5'!L11</f>
        <v>0.8546</v>
      </c>
      <c r="M19" s="44">
        <f>'Поставщик 5'!M11</f>
        <v>0.842</v>
      </c>
      <c r="N19" s="44">
        <f>'Поставщик 5'!N11</f>
        <v>0.8611</v>
      </c>
    </row>
    <row r="20">
      <c r="B20" s="22" t="inlineStr">
        <is>
          <t>Затраты на ТОиР и сервис</t>
        </is>
      </c>
      <c r="C20" s="24" t="inlineStr">
        <is>
          <t>тыс.вал/г</t>
        </is>
      </c>
      <c r="D20" s="45" t="str">
        <f>'Поставщик 5'!$D$5</f>
        <v>USD</v>
      </c>
      <c r="E20" s="46">
        <f>'Поставщик 5'!E17</f>
        <v>148.047</v>
      </c>
      <c r="F20" s="46">
        <f>'Поставщик 5'!F17</f>
        <v>317.60099999999994</v>
      </c>
      <c r="G20" s="46">
        <f>'Поставщик 5'!G17</f>
        <v>572.068</v>
      </c>
      <c r="H20" s="46">
        <f>'Поставщик 5'!H17</f>
        <v>727.0059999999999</v>
      </c>
      <c r="I20" s="46">
        <f>'Поставщик 5'!I17</f>
        <v>631.6229999999999</v>
      </c>
      <c r="J20" s="46">
        <f>'Поставщик 5'!J17</f>
        <v>688.6189999999999</v>
      </c>
      <c r="K20" s="46">
        <f>'Поставщик 5'!K17</f>
        <v>180.49499999999998</v>
      </c>
      <c r="L20" s="46">
        <f>'Поставщик 5'!L17</f>
        <v>847.194</v>
      </c>
      <c r="M20" s="46">
        <f>'Поставщик 5'!M17</f>
        <v>961.75</v>
      </c>
      <c r="N20" s="46">
        <f>'Поставщик 5'!N17</f>
        <v>231.50900000000001</v>
      </c>
    </row>
    <row r="21">
      <c r="B21" s="5" t="str">
        <f>"Вариант 6:  "&amp;'Ввод данных'!I7</f>
        <v>Вариант 6:  БелАЗ 7531
(БТЛ)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B22" s="22" t="inlineStr">
        <is>
          <t>КТГ (техготовность)</t>
        </is>
      </c>
      <c r="C22" s="24" t="inlineStr">
        <is>
          <t>коэф.</t>
        </is>
      </c>
      <c r="E22" s="44">
        <f>'Поставщик 6'!E11</f>
        <v>0.93</v>
      </c>
      <c r="F22" s="44">
        <f>'Поставщик 6'!F11</f>
        <v>0.908</v>
      </c>
      <c r="G22" s="44">
        <f>'Поставщик 6'!G11</f>
        <v>0.899</v>
      </c>
      <c r="H22" s="44">
        <f>'Поставщик 6'!H11</f>
        <v>0.881</v>
      </c>
      <c r="I22" s="44">
        <f>'Поставщик 6'!I11</f>
        <v>0.901</v>
      </c>
      <c r="J22" s="44">
        <f>'Поставщик 6'!J11</f>
        <v>0.87</v>
      </c>
      <c r="K22" s="44">
        <f>'Поставщик 6'!K11</f>
        <v>0.851</v>
      </c>
      <c r="L22" s="44">
        <f>'Поставщик 6'!L11</f>
        <v>0.892</v>
      </c>
      <c r="M22" s="44">
        <f>'Поставщик 6'!M11</f>
        <v>0.858</v>
      </c>
      <c r="N22" s="44">
        <f>'Поставщик 6'!N11</f>
        <v>0.852</v>
      </c>
    </row>
    <row r="23">
      <c r="B23" s="22" t="inlineStr">
        <is>
          <t>Затраты на ТОиР и сервис</t>
        </is>
      </c>
      <c r="C23" s="24" t="inlineStr">
        <is>
          <t>тыс.вал/г</t>
        </is>
      </c>
      <c r="D23" s="45" t="str">
        <f>'Поставщик 6'!$D$5</f>
        <v>USD</v>
      </c>
      <c r="E23" s="46">
        <f>'Поставщик 6'!E17</f>
        <v>130.793</v>
      </c>
      <c r="F23" s="46">
        <f>'Поставщик 6'!F17</f>
        <v>209.01299999999998</v>
      </c>
      <c r="G23" s="46">
        <f>'Поставщик 6'!G17</f>
        <v>615.4369999999999</v>
      </c>
      <c r="H23" s="46">
        <f>'Поставщик 6'!H17</f>
        <v>911.521</v>
      </c>
      <c r="I23" s="46">
        <f>'Поставщик 6'!I17</f>
        <v>364.664</v>
      </c>
      <c r="J23" s="46">
        <f>'Поставщик 6'!J17</f>
        <v>636.9649999999999</v>
      </c>
      <c r="K23" s="46">
        <f>'Поставщик 6'!K17</f>
        <v>323.46</v>
      </c>
      <c r="L23" s="46">
        <f>'Поставщик 6'!L17</f>
        <v>971.727</v>
      </c>
      <c r="M23" s="46">
        <f>'Поставщик 6'!M17</f>
        <v>805.299</v>
      </c>
      <c r="N23" s="46">
        <f>'Поставщик 6'!N17</f>
        <v>335.154</v>
      </c>
    </row>
  </sheetData>
  <mergeCells count="9">
    <mergeCell ref="B9:N9"/>
    <mergeCell ref="B1:N1"/>
    <mergeCell ref="B4:N4"/>
    <mergeCell ref="B12:N12"/>
    <mergeCell ref="B18:N18"/>
    <mergeCell ref="B21:N21"/>
    <mergeCell ref="B15:N15"/>
    <mergeCell ref="B6:N6"/>
    <mergeCell ref="B2:N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N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РАСЧЁТ ПРОИЗВОДИТЕЛЬНОСТИ (транспортный цикл)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Часовая производительность (т/эфф.час) — по времени рейса; полная погодовая таблица — с КТГ по годам.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str">
        <f>'Ввод данных'!D7</f>
        <v>NHL NTE 240</v>
      </c>
      <c r="E4" s="15" t="str">
        <f>'Ввод данных'!E7</f>
        <v>Estar ESDE240
(ГПБ К)</v>
      </c>
      <c r="F4" s="15" t="str">
        <f>'Ввод данных'!F7</f>
        <v>SANY SET240S</v>
      </c>
      <c r="G4" s="15" t="str">
        <f>'Ввод данных'!G7</f>
        <v>TZCO TZE240</v>
      </c>
      <c r="H4" s="15" t="str">
        <f>'Ввод данных'!H7</f>
        <v>БелАЗ 7531
(ГПФК)</v>
      </c>
      <c r="I4" s="15" t="str">
        <f>'Ввод данных'!I7</f>
        <v>БелАЗ 7531
(БТЛ)</v>
      </c>
    </row>
    <row r="5">
      <c r="B5" s="47" t="inlineStr">
        <is>
          <t>Стоимость в рублях</t>
        </is>
      </c>
      <c r="C5" s="24" t="inlineStr">
        <is>
          <t>тыс.руб</t>
        </is>
      </c>
      <c r="D5" s="48">
        <f>'Ввод данных'!D11*IF('Ввод данных'!D12="CNY",'Параметры'!C20,IF('Ввод данных'!D12="USD",'Параметры'!C21,IF('Ввод данных'!D12="EUR",'Параметры'!C22,1)))+'Ввод данных'!D13</f>
        <v>255404.00000000003</v>
      </c>
      <c r="E5" s="48">
        <f>'Ввод данных'!E11*IF('Ввод данных'!E12="CNY",'Параметры'!C20,IF('Ввод данных'!E12="USD",'Параметры'!C21,IF('Ввод данных'!E12="EUR",'Параметры'!C22,1)))+'Ввод данных'!E13</f>
        <v>263335.8</v>
      </c>
      <c r="F5" s="48">
        <f>'Ввод данных'!F11*IF('Ввод данных'!F12="CNY",'Параметры'!C20,IF('Ввод данных'!F12="USD",'Параметры'!C21,IF('Ввод данных'!F12="EUR",'Параметры'!C22,1)))+'Ввод данных'!F13</f>
        <v>253930.95</v>
      </c>
      <c r="G5" s="48">
        <f>'Ввод данных'!G11*IF('Ввод данных'!G12="CNY",'Параметры'!C20,IF('Ввод данных'!G12="USD",'Параметры'!C21,IF('Ввод данных'!G12="EUR",'Параметры'!C22,1)))+'Ввод данных'!G13</f>
        <v>253930.95</v>
      </c>
      <c r="H5" s="48">
        <f>'Ввод данных'!H11*IF('Ввод данных'!H12="CNY",'Параметры'!C20,IF('Ввод данных'!H12="USD",'Параметры'!C21,IF('Ввод данных'!H12="EUR",'Параметры'!C22,1)))+'Ввод данных'!H13</f>
        <v>300000.0</v>
      </c>
      <c r="I5" s="48">
        <f>'Ввод данных'!I11*IF('Ввод данных'!I12="CNY",'Параметры'!C20,IF('Ввод данных'!I12="USD",'Параметры'!C21,IF('Ввод данных'!I12="EUR",'Параметры'!C22,1)))+'Ввод данных'!I13</f>
        <v>290000.0</v>
      </c>
    </row>
    <row r="6">
      <c r="B6" s="22" t="inlineStr">
        <is>
          <t>Время движения (гружёный+порожний)</t>
        </is>
      </c>
      <c r="C6" s="24" t="inlineStr">
        <is>
          <t>мин</t>
        </is>
      </c>
      <c r="D6" s="49">
        <f>2*'Параметры'!C28/'Параметры'!C29*60</f>
        <v>16.240071237756013</v>
      </c>
      <c r="E6" s="49">
        <f>2*'Параметры'!C28/'Параметры'!C29*60</f>
        <v>16.240071237756013</v>
      </c>
      <c r="F6" s="49">
        <f>2*'Параметры'!C28/'Параметры'!C29*60</f>
        <v>16.240071237756013</v>
      </c>
      <c r="G6" s="49">
        <f>2*'Параметры'!C28/'Параметры'!C29*60</f>
        <v>16.240071237756013</v>
      </c>
      <c r="H6" s="49">
        <f>2*'Параметры'!C28/'Параметры'!C29*60</f>
        <v>16.240071237756013</v>
      </c>
      <c r="I6" s="49">
        <f>2*'Параметры'!C28/'Параметры'!C29*60</f>
        <v>16.240071237756013</v>
      </c>
    </row>
    <row r="7">
      <c r="B7" s="22" t="inlineStr">
        <is>
          <t>Время рейса</t>
        </is>
      </c>
      <c r="C7" s="24" t="inlineStr">
        <is>
          <t>мин</t>
        </is>
      </c>
      <c r="D7" s="49">
        <f>'Параметры'!C31+D6</f>
        <v>24.64007123775601</v>
      </c>
      <c r="E7" s="49">
        <f>'Параметры'!C31+E6</f>
        <v>24.64007123775601</v>
      </c>
      <c r="F7" s="49">
        <f>'Параметры'!C31+F6</f>
        <v>24.64007123775601</v>
      </c>
      <c r="G7" s="49">
        <f>'Параметры'!C31+G6</f>
        <v>24.64007123775601</v>
      </c>
      <c r="H7" s="49">
        <f>'Параметры'!C31+H6</f>
        <v>24.64007123775601</v>
      </c>
      <c r="I7" s="49">
        <f>'Параметры'!C31+I6</f>
        <v>24.64007123775601</v>
      </c>
    </row>
    <row r="8">
      <c r="B8" s="22" t="inlineStr">
        <is>
          <t>Рейсов в час</t>
        </is>
      </c>
      <c r="C8" s="24" t="inlineStr">
        <is>
          <t>рейс/час</t>
        </is>
      </c>
      <c r="D8" s="49">
        <f>60/D7</f>
        <v>2.4350578949650896</v>
      </c>
      <c r="E8" s="49">
        <f>60/E7</f>
        <v>2.4350578949650896</v>
      </c>
      <c r="F8" s="49">
        <f>60/F7</f>
        <v>2.4350578949650896</v>
      </c>
      <c r="G8" s="49">
        <f>60/G7</f>
        <v>2.4350578949650896</v>
      </c>
      <c r="H8" s="49">
        <f>60/H7</f>
        <v>2.4350578949650896</v>
      </c>
      <c r="I8" s="49">
        <f>60/I7</f>
        <v>2.4350578949650896</v>
      </c>
    </row>
    <row r="9">
      <c r="B9" s="38" t="inlineStr">
        <is>
          <t>Часовая производительность</t>
        </is>
      </c>
      <c r="C9" s="24" t="inlineStr">
        <is>
          <t>т/эфф.час</t>
        </is>
      </c>
      <c r="D9" s="50">
        <f>D8*'Ввод данных'!D16*'Параметры'!C30</f>
        <v>545.6644776009367</v>
      </c>
      <c r="E9" s="50">
        <f>E8*'Ввод данных'!E16*'Параметры'!C30</f>
        <v>506.3613048683812</v>
      </c>
      <c r="F9" s="50">
        <f>F8*'Ввод данных'!F16*'Параметры'!C30</f>
        <v>518.2662761312286</v>
      </c>
      <c r="G9" s="50">
        <f>G8*'Ввод данных'!G16*'Параметры'!C30</f>
        <v>531.7713521835293</v>
      </c>
      <c r="H9" s="50">
        <f>H8*'Ввод данных'!H16*'Параметры'!C30</f>
        <v>553.3296502450237</v>
      </c>
      <c r="I9" s="50">
        <f>I8*'Ввод данных'!I16*'Параметры'!C30</f>
        <v>553.3296502450237</v>
      </c>
    </row>
    <row r="10">
      <c r="B10" s="22" t="inlineStr">
        <is>
          <t>КИО (1-й год)</t>
        </is>
      </c>
      <c r="C10" s="24" t="inlineStr">
        <is>
          <t>коэф.</t>
        </is>
      </c>
      <c r="D10" s="51">
        <f>'Данные по годам'!E7*(1-102.38/(60*'Параметры'!C27))</f>
        <v>0.8042784888888889</v>
      </c>
      <c r="E10" s="51">
        <f>'Данные по годам'!E10*(1-102.38/(60*'Параметры'!C27))</f>
        <v>0.7819755444444445</v>
      </c>
      <c r="F10" s="51">
        <f>'Данные по годам'!E13*(1-102.38/(60*'Параметры'!C27))</f>
        <v>0.8026486583333333</v>
      </c>
      <c r="G10" s="51">
        <f>'Данные по годам'!E16*(1-102.38/(60*'Параметры'!C27))</f>
        <v>0.7802599333333333</v>
      </c>
      <c r="H10" s="51">
        <f>'Данные по годам'!E19*(1-102.38/(60*'Параметры'!C27))</f>
        <v>0.7791447861111112</v>
      </c>
      <c r="I10" s="51">
        <f>'Данные по годам'!E22*(1-102.38/(60*'Параметры'!C27))</f>
        <v>0.7977591666666668</v>
      </c>
    </row>
    <row r="12">
      <c r="B12" s="5" t="inlineStr">
        <is>
          <t>ПОГОДОВАЯ ПРОИЗВОДИТЕЛЬНОСТЬ (КТГ по годам из «Данные по годам»; часовая производительность — из цикла выше)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B13" s="15" t="inlineStr">
        <is>
          <t>Показатель</t>
        </is>
      </c>
      <c r="C13" s="15" t="inlineStr">
        <is>
          <t>Ед.</t>
        </is>
      </c>
      <c r="E13" s="15" t="inlineStr">
        <is>
          <t>год 1</t>
        </is>
      </c>
      <c r="F13" s="15" t="inlineStr">
        <is>
          <t>год 2</t>
        </is>
      </c>
      <c r="G13" s="15" t="inlineStr">
        <is>
          <t>год 3</t>
        </is>
      </c>
      <c r="H13" s="15" t="inlineStr">
        <is>
          <t>год 4</t>
        </is>
      </c>
      <c r="I13" s="15" t="inlineStr">
        <is>
          <t>год 5</t>
        </is>
      </c>
      <c r="J13" s="15" t="inlineStr">
        <is>
          <t>год 6</t>
        </is>
      </c>
      <c r="K13" s="15" t="inlineStr">
        <is>
          <t>год 7</t>
        </is>
      </c>
      <c r="L13" s="15" t="inlineStr">
        <is>
          <t>год 8</t>
        </is>
      </c>
      <c r="M13" s="15" t="inlineStr">
        <is>
          <t>год 9</t>
        </is>
      </c>
      <c r="N13" s="15" t="inlineStr">
        <is>
          <t>год 10</t>
        </is>
      </c>
    </row>
    <row r="14">
      <c r="B14" s="5" t="str">
        <f>"Вариант 1:  "&amp;'Ввод данных'!D7</f>
        <v>Вариант 1:  NHL NTE 240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B15" s="38" t="inlineStr">
        <is>
          <t>КТГ (по годам)</t>
        </is>
      </c>
      <c r="C15" s="24" t="inlineStr">
        <is>
          <t>коэф.</t>
        </is>
      </c>
      <c r="E15" s="52">
        <f>'Данные по годам'!E7</f>
        <v>0.9376</v>
      </c>
      <c r="F15" s="52">
        <f>'Данные по годам'!F7</f>
        <v>0.9304</v>
      </c>
      <c r="G15" s="52">
        <f>'Данные по годам'!G7</f>
        <v>0.9209</v>
      </c>
      <c r="H15" s="52">
        <f>'Данные по годам'!H7</f>
        <v>0.9084</v>
      </c>
      <c r="I15" s="52">
        <f>'Данные по годам'!I7</f>
        <v>0.9333</v>
      </c>
      <c r="J15" s="52">
        <f>'Данные по годам'!J7</f>
        <v>0.9217</v>
      </c>
      <c r="K15" s="52">
        <f>'Данные по годам'!K7</f>
        <v>0.9313</v>
      </c>
      <c r="L15" s="52">
        <f>'Данные по годам'!L7</f>
        <v>0.9111</v>
      </c>
      <c r="M15" s="52">
        <f>'Данные по годам'!M7</f>
        <v>0.9171</v>
      </c>
      <c r="N15" s="52">
        <f>'Данные по годам'!N7</f>
        <v>0.9322</v>
      </c>
    </row>
    <row r="16">
      <c r="B16" s="38" t="inlineStr">
        <is>
          <t>КИО</t>
        </is>
      </c>
      <c r="C16" s="24" t="inlineStr">
        <is>
          <t>коэф.</t>
        </is>
      </c>
      <c r="E16" s="52">
        <f>E15*(1-102.38/(60*'Параметры'!C27))</f>
        <v>0.8042784888888889</v>
      </c>
      <c r="F16" s="52">
        <f>F15*(1-102.38/(60*'Параметры'!C27))</f>
        <v>0.7981022888888889</v>
      </c>
      <c r="G16" s="52">
        <f>G15*(1-102.38/(60*'Параметры'!C27))</f>
        <v>0.7899531361111112</v>
      </c>
      <c r="H16" s="52">
        <f>H15*(1-102.38/(60*'Параметры'!C27))</f>
        <v>0.7792305666666667</v>
      </c>
      <c r="I16" s="52">
        <f>I15*(1-102.38/(60*'Параметры'!C27))</f>
        <v>0.800589925</v>
      </c>
      <c r="J16" s="52">
        <f>J15*(1-102.38/(60*'Параметры'!C27))</f>
        <v>0.7906393805555556</v>
      </c>
      <c r="K16" s="52">
        <f>K15*(1-102.38/(60*'Параметры'!C27))</f>
        <v>0.798874313888889</v>
      </c>
      <c r="L16" s="52">
        <f>L15*(1-102.38/(60*'Параметры'!C27))</f>
        <v>0.7815466416666668</v>
      </c>
      <c r="M16" s="52">
        <f>M15*(1-102.38/(60*'Параметры'!C27))</f>
        <v>0.7866934750000001</v>
      </c>
      <c r="N16" s="52">
        <f>N15*(1-102.38/(60*'Параметры'!C27))</f>
        <v>0.7996463388888889</v>
      </c>
    </row>
    <row r="17">
      <c r="B17" s="38" t="inlineStr">
        <is>
          <t>Эффективное время</t>
        </is>
      </c>
      <c r="C17" s="24" t="inlineStr">
        <is>
          <t>час/год</t>
        </is>
      </c>
      <c r="E17" s="39">
        <f>'Параметры'!C26*E16</f>
        <v>7045.479562666666</v>
      </c>
      <c r="F17" s="39">
        <f>'Параметры'!C26*F16</f>
        <v>6991.376050666667</v>
      </c>
      <c r="G17" s="39">
        <f>'Параметры'!C26*G16</f>
        <v>6919.989472333334</v>
      </c>
      <c r="H17" s="39">
        <f>'Параметры'!C26*H16</f>
        <v>6826.0597640000005</v>
      </c>
      <c r="I17" s="39">
        <f>'Параметры'!C26*I16</f>
        <v>7013.167743</v>
      </c>
      <c r="J17" s="39">
        <f>'Параметры'!C26*J16</f>
        <v>6926.000973666667</v>
      </c>
      <c r="K17" s="39">
        <f>'Параметры'!C26*K16</f>
        <v>6998.138989666667</v>
      </c>
      <c r="L17" s="39">
        <f>'Параметры'!C26*L16</f>
        <v>6846.348581000001</v>
      </c>
      <c r="M17" s="39">
        <f>'Параметры'!C26*M16</f>
        <v>6891.434841000001</v>
      </c>
      <c r="N17" s="39">
        <f>'Параметры'!C26*N16</f>
        <v>7004.901928666667</v>
      </c>
    </row>
    <row r="18">
      <c r="B18" s="38" t="inlineStr">
        <is>
          <t>Объём перевозки</t>
        </is>
      </c>
      <c r="C18" s="24" t="inlineStr">
        <is>
          <t>тыс.т</t>
        </is>
      </c>
      <c r="E18" s="39">
        <f>'Производительность'!D9*E17/1000</f>
        <v>3844.4679250105823</v>
      </c>
      <c r="F18" s="39">
        <f>'Производительность'!D9*F17/1000</f>
        <v>3814.9455603987267</v>
      </c>
      <c r="G18" s="39">
        <f>'Производительность'!D9*G17/1000</f>
        <v>3775.99244042475</v>
      </c>
      <c r="H18" s="39">
        <f>'Производительность'!D9*H17/1000</f>
        <v>3724.7383351958338</v>
      </c>
      <c r="I18" s="39">
        <f>'Производительность'!D9*I17/1000</f>
        <v>3826.8365128118353</v>
      </c>
      <c r="J18" s="39">
        <f>'Производительность'!D9*J17/1000</f>
        <v>3779.272703159401</v>
      </c>
      <c r="K18" s="39">
        <f>'Производительность'!D9*K17/1000</f>
        <v>3818.635855975209</v>
      </c>
      <c r="L18" s="39">
        <f>'Производительность'!D9*L17/1000</f>
        <v>3735.80922192528</v>
      </c>
      <c r="M18" s="39">
        <f>'Производительность'!D9*M17/1000</f>
        <v>3760.4111924351596</v>
      </c>
      <c r="N18" s="39">
        <f>'Производительность'!D9*N17/1000</f>
        <v>3822.326151551691</v>
      </c>
    </row>
    <row r="19">
      <c r="B19" s="38" t="inlineStr">
        <is>
          <t>Грузооборот</t>
        </is>
      </c>
      <c r="C19" s="24" t="inlineStr">
        <is>
          <t>тыс.ткм</t>
        </is>
      </c>
      <c r="E19" s="39">
        <f>E18*'Параметры'!C28</f>
        <v>11685.644704862167</v>
      </c>
      <c r="F19" s="39">
        <f>F18*'Параметры'!C28</f>
        <v>11595.90852538797</v>
      </c>
      <c r="G19" s="39">
        <f>G18*'Параметры'!C28</f>
        <v>11477.50662191507</v>
      </c>
      <c r="H19" s="39">
        <f>H18*'Параметры'!C28</f>
        <v>11321.714643661257</v>
      </c>
      <c r="I19" s="39">
        <f>I18*'Параметры'!C28</f>
        <v>11632.052264342854</v>
      </c>
      <c r="J19" s="39">
        <f>J18*'Параметры'!C28</f>
        <v>11487.477308523316</v>
      </c>
      <c r="K19" s="39">
        <f>K18*'Параметры'!C28</f>
        <v>11607.125547822245</v>
      </c>
      <c r="L19" s="39">
        <f>L18*'Параметры'!C28</f>
        <v>11355.36571096408</v>
      </c>
      <c r="M19" s="39">
        <f>M18*'Параметры'!C28</f>
        <v>11430.145860525912</v>
      </c>
      <c r="N19" s="39">
        <f>N18*'Параметры'!C28</f>
        <v>11618.34257025652</v>
      </c>
    </row>
    <row r="20">
      <c r="B20" s="38" t="inlineStr">
        <is>
          <t>Пробег</t>
        </is>
      </c>
      <c r="C20" s="24" t="inlineStr">
        <is>
          <t>тыс.км</t>
        </is>
      </c>
      <c r="E20" s="39">
        <f>'Производительность'!D8*E17*2*'Параметры'!C28/1000</f>
        <v>104.29567092744455</v>
      </c>
      <c r="F20" s="39">
        <f>'Производительность'!D8*F17*2*'Параметры'!C28/1000</f>
        <v>103.49476560462288</v>
      </c>
      <c r="G20" s="39">
        <f>'Производительность'!D8*G17*2*'Параметры'!C28/1000</f>
        <v>102.43801552589984</v>
      </c>
      <c r="H20" s="39">
        <f>'Производительность'!D8*H17*2*'Параметры'!C28/1000</f>
        <v>101.0475548960011</v>
      </c>
      <c r="I20" s="39">
        <f>'Производительность'!D8*I17*2*'Параметры'!C28/1000</f>
        <v>103.81735247075939</v>
      </c>
      <c r="J20" s="39">
        <f>'Производительность'!D8*J17*2*'Параметры'!C28/1000</f>
        <v>102.52700500621337</v>
      </c>
      <c r="K20" s="39">
        <f>'Производительность'!D8*K17*2*'Параметры'!C28/1000</f>
        <v>103.5948787699756</v>
      </c>
      <c r="L20" s="39">
        <f>'Производительность'!D8*L17*2*'Параметры'!C28/1000</f>
        <v>101.34789439205923</v>
      </c>
      <c r="M20" s="39">
        <f>'Производительность'!D8*M17*2*'Параметры'!C28/1000</f>
        <v>102.01531549441063</v>
      </c>
      <c r="N20" s="39">
        <f>'Производительность'!D8*N17*2*'Параметры'!C28/1000</f>
        <v>103.6949919353283</v>
      </c>
    </row>
    <row r="22">
      <c r="B22" s="5" t="str">
        <f>"Вариант 2:  "&amp;'Ввод данных'!E7</f>
        <v>Вариант 2:  Estar ESDE240
(ГПБ К)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B23" s="38" t="inlineStr">
        <is>
          <t>КТГ (по годам)</t>
        </is>
      </c>
      <c r="C23" s="24" t="inlineStr">
        <is>
          <t>коэф.</t>
        </is>
      </c>
      <c r="E23" s="52">
        <f>'Данные по годам'!E10</f>
        <v>0.9116</v>
      </c>
      <c r="F23" s="52">
        <f>'Данные по годам'!F10</f>
        <v>0.8956</v>
      </c>
      <c r="G23" s="52">
        <f>'Данные по годам'!G10</f>
        <v>0.8493</v>
      </c>
      <c r="H23" s="52">
        <f>'Данные по годам'!H10</f>
        <v>0.806</v>
      </c>
      <c r="I23" s="52">
        <f>'Данные по годам'!I10</f>
        <v>0.899</v>
      </c>
      <c r="J23" s="52">
        <f>'Данные по годам'!J10</f>
        <v>0.8221</v>
      </c>
      <c r="K23" s="52">
        <f>'Данные по годам'!K10</f>
        <v>0.8886</v>
      </c>
      <c r="L23" s="52">
        <f>'Данные по годам'!L10</f>
        <v>0.8107</v>
      </c>
      <c r="M23" s="52">
        <f>'Данные по годам'!M10</f>
        <v>0.8562</v>
      </c>
      <c r="N23" s="52">
        <f>'Данные по годам'!N10</f>
        <v>0.834</v>
      </c>
    </row>
    <row r="24">
      <c r="B24" s="38" t="inlineStr">
        <is>
          <t>КИО</t>
        </is>
      </c>
      <c r="C24" s="24" t="inlineStr">
        <is>
          <t>коэф.</t>
        </is>
      </c>
      <c r="E24" s="52">
        <f>E23*(1-102.38/(60*'Параметры'!C27))</f>
        <v>0.7819755444444445</v>
      </c>
      <c r="F24" s="52">
        <f>F23*(1-102.38/(60*'Параметры'!C27))</f>
        <v>0.7682506555555556</v>
      </c>
      <c r="G24" s="52">
        <f>G23*(1-102.38/(60*'Параметры'!C27))</f>
        <v>0.7285342583333334</v>
      </c>
      <c r="H24" s="52">
        <f>H23*(1-102.38/(60*'Параметры'!C27))</f>
        <v>0.6913912777777779</v>
      </c>
      <c r="I24" s="52">
        <f>I23*(1-102.38/(60*'Параметры'!C27))</f>
        <v>0.7711671944444445</v>
      </c>
      <c r="J24" s="52">
        <f>J23*(1-102.38/(60*'Параметры'!C27))</f>
        <v>0.7052019472222223</v>
      </c>
      <c r="K24" s="52">
        <f>K23*(1-102.38/(60*'Параметры'!C27))</f>
        <v>0.7622460166666667</v>
      </c>
      <c r="L24" s="52">
        <f>L23*(1-102.38/(60*'Параметры'!C27))</f>
        <v>0.6954229638888889</v>
      </c>
      <c r="M24" s="52">
        <f>M23*(1-102.38/(60*'Параметры'!C27))</f>
        <v>0.7344531166666667</v>
      </c>
      <c r="N24" s="52">
        <f>N23*(1-102.38/(60*'Параметры'!C27))</f>
        <v>0.7154098333333333</v>
      </c>
    </row>
    <row r="25">
      <c r="B25" s="38" t="inlineStr">
        <is>
          <t>Эффективное время</t>
        </is>
      </c>
      <c r="C25" s="24" t="inlineStr">
        <is>
          <t>час/год</t>
        </is>
      </c>
      <c r="E25" s="39">
        <f>'Параметры'!C26*E24</f>
        <v>6850.105769333334</v>
      </c>
      <c r="F25" s="39">
        <f>'Параметры'!C26*F24</f>
        <v>6729.875742666667</v>
      </c>
      <c r="G25" s="39">
        <f>'Параметры'!C26*G24</f>
        <v>6381.960103</v>
      </c>
      <c r="H25" s="39">
        <f>'Параметры'!C26*H24</f>
        <v>6056.587593333335</v>
      </c>
      <c r="I25" s="39">
        <f>'Параметры'!C26*I24</f>
        <v>6755.424623333333</v>
      </c>
      <c r="J25" s="39">
        <f>'Параметры'!C26*J24</f>
        <v>6177.5690576666675</v>
      </c>
      <c r="K25" s="39">
        <f>'Параметры'!C26*K24</f>
        <v>6677.275106</v>
      </c>
      <c r="L25" s="39">
        <f>'Параметры'!C26*L24</f>
        <v>6091.905163666667</v>
      </c>
      <c r="M25" s="39">
        <f>'Параметры'!C26*M24</f>
        <v>6433.809302000001</v>
      </c>
      <c r="N25" s="39">
        <f>'Параметры'!C26*N24</f>
        <v>6266.99014</v>
      </c>
    </row>
    <row r="26">
      <c r="B26" s="38" t="inlineStr">
        <is>
          <t>Объём перевозки</t>
        </is>
      </c>
      <c r="C26" s="24" t="inlineStr">
        <is>
          <t>тыс.т</t>
        </is>
      </c>
      <c r="E26" s="39">
        <f>'Производительность'!E9*E25/1000</f>
        <v>3468.6284958460533</v>
      </c>
      <c r="F26" s="39">
        <f>'Производительность'!E9*F25/1000</f>
        <v>3407.7486626587593</v>
      </c>
      <c r="G26" s="39">
        <f>'Производительность'!E9*G25/1000</f>
        <v>3231.5776453730286</v>
      </c>
      <c r="H26" s="39">
        <f>'Производительность'!E9*H25/1000</f>
        <v>3066.8215968099157</v>
      </c>
      <c r="I26" s="39">
        <f>'Производительность'!E9*I25/1000</f>
        <v>3420.685627211059</v>
      </c>
      <c r="J26" s="39">
        <f>'Производительность'!E9*J25/1000</f>
        <v>3128.08192895463</v>
      </c>
      <c r="K26" s="39">
        <f>'Производительность'!E9*K25/1000</f>
        <v>3381.1137356393183</v>
      </c>
      <c r="L26" s="39">
        <f>'Производительность'!E9*L25/1000</f>
        <v>3084.705047808683</v>
      </c>
      <c r="M26" s="39">
        <f>'Производительность'!E9*M25/1000</f>
        <v>3257.832073435049</v>
      </c>
      <c r="N26" s="39">
        <f>'Производительность'!E9*N25/1000</f>
        <v>3173.361304887679</v>
      </c>
    </row>
    <row r="27">
      <c r="B27" s="38" t="inlineStr">
        <is>
          <t>Грузооборот</t>
        </is>
      </c>
      <c r="C27" s="24" t="inlineStr">
        <is>
          <t>тыс.ткм</t>
        </is>
      </c>
      <c r="E27" s="39">
        <f>E26*'Параметры'!C28</f>
        <v>10543.243175973665</v>
      </c>
      <c r="F27" s="39">
        <f>F26*'Параметры'!C28</f>
        <v>10358.192835017566</v>
      </c>
      <c r="G27" s="39">
        <f>G26*'Параметры'!C28</f>
        <v>9822.703410875858</v>
      </c>
      <c r="H27" s="39">
        <f>H26*'Параметры'!C28</f>
        <v>9321.91092566342</v>
      </c>
      <c r="I27" s="39">
        <f>I26*'Параметры'!C28</f>
        <v>10397.516032470736</v>
      </c>
      <c r="J27" s="39">
        <f>J26*'Параметры'!C28</f>
        <v>9508.117831250493</v>
      </c>
      <c r="K27" s="39">
        <f>K26*'Параметры'!C28</f>
        <v>10277.233310849273</v>
      </c>
      <c r="L27" s="39">
        <f>L26*'Параметры'!C28</f>
        <v>9376.269463319273</v>
      </c>
      <c r="M27" s="39">
        <f>M26*'Параметры'!C28</f>
        <v>9902.506370413175</v>
      </c>
      <c r="N27" s="39">
        <f>N26*'Параметры'!C28</f>
        <v>9645.74902233659</v>
      </c>
    </row>
    <row r="28">
      <c r="B28" s="38" t="inlineStr">
        <is>
          <t>Пробег</t>
        </is>
      </c>
      <c r="C28" s="24" t="inlineStr">
        <is>
          <t>тыс.км</t>
        </is>
      </c>
      <c r="E28" s="39">
        <f>'Производительность'!E8*E25*2*'Параметры'!C28/1000</f>
        <v>101.40351281725519</v>
      </c>
      <c r="F28" s="39">
        <f>'Производительность'!E8*F25*2*'Параметры'!C28/1000</f>
        <v>99.62372321098479</v>
      </c>
      <c r="G28" s="39">
        <f>'Производительность'!E8*G25*2*'Параметры'!C28/1000</f>
        <v>94.47345703783986</v>
      </c>
      <c r="H28" s="39">
        <f>'Производительность'!E8*H25*2*'Параметры'!C28/1000</f>
        <v>89.65690141587065</v>
      </c>
      <c r="I28" s="39">
        <f>'Производительность'!E8*I25*2*'Параметры'!C28/1000</f>
        <v>100.00192850231724</v>
      </c>
      <c r="J28" s="39">
        <f>'Производительность'!E8*J25*2*'Параметры'!C28/1000</f>
        <v>91.44781470718023</v>
      </c>
      <c r="K28" s="39">
        <f>'Производительность'!E8*K25*2*'Параметры'!C28/1000</f>
        <v>98.84506525824149</v>
      </c>
      <c r="L28" s="39">
        <f>'Производительность'!E8*L25*2*'Параметры'!C28/1000</f>
        <v>90.17971461271257</v>
      </c>
      <c r="M28" s="39">
        <f>'Производительность'!E8*M25*2*'Параметры'!C28/1000</f>
        <v>95.24099130554399</v>
      </c>
      <c r="N28" s="39">
        <f>'Производительность'!E8*N25*2*'Параметры'!C28/1000</f>
        <v>92.7715332268438</v>
      </c>
    </row>
    <row r="30">
      <c r="B30" s="5" t="str">
        <f>"Вариант 3:  "&amp;'Ввод данных'!F7</f>
        <v>Вариант 3:  SANY SET240S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B31" s="38" t="inlineStr">
        <is>
          <t>КТГ (по годам)</t>
        </is>
      </c>
      <c r="C31" s="24" t="inlineStr">
        <is>
          <t>коэф.</t>
        </is>
      </c>
      <c r="E31" s="52">
        <f>'Данные по годам'!E13</f>
        <v>0.9357</v>
      </c>
      <c r="F31" s="52">
        <f>'Данные по годам'!F13</f>
        <v>0.9026</v>
      </c>
      <c r="G31" s="52">
        <f>'Данные по годам'!G13</f>
        <v>0.8659</v>
      </c>
      <c r="H31" s="52">
        <f>'Данные по годам'!H13</f>
        <v>0.904</v>
      </c>
      <c r="I31" s="52">
        <f>'Данные по годам'!I13</f>
        <v>0.85</v>
      </c>
      <c r="J31" s="52">
        <f>'Данные по годам'!J13</f>
        <v>0.904</v>
      </c>
      <c r="K31" s="52">
        <f>'Данные по годам'!K13</f>
        <v>0.8659</v>
      </c>
      <c r="L31" s="52">
        <f>'Данные по годам'!L13</f>
        <v>0.904</v>
      </c>
      <c r="M31" s="52">
        <f>'Данные по годам'!M13</f>
        <v>0.85</v>
      </c>
      <c r="N31" s="52">
        <f>'Данные по годам'!N13</f>
        <v>0.885</v>
      </c>
    </row>
    <row r="32">
      <c r="B32" s="38" t="inlineStr">
        <is>
          <t>КИО</t>
        </is>
      </c>
      <c r="C32" s="24" t="inlineStr">
        <is>
          <t>коэф.</t>
        </is>
      </c>
      <c r="E32" s="52">
        <f>E31*(1-102.38/(60*'Параметры'!C27))</f>
        <v>0.8026486583333333</v>
      </c>
      <c r="F32" s="52">
        <f>F31*(1-102.38/(60*'Параметры'!C27))</f>
        <v>0.7742552944444444</v>
      </c>
      <c r="G32" s="52">
        <f>G31*(1-102.38/(60*'Параметры'!C27))</f>
        <v>0.7427738305555556</v>
      </c>
      <c r="H32" s="52">
        <f>H31*(1-102.38/(60*'Параметры'!C27))</f>
        <v>0.7754562222222223</v>
      </c>
      <c r="I32" s="52">
        <f>I31*(1-102.38/(60*'Параметры'!C27))</f>
        <v>0.7291347222222222</v>
      </c>
      <c r="J32" s="52">
        <f>J31*(1-102.38/(60*'Параметры'!C27))</f>
        <v>0.7754562222222223</v>
      </c>
      <c r="K32" s="52">
        <f>K31*(1-102.38/(60*'Параметры'!C27))</f>
        <v>0.7427738305555556</v>
      </c>
      <c r="L32" s="52">
        <f>L31*(1-102.38/(60*'Параметры'!C27))</f>
        <v>0.7754562222222223</v>
      </c>
      <c r="M32" s="52">
        <f>M31*(1-102.38/(60*'Параметры'!C27))</f>
        <v>0.7291347222222222</v>
      </c>
      <c r="N32" s="52">
        <f>N31*(1-102.38/(60*'Параметры'!C27))</f>
        <v>0.7591579166666668</v>
      </c>
    </row>
    <row r="33">
      <c r="B33" s="38" t="inlineStr">
        <is>
          <t>Эффективное время</t>
        </is>
      </c>
      <c r="C33" s="24" t="inlineStr">
        <is>
          <t>час/год</t>
        </is>
      </c>
      <c r="E33" s="39">
        <f>'Параметры'!C26*E32</f>
        <v>7031.202247</v>
      </c>
      <c r="F33" s="39">
        <f>'Параметры'!C26*F32</f>
        <v>6782.476379333333</v>
      </c>
      <c r="G33" s="39">
        <f>'Параметры'!C26*G32</f>
        <v>6506.698755666667</v>
      </c>
      <c r="H33" s="39">
        <f>'Параметры'!C26*H32</f>
        <v>6792.996506666667</v>
      </c>
      <c r="I33" s="39">
        <f>'Параметры'!C26*I32</f>
        <v>6387.220166666666</v>
      </c>
      <c r="J33" s="39">
        <f>'Параметры'!C26*J32</f>
        <v>6792.996506666667</v>
      </c>
      <c r="K33" s="39">
        <f>'Параметры'!C26*K32</f>
        <v>6506.698755666667</v>
      </c>
      <c r="L33" s="39">
        <f>'Параметры'!C26*L32</f>
        <v>6792.996506666667</v>
      </c>
      <c r="M33" s="39">
        <f>'Параметры'!C26*M32</f>
        <v>6387.220166666666</v>
      </c>
      <c r="N33" s="39">
        <f>'Параметры'!C26*N32</f>
        <v>6650.223350000001</v>
      </c>
    </row>
    <row r="34">
      <c r="B34" s="38" t="inlineStr">
        <is>
          <t>Объём перевозки</t>
        </is>
      </c>
      <c r="C34" s="24" t="inlineStr">
        <is>
          <t>тыс.т</t>
        </is>
      </c>
      <c r="E34" s="39">
        <f>'Производительность'!F9*E33/1000</f>
        <v>3644.035005278217</v>
      </c>
      <c r="F34" s="39">
        <f>'Производительность'!F9*F33/1000</f>
        <v>3515.128776065105</v>
      </c>
      <c r="G34" s="39">
        <f>'Производительность'!F9*G33/1000</f>
        <v>3372.2025340070622</v>
      </c>
      <c r="H34" s="39">
        <f>'Производительность'!F9*H33/1000</f>
        <v>3520.5810032825775</v>
      </c>
      <c r="I34" s="39">
        <f>'Производительность'!F9*I33/1000</f>
        <v>3310.280810608618</v>
      </c>
      <c r="J34" s="39">
        <f>'Производительность'!F9*J33/1000</f>
        <v>3520.5810032825775</v>
      </c>
      <c r="K34" s="39">
        <f>'Производительность'!F9*K33/1000</f>
        <v>3372.2025340070622</v>
      </c>
      <c r="L34" s="39">
        <f>'Производительность'!F9*L33/1000</f>
        <v>3520.5810032825775</v>
      </c>
      <c r="M34" s="39">
        <f>'Производительность'!F9*M33/1000</f>
        <v>3310.280810608618</v>
      </c>
      <c r="N34" s="39">
        <f>'Производительность'!F9*N33/1000</f>
        <v>3446.5864910454443</v>
      </c>
    </row>
    <row r="35">
      <c r="B35" s="38" t="inlineStr">
        <is>
          <t>Грузооборот</t>
        </is>
      </c>
      <c r="C35" s="24" t="inlineStr">
        <is>
          <t>тыс.ткм</t>
        </is>
      </c>
      <c r="E35" s="39">
        <f>E34*'Параметры'!C28</f>
        <v>11076.408802043668</v>
      </c>
      <c r="F35" s="39">
        <f>F34*'Параметры'!C28</f>
        <v>10684.585427727492</v>
      </c>
      <c r="G35" s="39">
        <f>G34*'Параметры'!C28</f>
        <v>10250.146822367866</v>
      </c>
      <c r="H35" s="39">
        <f>H34*'Параметры'!C28</f>
        <v>10701.158017577724</v>
      </c>
      <c r="I35" s="39">
        <f>I34*'Параметры'!C28</f>
        <v>10061.929551925956</v>
      </c>
      <c r="J35" s="39">
        <f>J34*'Параметры'!C28</f>
        <v>10701.158017577724</v>
      </c>
      <c r="K35" s="39">
        <f>K34*'Параметры'!C28</f>
        <v>10250.146822367866</v>
      </c>
      <c r="L35" s="39">
        <f>L34*'Параметры'!C28</f>
        <v>10701.158017577724</v>
      </c>
      <c r="M35" s="39">
        <f>M34*'Параметры'!C28</f>
        <v>10061.929551925956</v>
      </c>
      <c r="N35" s="39">
        <f>N34*'Параметры'!C28</f>
        <v>10476.244298181733</v>
      </c>
    </row>
    <row r="36">
      <c r="B36" s="38" t="inlineStr">
        <is>
          <t>Пробег</t>
        </is>
      </c>
      <c r="C36" s="24" t="inlineStr">
        <is>
          <t>тыс.км</t>
        </is>
      </c>
      <c r="E36" s="39">
        <f>'Производительность'!F8*E33*2*'Параметры'!C28/1000</f>
        <v>104.08432091169993</v>
      </c>
      <c r="F36" s="39">
        <f>'Производительность'!F8*F33*2*'Параметры'!C28/1000</f>
        <v>100.4023811637281</v>
      </c>
      <c r="G36" s="39">
        <f>'Производительность'!F8*G33*2*'Параметры'!C28/1000</f>
        <v>96.31998875434539</v>
      </c>
      <c r="H36" s="39">
        <f>'Производительность'!F8*H33*2*'Параметры'!C28/1000</f>
        <v>100.55811275427676</v>
      </c>
      <c r="I36" s="39">
        <f>'Производительность'!F8*I33*2*'Параметры'!C28/1000</f>
        <v>94.55132283311418</v>
      </c>
      <c r="J36" s="39">
        <f>'Производительность'!F8*J33*2*'Параметры'!C28/1000</f>
        <v>100.55811275427676</v>
      </c>
      <c r="K36" s="39">
        <f>'Производительность'!F8*K33*2*'Параметры'!C28/1000</f>
        <v>96.31998875434539</v>
      </c>
      <c r="L36" s="39">
        <f>'Производительность'!F8*L33*2*'Параметры'!C28/1000</f>
        <v>100.55811275427676</v>
      </c>
      <c r="M36" s="39">
        <f>'Производительность'!F8*M33*2*'Параметры'!C28/1000</f>
        <v>94.55132283311418</v>
      </c>
      <c r="N36" s="39">
        <f>'Производительность'!F8*N33*2*'Параметры'!C28/1000</f>
        <v>98.44461259683068</v>
      </c>
    </row>
    <row r="38">
      <c r="B38" s="5" t="str">
        <f>"Вариант 4:  "&amp;'Ввод данных'!G7</f>
        <v>Вариант 4:  TZCO TZE240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B39" s="38" t="inlineStr">
        <is>
          <t>КТГ (по годам)</t>
        </is>
      </c>
      <c r="C39" s="24" t="inlineStr">
        <is>
          <t>коэф.</t>
        </is>
      </c>
      <c r="E39" s="52">
        <f>'Данные по годам'!E16</f>
        <v>0.9096</v>
      </c>
      <c r="F39" s="52">
        <f>'Данные по годам'!F16</f>
        <v>0.8842</v>
      </c>
      <c r="G39" s="52">
        <f>'Данные по годам'!G16</f>
        <v>0.774</v>
      </c>
      <c r="H39" s="52">
        <f>'Данные по годам'!H16</f>
        <v>0.8842</v>
      </c>
      <c r="I39" s="52">
        <f>'Данные по годам'!I16</f>
        <v>0.9096</v>
      </c>
      <c r="J39" s="52">
        <f>'Данные по годам'!J16</f>
        <v>0.748</v>
      </c>
      <c r="K39" s="52">
        <f>'Данные по годам'!K16</f>
        <v>0.9096</v>
      </c>
      <c r="L39" s="52">
        <f>'Данные по годам'!L16</f>
        <v>0.8842</v>
      </c>
      <c r="M39" s="52">
        <f>'Данные по годам'!M16</f>
        <v>0.9096</v>
      </c>
      <c r="N39" s="52">
        <f>'Данные по годам'!N16</f>
        <v>0.8842</v>
      </c>
    </row>
    <row r="40">
      <c r="B40" s="38" t="inlineStr">
        <is>
          <t>КИО</t>
        </is>
      </c>
      <c r="C40" s="24" t="inlineStr">
        <is>
          <t>коэф.</t>
        </is>
      </c>
      <c r="E40" s="52">
        <f>E39*(1-102.38/(60*'Параметры'!C27))</f>
        <v>0.7802599333333333</v>
      </c>
      <c r="F40" s="52">
        <f>F39*(1-102.38/(60*'Параметры'!C27))</f>
        <v>0.7584716722222222</v>
      </c>
      <c r="G40" s="52">
        <f>G39*(1-102.38/(60*'Параметры'!C27))</f>
        <v>0.6639415000000001</v>
      </c>
      <c r="H40" s="52">
        <f>H39*(1-102.38/(60*'Параметры'!C27))</f>
        <v>0.7584716722222222</v>
      </c>
      <c r="I40" s="52">
        <f>I39*(1-102.38/(60*'Параметры'!C27))</f>
        <v>0.7802599333333333</v>
      </c>
      <c r="J40" s="52">
        <f>J39*(1-102.38/(60*'Параметры'!C27))</f>
        <v>0.6416385555555556</v>
      </c>
      <c r="K40" s="52">
        <f>K39*(1-102.38/(60*'Параметры'!C27))</f>
        <v>0.7802599333333333</v>
      </c>
      <c r="L40" s="52">
        <f>L39*(1-102.38/(60*'Параметры'!C27))</f>
        <v>0.7584716722222222</v>
      </c>
      <c r="M40" s="52">
        <f>M39*(1-102.38/(60*'Параметры'!C27))</f>
        <v>0.7802599333333333</v>
      </c>
      <c r="N40" s="52">
        <f>N39*(1-102.38/(60*'Параметры'!C27))</f>
        <v>0.7584716722222222</v>
      </c>
    </row>
    <row r="41">
      <c r="B41" s="38" t="inlineStr">
        <is>
          <t>Эффективное время</t>
        </is>
      </c>
      <c r="C41" s="24" t="inlineStr">
        <is>
          <t>час/год</t>
        </is>
      </c>
      <c r="E41" s="39">
        <f>'Параметры'!C26*E40</f>
        <v>6835.077016</v>
      </c>
      <c r="F41" s="39">
        <f>'Параметры'!C26*F40</f>
        <v>6644.211848666667</v>
      </c>
      <c r="G41" s="39">
        <f>'Параметры'!C26*G40</f>
        <v>5816.12754</v>
      </c>
      <c r="H41" s="39">
        <f>'Параметры'!C26*H40</f>
        <v>6644.211848666667</v>
      </c>
      <c r="I41" s="39">
        <f>'Параметры'!C26*I40</f>
        <v>6835.077016</v>
      </c>
      <c r="J41" s="39">
        <f>'Параметры'!C26*J40</f>
        <v>5620.753746666667</v>
      </c>
      <c r="K41" s="39">
        <f>'Параметры'!C26*K40</f>
        <v>6835.077016</v>
      </c>
      <c r="L41" s="39">
        <f>'Параметры'!C26*L40</f>
        <v>6644.211848666667</v>
      </c>
      <c r="M41" s="39">
        <f>'Параметры'!C26*M40</f>
        <v>6835.077016</v>
      </c>
      <c r="N41" s="39">
        <f>'Параметры'!C26*N40</f>
        <v>6644.211848666667</v>
      </c>
    </row>
    <row r="42">
      <c r="B42" s="38" t="inlineStr">
        <is>
          <t>Объём перевозки</t>
        </is>
      </c>
      <c r="C42" s="24" t="inlineStr">
        <is>
          <t>тыс.т</t>
        </is>
      </c>
      <c r="E42" s="39">
        <f>'Производительность'!G9*E41/1000</f>
        <v>3634.6981470768824</v>
      </c>
      <c r="F42" s="39">
        <f>'Производительность'!G9*F41/1000</f>
        <v>3533.2015189593008</v>
      </c>
      <c r="G42" s="39">
        <f>'Производительность'!G9*G41/1000</f>
        <v>3092.850006417664</v>
      </c>
      <c r="H42" s="39">
        <f>'Производительность'!G9*H41/1000</f>
        <v>3533.2015189593008</v>
      </c>
      <c r="I42" s="39">
        <f>'Производительность'!G9*I41/1000</f>
        <v>3634.6981470768824</v>
      </c>
      <c r="J42" s="39">
        <f>'Производительность'!G9*J41/1000</f>
        <v>2988.955820155572</v>
      </c>
      <c r="K42" s="39">
        <f>'Производительность'!G9*K41/1000</f>
        <v>3634.6981470768824</v>
      </c>
      <c r="L42" s="39">
        <f>'Производительность'!G9*L41/1000</f>
        <v>3533.2015189593008</v>
      </c>
      <c r="M42" s="39">
        <f>'Производительность'!G9*M41/1000</f>
        <v>3634.6981470768824</v>
      </c>
      <c r="N42" s="39">
        <f>'Производительность'!G9*N41/1000</f>
        <v>3533.2015189593008</v>
      </c>
    </row>
    <row r="43">
      <c r="B43" s="38" t="inlineStr">
        <is>
          <t>Грузооборот</t>
        </is>
      </c>
      <c r="C43" s="24" t="inlineStr">
        <is>
          <t>тыс.ткм</t>
        </is>
      </c>
      <c r="E43" s="39">
        <f>E42*'Параметры'!C28</f>
        <v>11048.028487854892</v>
      </c>
      <c r="F43" s="39">
        <f>F42*'Параметры'!C28</f>
        <v>10739.51933702869</v>
      </c>
      <c r="G43" s="39">
        <f>G42*'Параметры'!C28</f>
        <v>9401.026879507132</v>
      </c>
      <c r="H43" s="39">
        <f>H42*'Параметры'!C28</f>
        <v>10739.51933702869</v>
      </c>
      <c r="I43" s="39">
        <f>I42*'Параметры'!C28</f>
        <v>11048.028487854892</v>
      </c>
      <c r="J43" s="39">
        <f>J42*'Параметры'!C28</f>
        <v>9085.230110944876</v>
      </c>
      <c r="K43" s="39">
        <f>K42*'Параметры'!C28</f>
        <v>11048.028487854892</v>
      </c>
      <c r="L43" s="39">
        <f>L42*'Параметры'!C28</f>
        <v>10739.51933702869</v>
      </c>
      <c r="M43" s="39">
        <f>M42*'Параметры'!C28</f>
        <v>11048.028487854892</v>
      </c>
      <c r="N43" s="39">
        <f>N42*'Параметры'!C28</f>
        <v>10739.51933702869</v>
      </c>
    </row>
    <row r="44">
      <c r="B44" s="38" t="inlineStr">
        <is>
          <t>Пробег</t>
        </is>
      </c>
      <c r="C44" s="24" t="inlineStr">
        <is>
          <t>тыс.км</t>
        </is>
      </c>
      <c r="E44" s="39">
        <f>'Производительность'!G8*E41*2*'Параметры'!C28/1000</f>
        <v>101.18103911647138</v>
      </c>
      <c r="F44" s="39">
        <f>'Производительность'!G8*F41*2*'Параметры'!C28/1000</f>
        <v>98.35562311651715</v>
      </c>
      <c r="G44" s="39">
        <f>'Производительность'!G8*G41*2*'Параметры'!C28/1000</f>
        <v>86.09732220332987</v>
      </c>
      <c r="H44" s="39">
        <f>'Производительность'!G8*H41*2*'Параметры'!C28/1000</f>
        <v>98.35562311651715</v>
      </c>
      <c r="I44" s="39">
        <f>'Производительность'!G8*I41*2*'Параметры'!C28/1000</f>
        <v>101.18103911647138</v>
      </c>
      <c r="J44" s="39">
        <f>'Производительность'!G8*J41*2*'Параметры'!C28/1000</f>
        <v>83.2051640931405</v>
      </c>
      <c r="K44" s="39">
        <f>'Производительность'!G8*K41*2*'Параметры'!C28/1000</f>
        <v>101.18103911647138</v>
      </c>
      <c r="L44" s="39">
        <f>'Производительность'!G8*L41*2*'Параметры'!C28/1000</f>
        <v>98.35562311651715</v>
      </c>
      <c r="M44" s="39">
        <f>'Производительность'!G8*M41*2*'Параметры'!C28/1000</f>
        <v>101.18103911647138</v>
      </c>
      <c r="N44" s="39">
        <f>'Производительность'!G8*N41*2*'Параметры'!C28/1000</f>
        <v>98.35562311651715</v>
      </c>
    </row>
    <row r="46">
      <c r="B46" s="5" t="str">
        <f>"Вариант 5:  "&amp;'Ввод данных'!H7</f>
        <v>Вариант 5:  БелАЗ 7531
(ГПФК)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B47" s="38" t="inlineStr">
        <is>
          <t>КТГ (по годам)</t>
        </is>
      </c>
      <c r="C47" s="24" t="inlineStr">
        <is>
          <t>коэф.</t>
        </is>
      </c>
      <c r="E47" s="52">
        <f>'Данные по годам'!E19</f>
        <v>0.9083</v>
      </c>
      <c r="F47" s="52">
        <f>'Данные по годам'!F19</f>
        <v>0.8858</v>
      </c>
      <c r="G47" s="52">
        <f>'Данные по годам'!G19</f>
        <v>0.8646</v>
      </c>
      <c r="H47" s="52">
        <f>'Данные по годам'!H19</f>
        <v>0.8748</v>
      </c>
      <c r="I47" s="52">
        <f>'Данные по годам'!I19</f>
        <v>0.8813</v>
      </c>
      <c r="J47" s="52">
        <f>'Данные по годам'!J19</f>
        <v>0.8464</v>
      </c>
      <c r="K47" s="52">
        <f>'Данные по годам'!K19</f>
        <v>0.8971</v>
      </c>
      <c r="L47" s="52">
        <f>'Данные по годам'!L19</f>
        <v>0.8546</v>
      </c>
      <c r="M47" s="52">
        <f>'Данные по годам'!M19</f>
        <v>0.842</v>
      </c>
      <c r="N47" s="52">
        <f>'Данные по годам'!N19</f>
        <v>0.8611</v>
      </c>
    </row>
    <row r="48">
      <c r="B48" s="38" t="inlineStr">
        <is>
          <t>КИО</t>
        </is>
      </c>
      <c r="C48" s="24" t="inlineStr">
        <is>
          <t>коэф.</t>
        </is>
      </c>
      <c r="E48" s="52">
        <f>E47*(1-102.38/(60*'Параметры'!C27))</f>
        <v>0.7791447861111112</v>
      </c>
      <c r="F48" s="52">
        <f>F47*(1-102.38/(60*'Параметры'!C27))</f>
        <v>0.7598441611111112</v>
      </c>
      <c r="G48" s="52">
        <f>G47*(1-102.38/(60*'Параметры'!C27))</f>
        <v>0.7416586833333334</v>
      </c>
      <c r="H48" s="52">
        <f>H47*(1-102.38/(60*'Параметры'!C27))</f>
        <v>0.7504083</v>
      </c>
      <c r="I48" s="52">
        <f>I47*(1-102.38/(60*'Параметры'!C27))</f>
        <v>0.7559840361111111</v>
      </c>
      <c r="J48" s="52">
        <f>J47*(1-102.38/(60*'Параметры'!C27))</f>
        <v>0.7260466222222223</v>
      </c>
      <c r="K48" s="52">
        <f>K47*(1-102.38/(60*'Параметры'!C27))</f>
        <v>0.7695373638888889</v>
      </c>
      <c r="L48" s="52">
        <f>L47*(1-102.38/(60*'Параметры'!C27))</f>
        <v>0.7330806277777778</v>
      </c>
      <c r="M48" s="52">
        <f>M47*(1-102.38/(60*'Параметры'!C27))</f>
        <v>0.7222722777777778</v>
      </c>
      <c r="N48" s="52">
        <f>N47*(1-102.38/(60*'Параметры'!C27))</f>
        <v>0.7386563638888889</v>
      </c>
    </row>
    <row r="49">
      <c r="B49" s="38" t="inlineStr">
        <is>
          <t>Эффективное время</t>
        </is>
      </c>
      <c r="C49" s="24" t="inlineStr">
        <is>
          <t>час/год</t>
        </is>
      </c>
      <c r="E49" s="39">
        <f>'Параметры'!C26*E48</f>
        <v>6825.308326333334</v>
      </c>
      <c r="F49" s="39">
        <f>'Параметры'!C26*F48</f>
        <v>6656.234851333334</v>
      </c>
      <c r="G49" s="39">
        <f>'Параметры'!C26*G48</f>
        <v>6496.930066000001</v>
      </c>
      <c r="H49" s="39">
        <f>'Параметры'!C26*H48</f>
        <v>6573.5767080000005</v>
      </c>
      <c r="I49" s="39">
        <f>'Параметры'!C26*I48</f>
        <v>6622.420156333334</v>
      </c>
      <c r="J49" s="39">
        <f>'Параметры'!C26*J48</f>
        <v>6360.168410666667</v>
      </c>
      <c r="K49" s="39">
        <f>'Параметры'!C26*K48</f>
        <v>6741.147307666667</v>
      </c>
      <c r="L49" s="39">
        <f>'Параметры'!C26*L48</f>
        <v>6421.786299333334</v>
      </c>
      <c r="M49" s="39">
        <f>'Параметры'!C26*M48</f>
        <v>6327.105153333334</v>
      </c>
      <c r="N49" s="39">
        <f>'Параметры'!C26*N48</f>
        <v>6470.629747666667</v>
      </c>
    </row>
    <row r="50">
      <c r="B50" s="38" t="inlineStr">
        <is>
          <t>Объём перевозки</t>
        </is>
      </c>
      <c r="C50" s="24" t="inlineStr">
        <is>
          <t>тыс.т</t>
        </is>
      </c>
      <c r="E50" s="39">
        <f>'Производительность'!H9*E49/1000</f>
        <v>3776.6454690244714</v>
      </c>
      <c r="F50" s="39">
        <f>'Производительность'!H9*F49/1000</f>
        <v>3683.0921022370107</v>
      </c>
      <c r="G50" s="39">
        <f>'Производительность'!H9*G49/1000</f>
        <v>3594.9440410861594</v>
      </c>
      <c r="H50" s="39">
        <f>'Производительность'!H9*H49/1000</f>
        <v>3637.3549006964745</v>
      </c>
      <c r="I50" s="39">
        <f>'Производительность'!H9*I49/1000</f>
        <v>3664.3814288795184</v>
      </c>
      <c r="J50" s="39">
        <f>'Производительность'!H9*J49/1000</f>
        <v>3519.269762173635</v>
      </c>
      <c r="K50" s="39">
        <f>'Производительность'!H9*K49/1000</f>
        <v>3730.0766820013796</v>
      </c>
      <c r="L50" s="39">
        <f>'Производительность'!H9*L49/1000</f>
        <v>3553.364766958399</v>
      </c>
      <c r="M50" s="39">
        <f>'Производительность'!H9*M49/1000</f>
        <v>3500.9748815574203</v>
      </c>
      <c r="N50" s="39">
        <f>'Производительность'!H9*N49/1000</f>
        <v>3580.3912951414427</v>
      </c>
    </row>
    <row r="51">
      <c r="B51" s="38" t="inlineStr">
        <is>
          <t>Грузооборот</t>
        </is>
      </c>
      <c r="C51" s="24" t="inlineStr">
        <is>
          <t>тыс.ткм</t>
        </is>
      </c>
      <c r="E51" s="39">
        <f>E50*'Параметры'!C28</f>
        <v>11479.491567646783</v>
      </c>
      <c r="F51" s="39">
        <f>F50*'Параметры'!C28</f>
        <v>11195.126753959617</v>
      </c>
      <c r="G51" s="39">
        <f>G50*'Параметры'!C28</f>
        <v>10927.19190728549</v>
      </c>
      <c r="H51" s="39">
        <f>H50*'Параметры'!C28</f>
        <v>11056.103956157003</v>
      </c>
      <c r="I51" s="39">
        <f>I50*'Параметры'!C28</f>
        <v>11138.253791222185</v>
      </c>
      <c r="J51" s="39">
        <f>J50*'Параметры'!C28</f>
        <v>10697.172369102982</v>
      </c>
      <c r="K51" s="39">
        <f>K50*'Параметры'!C28</f>
        <v>11337.941082611394</v>
      </c>
      <c r="L51" s="39">
        <f>L50*'Параметры'!C28</f>
        <v>10800.807545646749</v>
      </c>
      <c r="M51" s="39">
        <f>M50*'Параметры'!C28</f>
        <v>10641.563249981935</v>
      </c>
      <c r="N51" s="39">
        <f>N50*'Параметры'!C28</f>
        <v>10882.957380711929</v>
      </c>
    </row>
    <row r="52">
      <c r="B52" s="38" t="inlineStr">
        <is>
          <t>Пробег</t>
        </is>
      </c>
      <c r="C52" s="24" t="inlineStr">
        <is>
          <t>тыс.км</t>
        </is>
      </c>
      <c r="E52" s="39">
        <f>'Производительность'!H8*E49*2*'Параметры'!C28/1000</f>
        <v>101.03643121096192</v>
      </c>
      <c r="F52" s="39">
        <f>'Производительность'!H8*F49*2*'Параметры'!C28/1000</f>
        <v>98.53360207714418</v>
      </c>
      <c r="G52" s="39">
        <f>'Производительность'!H8*G49*2*'Параметры'!C28/1000</f>
        <v>96.17538084883594</v>
      </c>
      <c r="H52" s="39">
        <f>'Производительность'!H8*H49*2*'Параметры'!C28/1000</f>
        <v>97.30999672283329</v>
      </c>
      <c r="I52" s="39">
        <f>'Производительность'!H8*I49*2*'Параметры'!C28/1000</f>
        <v>98.03303625038063</v>
      </c>
      <c r="J52" s="39">
        <f>'Производительность'!H8*J49*2*'Параметры'!C28/1000</f>
        <v>94.15087017170336</v>
      </c>
      <c r="K52" s="39">
        <f>'Производительность'!H8*K49*2*'Параметры'!C28/1000</f>
        <v>99.79057848657264</v>
      </c>
      <c r="L52" s="39">
        <f>'Производительность'!H8*L49*2*'Параметры'!C28/1000</f>
        <v>95.06301234491693</v>
      </c>
      <c r="M52" s="39">
        <f>'Производительность'!H8*M49*2*'Параметры'!C28/1000</f>
        <v>93.661428029979</v>
      </c>
      <c r="N52" s="39">
        <f>'Производительность'!H8*N49*2*'Параметры'!C28/1000</f>
        <v>95.78605187246426</v>
      </c>
    </row>
    <row r="54">
      <c r="B54" s="5" t="str">
        <f>"Вариант 6:  "&amp;'Ввод данных'!I7</f>
        <v>Вариант 6:  БелАЗ 7531
(БТЛ)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B55" s="38" t="inlineStr">
        <is>
          <t>КТГ (по годам)</t>
        </is>
      </c>
      <c r="C55" s="24" t="inlineStr">
        <is>
          <t>коэф.</t>
        </is>
      </c>
      <c r="E55" s="52">
        <f>'Данные по годам'!E22</f>
        <v>0.93</v>
      </c>
      <c r="F55" s="52">
        <f>'Данные по годам'!F22</f>
        <v>0.908</v>
      </c>
      <c r="G55" s="52">
        <f>'Данные по годам'!G22</f>
        <v>0.899</v>
      </c>
      <c r="H55" s="52">
        <f>'Данные по годам'!H22</f>
        <v>0.881</v>
      </c>
      <c r="I55" s="52">
        <f>'Данные по годам'!I22</f>
        <v>0.901</v>
      </c>
      <c r="J55" s="52">
        <f>'Данные по годам'!J22</f>
        <v>0.87</v>
      </c>
      <c r="K55" s="52">
        <f>'Данные по годам'!K22</f>
        <v>0.851</v>
      </c>
      <c r="L55" s="52">
        <f>'Данные по годам'!L22</f>
        <v>0.892</v>
      </c>
      <c r="M55" s="52">
        <f>'Данные по годам'!M22</f>
        <v>0.858</v>
      </c>
      <c r="N55" s="52">
        <f>'Данные по годам'!N22</f>
        <v>0.852</v>
      </c>
    </row>
    <row r="56">
      <c r="B56" s="38" t="inlineStr">
        <is>
          <t>КИО</t>
        </is>
      </c>
      <c r="C56" s="24" t="inlineStr">
        <is>
          <t>коэф.</t>
        </is>
      </c>
      <c r="E56" s="52">
        <f>E55*(1-102.38/(60*'Параметры'!C27))</f>
        <v>0.7977591666666668</v>
      </c>
      <c r="F56" s="52">
        <f>F55*(1-102.38/(60*'Параметры'!C27))</f>
        <v>0.7788874444444445</v>
      </c>
      <c r="G56" s="52">
        <f>G55*(1-102.38/(60*'Параметры'!C27))</f>
        <v>0.7711671944444445</v>
      </c>
      <c r="H56" s="52">
        <f>H55*(1-102.38/(60*'Параметры'!C27))</f>
        <v>0.7557266944444445</v>
      </c>
      <c r="I56" s="52">
        <f>I55*(1-102.38/(60*'Параметры'!C27))</f>
        <v>0.7728828055555557</v>
      </c>
      <c r="J56" s="52">
        <f>J55*(1-102.38/(60*'Параметры'!C27))</f>
        <v>0.7462908333333333</v>
      </c>
      <c r="K56" s="52">
        <f>K55*(1-102.38/(60*'Параметры'!C27))</f>
        <v>0.7299925277777778</v>
      </c>
      <c r="L56" s="52">
        <f>L55*(1-102.38/(60*'Параметры'!C27))</f>
        <v>0.7651625555555556</v>
      </c>
      <c r="M56" s="52">
        <f>M55*(1-102.38/(60*'Параметры'!C27))</f>
        <v>0.7359971666666667</v>
      </c>
      <c r="N56" s="52">
        <f>N55*(1-102.38/(60*'Параметры'!C27))</f>
        <v>0.7308503333333334</v>
      </c>
    </row>
    <row r="57">
      <c r="B57" s="38" t="inlineStr">
        <is>
          <t>Эффективное время</t>
        </is>
      </c>
      <c r="C57" s="24" t="inlineStr">
        <is>
          <t>час/год</t>
        </is>
      </c>
      <c r="E57" s="39">
        <f>'Параметры'!C26*E56</f>
        <v>6988.370300000001</v>
      </c>
      <c r="F57" s="39">
        <f>'Параметры'!C26*F56</f>
        <v>6823.054013333333</v>
      </c>
      <c r="G57" s="39">
        <f>'Параметры'!C26*G56</f>
        <v>6755.424623333333</v>
      </c>
      <c r="H57" s="39">
        <f>'Параметры'!C26*H56</f>
        <v>6620.165843333334</v>
      </c>
      <c r="I57" s="39">
        <f>'Параметры'!C26*I56</f>
        <v>6770.453376666667</v>
      </c>
      <c r="J57" s="39">
        <f>'Параметры'!C26*J56</f>
        <v>6537.5077</v>
      </c>
      <c r="K57" s="39">
        <f>'Параметры'!C26*K56</f>
        <v>6394.734543333333</v>
      </c>
      <c r="L57" s="39">
        <f>'Параметры'!C26*L56</f>
        <v>6702.823986666667</v>
      </c>
      <c r="M57" s="39">
        <f>'Параметры'!C26*M56</f>
        <v>6447.33518</v>
      </c>
      <c r="N57" s="39">
        <f>'Параметры'!C26*N56</f>
        <v>6402.24892</v>
      </c>
    </row>
    <row r="58">
      <c r="B58" s="38" t="inlineStr">
        <is>
          <t>Объём перевозки</t>
        </is>
      </c>
      <c r="C58" s="24" t="inlineStr">
        <is>
          <t>тыс.т</t>
        </is>
      </c>
      <c r="E58" s="39">
        <f>'Производительность'!I9*E57/1000</f>
        <v>3866.872493881712</v>
      </c>
      <c r="F58" s="39">
        <f>'Производительность'!I9*F57/1000</f>
        <v>3775.3980908006383</v>
      </c>
      <c r="G58" s="39">
        <f>'Производительность'!I9*G57/1000</f>
        <v>3737.976744085654</v>
      </c>
      <c r="H58" s="39">
        <f>'Производительность'!I9*H57/1000</f>
        <v>3663.1340506556858</v>
      </c>
      <c r="I58" s="39">
        <f>'Производительность'!I9*I57/1000</f>
        <v>3746.292598911207</v>
      </c>
      <c r="J58" s="39">
        <f>'Производительность'!I9*J57/1000</f>
        <v>3617.396849115149</v>
      </c>
      <c r="K58" s="39">
        <f>'Производительность'!I9*K57/1000</f>
        <v>3538.3962282724046</v>
      </c>
      <c r="L58" s="39">
        <f>'Производительность'!I9*L57/1000</f>
        <v>3708.871252196222</v>
      </c>
      <c r="M58" s="39">
        <f>'Производительность'!I9*M57/1000</f>
        <v>3567.501720161837</v>
      </c>
      <c r="N58" s="39">
        <f>'Производительность'!I9*N57/1000</f>
        <v>3542.554155685181</v>
      </c>
    </row>
    <row r="59">
      <c r="B59" s="38" t="inlineStr">
        <is>
          <t>Грузооборот</t>
        </is>
      </c>
      <c r="C59" s="24" t="inlineStr">
        <is>
          <t>тыс.ткм</t>
        </is>
      </c>
      <c r="E59" s="39">
        <f>E58*'Параметры'!C28</f>
        <v>11753.745632402854</v>
      </c>
      <c r="F59" s="39">
        <f>F58*'Параметры'!C28</f>
        <v>11475.70003679762</v>
      </c>
      <c r="G59" s="39">
        <f>G58*'Параметры'!C28</f>
        <v>11361.954111322753</v>
      </c>
      <c r="H59" s="39">
        <f>H58*'Параметры'!C28</f>
        <v>11134.462260373022</v>
      </c>
      <c r="I59" s="39">
        <f>I58*'Параметры'!C28</f>
        <v>11387.230983650505</v>
      </c>
      <c r="J59" s="39">
        <f>J58*'Параметры'!C28</f>
        <v>10995.439462570408</v>
      </c>
      <c r="K59" s="39">
        <f>K58*'Параметры'!C28</f>
        <v>10755.309175456801</v>
      </c>
      <c r="L59" s="39">
        <f>L58*'Параметры'!C28</f>
        <v>11273.485058175636</v>
      </c>
      <c r="M59" s="39">
        <f>M58*'Параметры'!C28</f>
        <v>10843.77822860392</v>
      </c>
      <c r="N59" s="39">
        <f>N58*'Параметры'!C28</f>
        <v>10767.947611620675</v>
      </c>
    </row>
    <row r="60">
      <c r="B60" s="38" t="inlineStr">
        <is>
          <t>Пробег</t>
        </is>
      </c>
      <c r="C60" s="24" t="inlineStr">
        <is>
          <t>тыс.км</t>
        </is>
      </c>
      <c r="E60" s="39">
        <f>'Производительность'!I8*E57*2*'Параметры'!C28/1000</f>
        <v>103.45027086446613</v>
      </c>
      <c r="F60" s="39">
        <f>'Производительность'!I8*F57*2*'Параметры'!C28/1000</f>
        <v>101.00306015584434</v>
      </c>
      <c r="G60" s="39">
        <f>'Производительность'!I8*G57*2*'Параметры'!C28/1000</f>
        <v>100.00192850231724</v>
      </c>
      <c r="H60" s="39">
        <f>'Производительность'!I8*H57*2*'Параметры'!C28/1000</f>
        <v>97.99966519526308</v>
      </c>
      <c r="I60" s="39">
        <f>'Производительность'!I8*I57*2*'Параметры'!C28/1000</f>
        <v>100.22440220310105</v>
      </c>
      <c r="J60" s="39">
        <f>'Производительность'!I8*J57*2*'Параметры'!C28/1000</f>
        <v>96.77605984095217</v>
      </c>
      <c r="K60" s="39">
        <f>'Производительность'!I8*K57*2*'Параметры'!C28/1000</f>
        <v>94.66255968350609</v>
      </c>
      <c r="L60" s="39">
        <f>'Производительность'!I8*L57*2*'Параметры'!C28/1000</f>
        <v>99.22327054957395</v>
      </c>
      <c r="M60" s="39">
        <f>'Производительность'!I8*M57*2*'Параметры'!C28/1000</f>
        <v>95.44121763624939</v>
      </c>
      <c r="N60" s="39">
        <f>'Производительность'!I8*N57*2*'Параметры'!C28/1000</f>
        <v>94.77379653389798</v>
      </c>
    </row>
  </sheetData>
  <mergeCells count="9">
    <mergeCell ref="B46:N46"/>
    <mergeCell ref="B22:N22"/>
    <mergeCell ref="B14:N14"/>
    <mergeCell ref="B1:N1"/>
    <mergeCell ref="B12:N12"/>
    <mergeCell ref="B30:N30"/>
    <mergeCell ref="B54:N54"/>
    <mergeCell ref="B38:N38"/>
    <mergeCell ref="B2:N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N138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B1" s="1" t="inlineStr">
        <is>
          <t>ПОГОДОВОЙ ДЕНЕЖНЫЙ ПОТОК И АННУИТЕТ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Пост-налоговый жизненный цикл по годам: период 0 — инвестиции, 1–10 — эксплуатация.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53" t="inlineStr">
        <is>
          <t>Период</t>
        </is>
      </c>
      <c r="D4" s="54" t="n">
        <v>0</v>
      </c>
      <c r="E4" s="54" t="n">
        <v>1</v>
      </c>
      <c r="F4" s="54" t="n">
        <v>2</v>
      </c>
      <c r="G4" s="54" t="n">
        <v>3</v>
      </c>
      <c r="H4" s="54" t="n">
        <v>4</v>
      </c>
      <c r="I4" s="54" t="n">
        <v>5</v>
      </c>
      <c r="J4" s="54" t="n">
        <v>6</v>
      </c>
      <c r="K4" s="54" t="n">
        <v>7</v>
      </c>
      <c r="L4" s="54" t="n">
        <v>8</v>
      </c>
      <c r="M4" s="54" t="n">
        <v>9</v>
      </c>
      <c r="N4" s="54" t="n">
        <v>10</v>
      </c>
    </row>
    <row r="5">
      <c r="B5" s="55" t="inlineStr">
        <is>
          <t>Календарный год</t>
        </is>
      </c>
      <c r="D5" s="24" t="n">
        <v>2027</v>
      </c>
      <c r="E5" s="24" t="n">
        <v>2028</v>
      </c>
      <c r="F5" s="24" t="n">
        <v>2029</v>
      </c>
      <c r="G5" s="24" t="n">
        <v>2030</v>
      </c>
      <c r="H5" s="24" t="n">
        <v>2031</v>
      </c>
      <c r="I5" s="24" t="n">
        <v>2032</v>
      </c>
      <c r="J5" s="24" t="n">
        <v>2033</v>
      </c>
      <c r="K5" s="24" t="n">
        <v>2034</v>
      </c>
      <c r="L5" s="24" t="n">
        <v>2035</v>
      </c>
      <c r="M5" s="24" t="n">
        <v>2036</v>
      </c>
      <c r="N5" s="24" t="n">
        <v>2037</v>
      </c>
    </row>
    <row r="6">
      <c r="B6" s="53" t="inlineStr">
        <is>
          <t>Дисконт-фактор</t>
        </is>
      </c>
      <c r="D6" s="56">
        <f>1/(1+'Параметры'!C6)^D$4</f>
        <v>1.0</v>
      </c>
      <c r="E6" s="56">
        <f>1/(1+'Параметры'!C6)^E$4</f>
        <v>0.8928571428571428</v>
      </c>
      <c r="F6" s="56">
        <f>1/(1+'Параметры'!C6)^F$4</f>
        <v>0.7971938775510203</v>
      </c>
      <c r="G6" s="56">
        <f>1/(1+'Параметры'!C6)^G$4</f>
        <v>0.7117802478134109</v>
      </c>
      <c r="H6" s="56">
        <f>1/(1+'Параметры'!C6)^H$4</f>
        <v>0.6355180784048311</v>
      </c>
      <c r="I6" s="56">
        <f>1/(1+'Параметры'!C6)^I$4</f>
        <v>0.5674268557185992</v>
      </c>
      <c r="J6" s="56">
        <f>1/(1+'Параметры'!C6)^J$4</f>
        <v>0.5066311211773206</v>
      </c>
      <c r="K6" s="56">
        <f>1/(1+'Параметры'!C6)^K$4</f>
        <v>0.4523492153368934</v>
      </c>
      <c r="L6" s="56">
        <f>1/(1+'Параметры'!C6)^L$4</f>
        <v>0.40388322797936904</v>
      </c>
      <c r="M6" s="56">
        <f>1/(1+'Параметры'!C6)^M$4</f>
        <v>0.36061002498157946</v>
      </c>
      <c r="N6" s="56">
        <f>1/(1+'Параметры'!C6)^N$4</f>
        <v>0.32197323659069593</v>
      </c>
    </row>
    <row r="8">
      <c r="B8" s="5" t="str">
        <f>"Вариант 1:  "&amp;'Ввод данных'!D7</f>
        <v>Вариант 1:  NHL NTE 240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B9" s="22" t="inlineStr">
        <is>
          <t>КТГ</t>
        </is>
      </c>
      <c r="C9" s="24" t="inlineStr">
        <is>
          <t>коэф.</t>
        </is>
      </c>
      <c r="D9" s="51" t="n"/>
      <c r="E9" s="51">
        <f>'Данные по годам'!E7</f>
        <v>0.9376</v>
      </c>
      <c r="F9" s="51">
        <f>'Данные по годам'!F7</f>
        <v>0.9304</v>
      </c>
      <c r="G9" s="51">
        <f>'Данные по годам'!G7</f>
        <v>0.9209</v>
      </c>
      <c r="H9" s="51">
        <f>'Данные по годам'!H7</f>
        <v>0.9084</v>
      </c>
      <c r="I9" s="51">
        <f>'Данные по годам'!I7</f>
        <v>0.9333</v>
      </c>
      <c r="J9" s="51">
        <f>'Данные по годам'!J7</f>
        <v>0.9217</v>
      </c>
      <c r="K9" s="51">
        <f>'Данные по годам'!K7</f>
        <v>0.9313</v>
      </c>
      <c r="L9" s="51">
        <f>'Данные по годам'!L7</f>
        <v>0.9111</v>
      </c>
      <c r="M9" s="51">
        <f>'Данные по годам'!M7</f>
        <v>0.9171</v>
      </c>
      <c r="N9" s="51">
        <f>'Данные по годам'!N7</f>
        <v>0.9322</v>
      </c>
    </row>
    <row r="10">
      <c r="B10" s="22" t="inlineStr">
        <is>
          <t>Эффективное время</t>
        </is>
      </c>
      <c r="C10" s="24" t="inlineStr">
        <is>
          <t>час/год</t>
        </is>
      </c>
      <c r="D10" s="48" t="n"/>
      <c r="E10" s="48">
        <f>'Параметры'!C26*E9*(1-102.38/(60*'Параметры'!C27))</f>
        <v>7045.479562666667</v>
      </c>
      <c r="F10" s="48">
        <f>'Параметры'!C26*F9*(1-102.38/(60*'Параметры'!C27))</f>
        <v>6991.376050666667</v>
      </c>
      <c r="G10" s="48">
        <f>'Параметры'!C26*G9*(1-102.38/(60*'Параметры'!C27))</f>
        <v>6919.989472333335</v>
      </c>
      <c r="H10" s="48">
        <f>'Параметры'!C26*H9*(1-102.38/(60*'Параметры'!C27))</f>
        <v>6826.0597640000005</v>
      </c>
      <c r="I10" s="48">
        <f>'Параметры'!C26*I9*(1-102.38/(60*'Параметры'!C27))</f>
        <v>7013.167743000001</v>
      </c>
      <c r="J10" s="48">
        <f>'Параметры'!C26*J9*(1-102.38/(60*'Параметры'!C27))</f>
        <v>6926.000973666667</v>
      </c>
      <c r="K10" s="48">
        <f>'Параметры'!C26*K9*(1-102.38/(60*'Параметры'!C27))</f>
        <v>6998.138989666667</v>
      </c>
      <c r="L10" s="48">
        <f>'Параметры'!C26*L9*(1-102.38/(60*'Параметры'!C27))</f>
        <v>6846.348581</v>
      </c>
      <c r="M10" s="48">
        <f>'Параметры'!C26*M9*(1-102.38/(60*'Параметры'!C27))</f>
        <v>6891.434841</v>
      </c>
      <c r="N10" s="48">
        <f>'Параметры'!C26*N9*(1-102.38/(60*'Параметры'!C27))</f>
        <v>7004.901928666667</v>
      </c>
    </row>
    <row r="11">
      <c r="B11" s="22" t="inlineStr">
        <is>
          <t>Объём перевозки</t>
        </is>
      </c>
      <c r="C11" s="24" t="inlineStr">
        <is>
          <t>тыс.т</t>
        </is>
      </c>
      <c r="D11" s="48" t="n"/>
      <c r="E11" s="48">
        <f>'Производительность'!D9*E10/1000</f>
        <v>3844.4679250105833</v>
      </c>
      <c r="F11" s="48">
        <f>'Производительность'!D9*F10/1000</f>
        <v>3814.9455603987267</v>
      </c>
      <c r="G11" s="48">
        <f>'Производительность'!D9*G10/1000</f>
        <v>3775.9924404247504</v>
      </c>
      <c r="H11" s="48">
        <f>'Производительность'!D9*H10/1000</f>
        <v>3724.7383351958338</v>
      </c>
      <c r="I11" s="48">
        <f>'Производительность'!D9*I10/1000</f>
        <v>3826.8365128118357</v>
      </c>
      <c r="J11" s="48">
        <f>'Производительность'!D9*J10/1000</f>
        <v>3779.272703159401</v>
      </c>
      <c r="K11" s="48">
        <f>'Производительность'!D9*K10/1000</f>
        <v>3818.635855975209</v>
      </c>
      <c r="L11" s="48">
        <f>'Производительность'!D9*L10/1000</f>
        <v>3735.8092219252794</v>
      </c>
      <c r="M11" s="48">
        <f>'Производительность'!D9*M10/1000</f>
        <v>3760.411192435159</v>
      </c>
      <c r="N11" s="48">
        <f>'Производительность'!D9*N10/1000</f>
        <v>3822.326151551691</v>
      </c>
    </row>
    <row r="12">
      <c r="B12" s="22" t="inlineStr">
        <is>
          <t>Грузооборот</t>
        </is>
      </c>
      <c r="C12" s="24" t="inlineStr">
        <is>
          <t>тыс.ткм</t>
        </is>
      </c>
      <c r="D12" s="48" t="n"/>
      <c r="E12" s="48">
        <f>E11*'Параметры'!C28</f>
        <v>11685.644704862169</v>
      </c>
      <c r="F12" s="48">
        <f>F11*'Параметры'!C28</f>
        <v>11595.90852538797</v>
      </c>
      <c r="G12" s="48">
        <f>G11*'Параметры'!C28</f>
        <v>11477.506621915072</v>
      </c>
      <c r="H12" s="48">
        <f>H11*'Параметры'!C28</f>
        <v>11321.714643661257</v>
      </c>
      <c r="I12" s="48">
        <f>I11*'Параметры'!C28</f>
        <v>11632.052264342856</v>
      </c>
      <c r="J12" s="48">
        <f>J11*'Параметры'!C28</f>
        <v>11487.477308523316</v>
      </c>
      <c r="K12" s="48">
        <f>K11*'Параметры'!C28</f>
        <v>11607.125547822245</v>
      </c>
      <c r="L12" s="48">
        <f>L11*'Параметры'!C28</f>
        <v>11355.365710964079</v>
      </c>
      <c r="M12" s="48">
        <f>M11*'Параметры'!C28</f>
        <v>11430.14586052591</v>
      </c>
      <c r="N12" s="48">
        <f>N11*'Параметры'!C28</f>
        <v>11618.34257025652</v>
      </c>
    </row>
    <row r="13">
      <c r="B13" s="22" t="inlineStr">
        <is>
          <t>Пробег</t>
        </is>
      </c>
      <c r="C13" s="24" t="inlineStr">
        <is>
          <t>тыс.км</t>
        </is>
      </c>
      <c r="D13" s="48" t="n"/>
      <c r="E13" s="48">
        <f>'Производительность'!D8*E10*2*'Параметры'!C28/1000</f>
        <v>104.29567092744456</v>
      </c>
      <c r="F13" s="48">
        <f>'Производительность'!D8*F10*2*'Параметры'!C28/1000</f>
        <v>103.49476560462288</v>
      </c>
      <c r="G13" s="48">
        <f>'Производительность'!D8*G10*2*'Параметры'!C28/1000</f>
        <v>102.43801552589984</v>
      </c>
      <c r="H13" s="48">
        <f>'Производительность'!D8*H10*2*'Параметры'!C28/1000</f>
        <v>101.0475548960011</v>
      </c>
      <c r="I13" s="48">
        <f>'Производительность'!D8*I10*2*'Параметры'!C28/1000</f>
        <v>103.8173524707594</v>
      </c>
      <c r="J13" s="48">
        <f>'Производительность'!D8*J10*2*'Параметры'!C28/1000</f>
        <v>102.52700500621337</v>
      </c>
      <c r="K13" s="48">
        <f>'Производительность'!D8*K10*2*'Параметры'!C28/1000</f>
        <v>103.5948787699756</v>
      </c>
      <c r="L13" s="48">
        <f>'Производительность'!D8*L10*2*'Параметры'!C28/1000</f>
        <v>101.34789439205923</v>
      </c>
      <c r="M13" s="48">
        <f>'Производительность'!D8*M10*2*'Параметры'!C28/1000</f>
        <v>102.01531549441061</v>
      </c>
      <c r="N13" s="48">
        <f>'Производительность'!D8*N10*2*'Параметры'!C28/1000</f>
        <v>103.6949919353283</v>
      </c>
    </row>
    <row r="14">
      <c r="B14" s="22" t="inlineStr">
        <is>
          <t>Топливо</t>
        </is>
      </c>
      <c r="C14" s="24" t="inlineStr">
        <is>
          <t>тыс.руб</t>
        </is>
      </c>
      <c r="D14" s="48" t="n"/>
      <c r="E14" s="48">
        <f>E12*'Параметры'!C32/1000*'Параметры'!C10*(1+'Параметры'!C14)^(E$4-1)</f>
        <v>69432.71199932661</v>
      </c>
      <c r="F14" s="48">
        <f>F12*'Параметры'!C32/1000*'Параметры'!C10*(1+'Параметры'!C14)^(F$4-1)</f>
        <v>68899.52564438296</v>
      </c>
      <c r="G14" s="48">
        <f>G12*'Параметры'!C32/1000*'Параметры'!C10*(1+'Параметры'!C14)^(G$4-1)</f>
        <v>68196.01587049902</v>
      </c>
      <c r="H14" s="48">
        <f>H12*'Параметры'!C32/1000*'Параметры'!C10*(1+'Параметры'!C14)^(H$4-1)</f>
        <v>67270.34511538853</v>
      </c>
      <c r="I14" s="48">
        <f>I12*'Параметры'!C32/1000*'Параметры'!C10*(1+'Параметры'!C14)^(I$4-1)</f>
        <v>69114.2812595686</v>
      </c>
      <c r="J14" s="48">
        <f>J12*'Параметры'!C32/1000*'Параметры'!C10*(1+'Параметры'!C14)^(J$4-1)</f>
        <v>68255.25879882606</v>
      </c>
      <c r="K14" s="48">
        <f>K12*'Параметры'!C32/1000*'Параметры'!C10*(1+'Параметры'!C14)^(K$4-1)</f>
        <v>68966.1739387509</v>
      </c>
      <c r="L14" s="48">
        <f>L12*'Параметры'!C32/1000*'Параметры'!C10*(1+'Параметры'!C14)^(L$4-1)</f>
        <v>67470.28999849237</v>
      </c>
      <c r="M14" s="48">
        <f>M12*'Параметры'!C32/1000*'Параметры'!C10*(1+'Параметры'!C14)^(M$4-1)</f>
        <v>67914.61196094542</v>
      </c>
      <c r="N14" s="48">
        <f>N12*'Параметры'!C32/1000*'Параметры'!C10*(1+'Параметры'!C14)^(N$4-1)</f>
        <v>69032.82223311887</v>
      </c>
    </row>
    <row r="15">
      <c r="B15" s="22" t="inlineStr">
        <is>
          <t>ТОиР и сервис (по годам)</t>
        </is>
      </c>
      <c r="C15" s="24" t="inlineStr">
        <is>
          <t>тыс.руб</t>
        </is>
      </c>
      <c r="D15" s="48" t="n"/>
      <c r="E15" s="48">
        <f>'Данные по годам'!E8*IF('Данные по годам'!$D$8="CNY",'Параметры'!C20,IF('Данные по годам'!$D$8="USD",'Параметры'!C21,IF('Данные по годам'!$D$8="EUR",'Параметры'!C22,1)))</f>
        <v>6010.996991</v>
      </c>
      <c r="F15" s="48">
        <f>'Данные по годам'!F8*IF('Данные по годам'!$D$8="CNY",'Параметры'!C20,IF('Данные по годам'!$D$8="USD",'Параметры'!C21,IF('Данные по годам'!$D$8="EUR",'Параметры'!C22,1)))</f>
        <v>8352.9495094</v>
      </c>
      <c r="G15" s="48">
        <f>'Данные по годам'!G8*IF('Данные по годам'!$D$8="CNY",'Параметры'!C20,IF('Данные по годам'!$D$8="USD",'Параметры'!C21,IF('Данные по годам'!$D$8="EUR",'Параметры'!C22,1)))</f>
        <v>49489.73524160001</v>
      </c>
      <c r="H15" s="48">
        <f>'Данные по годам'!H8*IF('Данные по годам'!$D$8="CNY",'Параметры'!C20,IF('Данные по годам'!$D$8="USD",'Параметры'!C21,IF('Данные по годам'!$D$8="EUR",'Параметры'!C22,1)))</f>
        <v>26318.820311200005</v>
      </c>
      <c r="I15" s="48">
        <f>'Данные по годам'!I8*IF('Данные по годам'!$D$8="CNY",'Параметры'!C20,IF('Данные по годам'!$D$8="USD",'Параметры'!C21,IF('Данные по годам'!$D$8="EUR",'Параметры'!C22,1)))</f>
        <v>8777.1755534</v>
      </c>
      <c r="J15" s="48">
        <f>'Данные по годам'!J8*IF('Данные по годам'!$D$8="CNY",'Параметры'!C20,IF('Данные по годам'!$D$8="USD",'Параметры'!C21,IF('Данные по годам'!$D$8="EUR",'Параметры'!C22,1)))</f>
        <v>48329.7668948</v>
      </c>
      <c r="K15" s="48">
        <f>'Данные по годам'!K8*IF('Данные по годам'!$D$8="CNY",'Параметры'!C20,IF('Данные по годам'!$D$8="USD",'Параметры'!C21,IF('Данные по годам'!$D$8="EUR",'Параметры'!C22,1)))</f>
        <v>8136.698942600001</v>
      </c>
      <c r="L15" s="48">
        <f>'Данные по годам'!L8*IF('Данные по годам'!$D$8="CNY",'Параметры'!C20,IF('Данные по годам'!$D$8="USD",'Параметры'!C21,IF('Данные по годам'!$D$8="EUR",'Параметры'!C22,1)))</f>
        <v>27892.9517844</v>
      </c>
      <c r="M15" s="48">
        <f>'Данные по годам'!M8*IF('Данные по годам'!$D$8="CNY",'Параметры'!C20,IF('Данные по годам'!$D$8="USD",'Параметры'!C21,IF('Данные по годам'!$D$8="EUR",'Параметры'!C22,1)))</f>
        <v>90160.51083540001</v>
      </c>
      <c r="N15" s="48">
        <f>'Данные по годам'!N8*IF('Данные по годам'!$D$8="CNY",'Параметры'!C20,IF('Данные по годам'!$D$8="USD",'Параметры'!C21,IF('Данные по годам'!$D$8="EUR",'Параметры'!C22,1)))</f>
        <v>6914.654653600001</v>
      </c>
    </row>
    <row r="16">
      <c r="B16" s="22" t="inlineStr">
        <is>
          <t>Шины</t>
        </is>
      </c>
      <c r="C16" s="24" t="inlineStr">
        <is>
          <t>тыс.руб</t>
        </is>
      </c>
      <c r="D16" s="48" t="n"/>
      <c r="E16" s="48">
        <f>E13*'Параметры'!C36*'Параметры'!C37*(1+'Параметры'!C15)^(E$4-1)</f>
        <v>23352.165755503083</v>
      </c>
      <c r="F16" s="48">
        <f>F13*'Параметры'!C36*'Параметры'!C37*(1+'Параметры'!C15)^(F$4-1)</f>
        <v>23172.84025055468</v>
      </c>
      <c r="G16" s="48">
        <f>G13*'Параметры'!C36*'Параметры'!C37*(1+'Параметры'!C15)^(G$4-1)</f>
        <v>22936.230209303314</v>
      </c>
      <c r="H16" s="48">
        <f>H13*'Параметры'!C36*'Параметры'!C37*(1+'Параметры'!C15)^(H$4-1)</f>
        <v>22624.90120765678</v>
      </c>
      <c r="I16" s="48">
        <f>I13*'Параметры'!C36*'Параметры'!C37*(1+'Параметры'!C15)^(I$4-1)</f>
        <v>23245.068578936676</v>
      </c>
      <c r="J16" s="48">
        <f>J13*'Параметры'!C36*'Параметры'!C37*(1+'Параметры'!C15)^(J$4-1)</f>
        <v>22956.155265408695</v>
      </c>
      <c r="K16" s="48">
        <f>K13*'Параметры'!C36*'Параметры'!C37*(1+'Параметры'!C15)^(K$4-1)</f>
        <v>23195.25593867323</v>
      </c>
      <c r="L16" s="48">
        <f>L13*'Параметры'!C36*'Параметры'!C37*(1+'Параметры'!C15)^(L$4-1)</f>
        <v>22692.148272012433</v>
      </c>
      <c r="M16" s="48">
        <f>M13*'Параметры'!C36*'Параметры'!C37*(1+'Параметры'!C15)^(M$4-1)</f>
        <v>22841.586192802766</v>
      </c>
      <c r="N16" s="48">
        <f>N13*'Параметры'!C36*'Параметры'!C37*(1+'Параметры'!C15)^(N$4-1)</f>
        <v>23217.67162679178</v>
      </c>
    </row>
    <row r="17">
      <c r="B17" s="22" t="inlineStr">
        <is>
          <t>Персонал</t>
        </is>
      </c>
      <c r="C17" s="24" t="inlineStr">
        <is>
          <t>тыс.руб</t>
        </is>
      </c>
      <c r="D17" s="48" t="n"/>
      <c r="E17" s="48">
        <f>'Ввод данных'!D18*(1+'Параметры'!C16)^(E$4-1)</f>
        <v>18475.6</v>
      </c>
      <c r="F17" s="48">
        <f>'Ввод данных'!D18*(1+'Параметры'!C16)^(F$4-1)</f>
        <v>18475.6</v>
      </c>
      <c r="G17" s="48">
        <f>'Ввод данных'!D18*(1+'Параметры'!C16)^(G$4-1)</f>
        <v>18475.6</v>
      </c>
      <c r="H17" s="48">
        <f>'Ввод данных'!D18*(1+'Параметры'!C16)^(H$4-1)</f>
        <v>18475.6</v>
      </c>
      <c r="I17" s="48">
        <f>'Ввод данных'!D18*(1+'Параметры'!C16)^(I$4-1)</f>
        <v>18475.6</v>
      </c>
      <c r="J17" s="48">
        <f>'Ввод данных'!D18*(1+'Параметры'!C16)^(J$4-1)</f>
        <v>18475.6</v>
      </c>
      <c r="K17" s="48">
        <f>'Ввод данных'!D18*(1+'Параметры'!C16)^(K$4-1)</f>
        <v>18475.6</v>
      </c>
      <c r="L17" s="48">
        <f>'Ввод данных'!D18*(1+'Параметры'!C16)^(L$4-1)</f>
        <v>18475.6</v>
      </c>
      <c r="M17" s="48">
        <f>'Ввод данных'!D18*(1+'Параметры'!C16)^(M$4-1)</f>
        <v>18475.6</v>
      </c>
      <c r="N17" s="48">
        <f>'Ввод данных'!D18*(1+'Параметры'!C16)^(N$4-1)</f>
        <v>18475.6</v>
      </c>
    </row>
    <row r="18">
      <c r="B18" s="22" t="inlineStr">
        <is>
          <t>Транспортный налог</t>
        </is>
      </c>
      <c r="C18" s="24" t="inlineStr">
        <is>
          <t>тыс.руб</t>
        </is>
      </c>
      <c r="D18" s="48" t="n"/>
      <c r="E18" s="48">
        <f>'Ввод данных'!D19*'Параметры'!C41/1000</f>
        <v>212.5</v>
      </c>
      <c r="F18" s="48">
        <f>'Ввод данных'!D19*'Параметры'!C41/1000</f>
        <v>212.5</v>
      </c>
      <c r="G18" s="48">
        <f>'Ввод данных'!D19*'Параметры'!C41/1000</f>
        <v>212.5</v>
      </c>
      <c r="H18" s="48">
        <f>'Ввод данных'!D19*'Параметры'!C41/1000</f>
        <v>212.5</v>
      </c>
      <c r="I18" s="48">
        <f>'Ввод данных'!D19*'Параметры'!C41/1000</f>
        <v>212.5</v>
      </c>
      <c r="J18" s="48">
        <f>'Ввод данных'!D19*'Параметры'!C41/1000</f>
        <v>212.5</v>
      </c>
      <c r="K18" s="48">
        <f>'Ввод данных'!D19*'Параметры'!C41/1000</f>
        <v>212.5</v>
      </c>
      <c r="L18" s="48">
        <f>'Ввод данных'!D19*'Параметры'!C41/1000</f>
        <v>212.5</v>
      </c>
      <c r="M18" s="48">
        <f>'Ввод данных'!D19*'Параметры'!C41/1000</f>
        <v>212.5</v>
      </c>
      <c r="N18" s="48">
        <f>'Ввод данных'!D19*'Параметры'!C41/1000</f>
        <v>212.5</v>
      </c>
    </row>
    <row r="19">
      <c r="B19" s="22" t="inlineStr">
        <is>
          <t>Итого денежные затраты</t>
        </is>
      </c>
      <c r="C19" s="24" t="inlineStr">
        <is>
          <t>тыс.руб</t>
        </is>
      </c>
      <c r="D19" s="48" t="n"/>
      <c r="E19" s="57">
        <f>E14+E15+E16+E17+E18</f>
        <v>117483.9747458297</v>
      </c>
      <c r="F19" s="57">
        <f>F14+F15+F16+F17+F18</f>
        <v>119113.41540433763</v>
      </c>
      <c r="G19" s="57">
        <f>G14+G15+G16+G17+G18</f>
        <v>159310.08132140234</v>
      </c>
      <c r="H19" s="57">
        <f>H14+H15+H16+H17+H18</f>
        <v>134902.1666342453</v>
      </c>
      <c r="I19" s="57">
        <f>I14+I15+I16+I17+I18</f>
        <v>119824.62539190528</v>
      </c>
      <c r="J19" s="57">
        <f>J14+J15+J16+J17+J18</f>
        <v>158229.28095903475</v>
      </c>
      <c r="K19" s="57">
        <f>K14+K15+K16+K17+K18</f>
        <v>118986.22882002415</v>
      </c>
      <c r="L19" s="57">
        <f>L14+L15+L16+L17+L18</f>
        <v>136743.4900549048</v>
      </c>
      <c r="M19" s="57">
        <f>M14+M15+M16+M17+M18</f>
        <v>199604.8089891482</v>
      </c>
      <c r="N19" s="57">
        <f>N14+N15+N16+N17+N18</f>
        <v>117853.24851351065</v>
      </c>
    </row>
    <row r="20">
      <c r="B20" s="22" t="inlineStr">
        <is>
          <t>Амортизация (НУ)</t>
        </is>
      </c>
      <c r="C20" s="24" t="inlineStr">
        <is>
          <t>тыс.руб</t>
        </is>
      </c>
      <c r="D20" s="48" t="n"/>
      <c r="E20" s="48">
        <f>IF(E$4&lt;=INT('Параметры'!C9),'Производительность'!D5/'Параметры'!C9,IF(E$4=INT('Параметры'!C9)+1,'Производительность'!D5*('Параметры'!C9-INT('Параметры'!C9))/'Параметры'!C9,0))</f>
        <v>50246.704701947674</v>
      </c>
      <c r="F20" s="48">
        <f>IF(F$4&lt;=INT('Параметры'!C9),'Производительность'!D5/'Параметры'!C9,IF(F$4=INT('Параметры'!C9)+1,'Производительность'!D5*('Параметры'!C9-INT('Параметры'!C9))/'Параметры'!C9,0))</f>
        <v>50246.704701947674</v>
      </c>
      <c r="G20" s="48">
        <f>IF(G$4&lt;=INT('Параметры'!C9),'Производительность'!D5/'Параметры'!C9,IF(G$4=INT('Параметры'!C9)+1,'Производительность'!D5*('Параметры'!C9-INT('Параметры'!C9))/'Параметры'!C9,0))</f>
        <v>50246.704701947674</v>
      </c>
      <c r="H20" s="48">
        <f>IF(H$4&lt;=INT('Параметры'!C9),'Производительность'!D5/'Параметры'!C9,IF(H$4=INT('Параметры'!C9)+1,'Производительность'!D5*('Параметры'!C9-INT('Параметры'!C9))/'Параметры'!C9,0))</f>
        <v>50246.704701947674</v>
      </c>
      <c r="I20" s="48">
        <f>IF(I$4&lt;=INT('Параметры'!C9),'Производительность'!D5/'Параметры'!C9,IF(I$4=INT('Параметры'!C9)+1,'Производительность'!D5*('Параметры'!C9-INT('Параметры'!C9))/'Параметры'!C9,0))</f>
        <v>50246.704701947674</v>
      </c>
      <c r="J20" s="48">
        <f>IF(J$4&lt;=INT('Параметры'!C9),'Производительность'!D5/'Параметры'!C9,IF(J$4=INT('Параметры'!C9)+1,'Производительность'!D5*('Параметры'!C9-INT('Параметры'!C9))/'Параметры'!C9,0))</f>
        <v>4170.476490261666</v>
      </c>
      <c r="K20" s="48">
        <f>IF(K$4&lt;=INT('Параметры'!C9),'Производительность'!D5/'Параметры'!C9,IF(K$4=INT('Параметры'!C9)+1,'Производительность'!D5*('Параметры'!C9-INT('Параметры'!C9))/'Параметры'!C9,0))</f>
        <v>0.0</v>
      </c>
      <c r="L20" s="48">
        <f>IF(L$4&lt;=INT('Параметры'!C9),'Производительность'!D5/'Параметры'!C9,IF(L$4=INT('Параметры'!C9)+1,'Производительность'!D5*('Параметры'!C9-INT('Параметры'!C9))/'Параметры'!C9,0))</f>
        <v>0.0</v>
      </c>
      <c r="M20" s="48">
        <f>IF(M$4&lt;=INT('Параметры'!C9),'Производительность'!D5/'Параметры'!C9,IF(M$4=INT('Параметры'!C9)+1,'Производительность'!D5*('Параметры'!C9-INT('Параметры'!C9))/'Параметры'!C9,0))</f>
        <v>0.0</v>
      </c>
      <c r="N20" s="48">
        <f>IF(N$4&lt;=INT('Параметры'!C9),'Производительность'!D5/'Параметры'!C9,IF(N$4=INT('Параметры'!C9)+1,'Производительность'!D5*('Параметры'!C9-INT('Параметры'!C9))/'Параметры'!C9,0))</f>
        <v>0.0</v>
      </c>
    </row>
    <row r="21">
      <c r="B21" s="22" t="inlineStr">
        <is>
          <t>Налогооблагаемая база</t>
        </is>
      </c>
      <c r="C21" s="24" t="inlineStr">
        <is>
          <t>тыс.руб</t>
        </is>
      </c>
      <c r="D21" s="48" t="n"/>
      <c r="E21" s="48">
        <f>E19+E20</f>
        <v>167730.6794477774</v>
      </c>
      <c r="F21" s="48">
        <f>F19+F20</f>
        <v>169360.12010628532</v>
      </c>
      <c r="G21" s="48">
        <f>G19+G20</f>
        <v>209556.78602335003</v>
      </c>
      <c r="H21" s="48">
        <f>H19+H20</f>
        <v>185148.871336193</v>
      </c>
      <c r="I21" s="48">
        <f>I19+I20</f>
        <v>170071.33009385294</v>
      </c>
      <c r="J21" s="48">
        <f>J19+J20</f>
        <v>162399.75744929642</v>
      </c>
      <c r="K21" s="48">
        <f>K19+K20</f>
        <v>118986.22882002415</v>
      </c>
      <c r="L21" s="48">
        <f>L19+L20</f>
        <v>136743.4900549048</v>
      </c>
      <c r="M21" s="48">
        <f>M19+M20</f>
        <v>199604.8089891482</v>
      </c>
      <c r="N21" s="48">
        <f>N19+N20</f>
        <v>117853.24851351065</v>
      </c>
    </row>
    <row r="22">
      <c r="B22" s="22" t="inlineStr">
        <is>
          <t>Налог на прибыль (щит)</t>
        </is>
      </c>
      <c r="C22" s="24" t="inlineStr">
        <is>
          <t>тыс.руб</t>
        </is>
      </c>
      <c r="D22" s="48" t="n"/>
      <c r="E22" s="48">
        <f>-E21*'Параметры'!C7</f>
        <v>-41932.66986194435</v>
      </c>
      <c r="F22" s="48">
        <f>-F21*'Параметры'!C7</f>
        <v>-42340.03002657133</v>
      </c>
      <c r="G22" s="48">
        <f>-G21*'Параметры'!C7</f>
        <v>-52389.196505837506</v>
      </c>
      <c r="H22" s="48">
        <f>-H21*'Параметры'!C7</f>
        <v>-46287.21783404825</v>
      </c>
      <c r="I22" s="48">
        <f>-I21*'Параметры'!C7</f>
        <v>-42517.832523463236</v>
      </c>
      <c r="J22" s="48">
        <f>-J21*'Параметры'!C7</f>
        <v>-40599.939362324105</v>
      </c>
      <c r="K22" s="48">
        <f>-K21*'Параметры'!C7</f>
        <v>-29746.557205006036</v>
      </c>
      <c r="L22" s="48">
        <f>-L21*'Параметры'!C7</f>
        <v>-34185.8725137262</v>
      </c>
      <c r="M22" s="48">
        <f>-M21*'Параметры'!C7</f>
        <v>-49901.20224728705</v>
      </c>
      <c r="N22" s="48">
        <f>-N21*'Параметры'!C7</f>
        <v>-29463.312128377664</v>
      </c>
    </row>
    <row r="23">
      <c r="B23" s="22" t="inlineStr">
        <is>
          <t>Операц. денежный поток</t>
        </is>
      </c>
      <c r="C23" s="24" t="inlineStr">
        <is>
          <t>тыс.руб</t>
        </is>
      </c>
      <c r="D23" s="48" t="n"/>
      <c r="E23" s="57">
        <f>E21+E22-E20</f>
        <v>75551.30488388537</v>
      </c>
      <c r="F23" s="57">
        <f>F21+F22-F20</f>
        <v>76773.38537776632</v>
      </c>
      <c r="G23" s="57">
        <f>G21+G22-G20</f>
        <v>106920.88481556486</v>
      </c>
      <c r="H23" s="57">
        <f>H21+H22-H20</f>
        <v>88614.94880019706</v>
      </c>
      <c r="I23" s="57">
        <f>I21+I22-I20</f>
        <v>77306.79286844203</v>
      </c>
      <c r="J23" s="57">
        <f>J21+J22-J20</f>
        <v>117629.34159671064</v>
      </c>
      <c r="K23" s="57">
        <f>K21+K22-K20</f>
        <v>89239.6716150181</v>
      </c>
      <c r="L23" s="57">
        <f>L21+L22-L20</f>
        <v>102557.6175411786</v>
      </c>
      <c r="M23" s="57">
        <f>M21+M22-M20</f>
        <v>149703.60674186115</v>
      </c>
      <c r="N23" s="57">
        <f>N21+N22-N20</f>
        <v>88389.93638513298</v>
      </c>
    </row>
    <row r="24">
      <c r="B24" s="22" t="inlineStr">
        <is>
          <t>Инвестиции / остаточная ст-ть</t>
        </is>
      </c>
      <c r="C24" s="24" t="inlineStr">
        <is>
          <t>тыс.руб</t>
        </is>
      </c>
      <c r="D24" s="48">
        <f>IF(D$4=0,'Производительность'!D5,IF(D$4='Параметры'!C8,-'Ввод данных'!D14*'Производительность'!D5,0))</f>
        <v>255404.00000000003</v>
      </c>
      <c r="E24" s="48">
        <f>IF(E$4=0,'Производительность'!D5,IF(E$4='Параметры'!C8,-'Ввод данных'!D14*'Производительность'!D5,0))</f>
        <v>0.0</v>
      </c>
      <c r="F24" s="48">
        <f>IF(F$4=0,'Производительность'!D5,IF(F$4='Параметры'!C8,-'Ввод данных'!D14*'Производительность'!D5,0))</f>
        <v>0.0</v>
      </c>
      <c r="G24" s="48">
        <f>IF(G$4=0,'Производительность'!D5,IF(G$4='Параметры'!C8,-'Ввод данных'!D14*'Производительность'!D5,0))</f>
        <v>0.0</v>
      </c>
      <c r="H24" s="48">
        <f>IF(H$4=0,'Производительность'!D5,IF(H$4='Параметры'!C8,-'Ввод данных'!D14*'Производительность'!D5,0))</f>
        <v>0.0</v>
      </c>
      <c r="I24" s="48">
        <f>IF(I$4=0,'Производительность'!D5,IF(I$4='Параметры'!C8,-'Ввод данных'!D14*'Производительность'!D5,0))</f>
        <v>0.0</v>
      </c>
      <c r="J24" s="48">
        <f>IF(J$4=0,'Производительность'!D5,IF(J$4='Параметры'!C8,-'Ввод данных'!D14*'Производительность'!D5,0))</f>
        <v>0.0</v>
      </c>
      <c r="K24" s="48">
        <f>IF(K$4=0,'Производительность'!D5,IF(K$4='Параметры'!C8,-'Ввод данных'!D14*'Производительность'!D5,0))</f>
        <v>0.0</v>
      </c>
      <c r="L24" s="48">
        <f>IF(L$4=0,'Производительность'!D5,IF(L$4='Параметры'!C8,-'Ввод данных'!D14*'Производительность'!D5,0))</f>
        <v>0.0</v>
      </c>
      <c r="M24" s="48">
        <f>IF(M$4=0,'Производительность'!D5,IF(M$4='Параметры'!C8,-'Ввод данных'!D14*'Производительность'!D5,0))</f>
        <v>0.0</v>
      </c>
      <c r="N24" s="48">
        <f>IF(N$4=0,'Производительность'!D5,IF(N$4='Параметры'!C8,-'Ввод данных'!D14*'Производительность'!D5,0))</f>
        <v>-0.0</v>
      </c>
    </row>
    <row r="25">
      <c r="B25" s="22" t="inlineStr">
        <is>
          <t>Чистый денежный поток</t>
        </is>
      </c>
      <c r="C25" s="24" t="inlineStr">
        <is>
          <t>тыс.руб</t>
        </is>
      </c>
      <c r="D25" s="57">
        <f>0+D24</f>
        <v>255404.00000000003</v>
      </c>
      <c r="E25" s="57">
        <f>E23+E24</f>
        <v>75551.30488388537</v>
      </c>
      <c r="F25" s="57">
        <f>F23+F24</f>
        <v>76773.38537776632</v>
      </c>
      <c r="G25" s="57">
        <f>G23+G24</f>
        <v>106920.88481556486</v>
      </c>
      <c r="H25" s="57">
        <f>H23+H24</f>
        <v>88614.94880019706</v>
      </c>
      <c r="I25" s="57">
        <f>I23+I24</f>
        <v>77306.79286844203</v>
      </c>
      <c r="J25" s="57">
        <f>J23+J24</f>
        <v>117629.34159671064</v>
      </c>
      <c r="K25" s="57">
        <f>K23+K24</f>
        <v>89239.6716150181</v>
      </c>
      <c r="L25" s="57">
        <f>L23+L24</f>
        <v>102557.6175411786</v>
      </c>
      <c r="M25" s="57">
        <f>M23+M24</f>
        <v>149703.60674186115</v>
      </c>
      <c r="N25" s="57">
        <f>N23+N24</f>
        <v>88389.93638513298</v>
      </c>
    </row>
    <row r="26">
      <c r="B26" s="22" t="inlineStr">
        <is>
          <t>Дисконтированный поток</t>
        </is>
      </c>
      <c r="C26" s="24" t="inlineStr">
        <is>
          <t>тыс.руб</t>
        </is>
      </c>
      <c r="D26" s="48">
        <f>D25*D$6</f>
        <v>255404.00000000003</v>
      </c>
      <c r="E26" s="48">
        <f>E25*E$6</f>
        <v>67456.5222177548</v>
      </c>
      <c r="F26" s="48">
        <f>F25*F$6</f>
        <v>61203.272782020336</v>
      </c>
      <c r="G26" s="48">
        <f>G25*G$6</f>
        <v>76104.17389045192</v>
      </c>
      <c r="H26" s="48">
        <f>H25*H$6</f>
        <v>56316.401979443726</v>
      </c>
      <c r="I26" s="48">
        <f>I25*I$6</f>
        <v>43865.95040302909</v>
      </c>
      <c r="J26" s="48">
        <f>J25*J$6</f>
        <v>59594.68521649154</v>
      </c>
      <c r="K26" s="48">
        <f>K25*K$6</f>
        <v>40367.495431975476</v>
      </c>
      <c r="L26" s="48">
        <f>L25*L$6</f>
        <v>41421.30162640477</v>
      </c>
      <c r="M26" s="48">
        <f>M25*M$6</f>
        <v>53984.6213670151</v>
      </c>
      <c r="N26" s="48">
        <f>N25*N$6</f>
        <v>28459.193899966984</v>
      </c>
    </row>
    <row r="27">
      <c r="B27" s="22" t="inlineStr">
        <is>
          <t>Кумул. дисконт. поток</t>
        </is>
      </c>
      <c r="C27" s="24" t="inlineStr">
        <is>
          <t>тыс.руб</t>
        </is>
      </c>
      <c r="D27" s="48">
        <f>SUM($D26:D26)</f>
        <v>255404.00000000003</v>
      </c>
      <c r="E27" s="48">
        <f>SUM($D26:E26)</f>
        <v>322860.52221775486</v>
      </c>
      <c r="F27" s="48">
        <f>SUM($D26:F26)</f>
        <v>384063.7949997752</v>
      </c>
      <c r="G27" s="48">
        <f>SUM($D26:G26)</f>
        <v>460167.9688902271</v>
      </c>
      <c r="H27" s="48">
        <f>SUM($D26:H26)</f>
        <v>516484.3708696708</v>
      </c>
      <c r="I27" s="48">
        <f>SUM($D26:I26)</f>
        <v>560350.3212726999</v>
      </c>
      <c r="J27" s="48">
        <f>SUM($D26:J26)</f>
        <v>619945.0064891914</v>
      </c>
      <c r="K27" s="48">
        <f>SUM($D26:K26)</f>
        <v>660312.5019211669</v>
      </c>
      <c r="L27" s="48">
        <f>SUM($D26:L26)</f>
        <v>701733.8035475716</v>
      </c>
      <c r="M27" s="48">
        <f>SUM($D26:M26)</f>
        <v>755718.4249145867</v>
      </c>
      <c r="N27" s="48">
        <f>SUM($D26:N26)</f>
        <v>784177.6188145537</v>
      </c>
    </row>
    <row r="28">
      <c r="B28" s="38" t="inlineStr">
        <is>
          <t>Аннуитет по году</t>
        </is>
      </c>
      <c r="C28" s="24" t="inlineStr">
        <is>
          <t>руб/ткм</t>
        </is>
      </c>
      <c r="D28" s="58" t="n"/>
      <c r="E28" s="58">
        <f>SUM($D26:E26)/SUM($E$6:E$6)/(SUM($E12:E12)/E$4)</f>
        <v>30.94427342407811</v>
      </c>
      <c r="F28" s="58">
        <f>SUM($D26:F26)/SUM($E$6:F$6)/(SUM($E12:F12)/F$4)</f>
        <v>19.52187816725453</v>
      </c>
      <c r="G28" s="58">
        <f>SUM($D26:G26)/SUM($E$6:G$6)/(SUM($E12:G12)/G$4)</f>
        <v>16.535872852871513</v>
      </c>
      <c r="H28" s="58">
        <f>SUM($D26:H26)/SUM($E$6:H$6)/(SUM($E12:H12)/H$4)</f>
        <v>14.760554054435513</v>
      </c>
      <c r="I28" s="58">
        <f>SUM($D26:I26)/SUM($E$6:I$6)/(SUM($E12:I12)/I$4)</f>
        <v>13.467251661689728</v>
      </c>
      <c r="J28" s="58">
        <f>SUM($D26:J26)/SUM($E$6:J$6)/(SUM($E12:J12)/J$4)</f>
        <v>13.07392257445124</v>
      </c>
      <c r="K28" s="58">
        <f>SUM($D26:K26)/SUM($E$6:K$6)/(SUM($E12:K12)/K$4)</f>
        <v>12.533541379361639</v>
      </c>
      <c r="L28" s="58">
        <f>SUM($D26:L26)/SUM($E$6:L$6)/(SUM($E12:L12)/L$4)</f>
        <v>12.261868407284934</v>
      </c>
      <c r="M28" s="58">
        <f>SUM($D26:M26)/SUM($E$6:M$6)/(SUM($E12:M12)/M$4)</f>
        <v>12.322186562494789</v>
      </c>
      <c r="N28" s="58">
        <f>SUM($D26:N26)/SUM($E$6:N$6)/(SUM($E12:N12)/N$4)</f>
        <v>12.046304484372936</v>
      </c>
    </row>
    <row r="30">
      <c r="B30" s="5" t="str">
        <f>"Вариант 2:  "&amp;'Ввод данных'!E7</f>
        <v>Вариант 2:  Estar ESDE240
(ГПБ К)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B31" s="22" t="inlineStr">
        <is>
          <t>КТГ</t>
        </is>
      </c>
      <c r="C31" s="24" t="inlineStr">
        <is>
          <t>коэф.</t>
        </is>
      </c>
      <c r="D31" s="51" t="n"/>
      <c r="E31" s="51">
        <f>'Данные по годам'!E10</f>
        <v>0.9116</v>
      </c>
      <c r="F31" s="51">
        <f>'Данные по годам'!F10</f>
        <v>0.8956</v>
      </c>
      <c r="G31" s="51">
        <f>'Данные по годам'!G10</f>
        <v>0.8493</v>
      </c>
      <c r="H31" s="51">
        <f>'Данные по годам'!H10</f>
        <v>0.806</v>
      </c>
      <c r="I31" s="51">
        <f>'Данные по годам'!I10</f>
        <v>0.899</v>
      </c>
      <c r="J31" s="51">
        <f>'Данные по годам'!J10</f>
        <v>0.8221</v>
      </c>
      <c r="K31" s="51">
        <f>'Данные по годам'!K10</f>
        <v>0.8886</v>
      </c>
      <c r="L31" s="51">
        <f>'Данные по годам'!L10</f>
        <v>0.8107</v>
      </c>
      <c r="M31" s="51">
        <f>'Данные по годам'!M10</f>
        <v>0.8562</v>
      </c>
      <c r="N31" s="51">
        <f>'Данные по годам'!N10</f>
        <v>0.834</v>
      </c>
    </row>
    <row r="32">
      <c r="B32" s="22" t="inlineStr">
        <is>
          <t>Эффективное время</t>
        </is>
      </c>
      <c r="C32" s="24" t="inlineStr">
        <is>
          <t>час/год</t>
        </is>
      </c>
      <c r="D32" s="48" t="n"/>
      <c r="E32" s="48">
        <f>'Параметры'!C26*E31*(1-102.38/(60*'Параметры'!C27))</f>
        <v>6850.105769333333</v>
      </c>
      <c r="F32" s="48">
        <f>'Параметры'!C26*F31*(1-102.38/(60*'Параметры'!C27))</f>
        <v>6729.875742666666</v>
      </c>
      <c r="G32" s="48">
        <f>'Параметры'!C26*G31*(1-102.38/(60*'Параметры'!C27))</f>
        <v>6381.960103</v>
      </c>
      <c r="H32" s="48">
        <f>'Параметры'!C26*H31*(1-102.38/(60*'Параметры'!C27))</f>
        <v>6056.587593333334</v>
      </c>
      <c r="I32" s="48">
        <f>'Параметры'!C26*I31*(1-102.38/(60*'Параметры'!C27))</f>
        <v>6755.424623333333</v>
      </c>
      <c r="J32" s="48">
        <f>'Параметры'!C26*J31*(1-102.38/(60*'Параметры'!C27))</f>
        <v>6177.5690576666675</v>
      </c>
      <c r="K32" s="48">
        <f>'Параметры'!C26*K31*(1-102.38/(60*'Параметры'!C27))</f>
        <v>6677.275106</v>
      </c>
      <c r="L32" s="48">
        <f>'Параметры'!C26*L31*(1-102.38/(60*'Параметры'!C27))</f>
        <v>6091.905163666667</v>
      </c>
      <c r="M32" s="48">
        <f>'Параметры'!C26*M31*(1-102.38/(60*'Параметры'!C27))</f>
        <v>6433.809302000001</v>
      </c>
      <c r="N32" s="48">
        <f>'Параметры'!C26*N31*(1-102.38/(60*'Параметры'!C27))</f>
        <v>6266.99014</v>
      </c>
    </row>
    <row r="33">
      <c r="B33" s="22" t="inlineStr">
        <is>
          <t>Объём перевозки</t>
        </is>
      </c>
      <c r="C33" s="24" t="inlineStr">
        <is>
          <t>тыс.т</t>
        </is>
      </c>
      <c r="D33" s="48" t="n"/>
      <c r="E33" s="48">
        <f>'Производительность'!E9*E32/1000</f>
        <v>3468.628495846053</v>
      </c>
      <c r="F33" s="48">
        <f>'Производительность'!E9*F32/1000</f>
        <v>3407.748662658759</v>
      </c>
      <c r="G33" s="48">
        <f>'Производительность'!E9*G32/1000</f>
        <v>3231.5776453730286</v>
      </c>
      <c r="H33" s="48">
        <f>'Производительность'!E9*H32/1000</f>
        <v>3066.8215968099153</v>
      </c>
      <c r="I33" s="48">
        <f>'Производительность'!E9*I32/1000</f>
        <v>3420.685627211059</v>
      </c>
      <c r="J33" s="48">
        <f>'Производительность'!E9*J32/1000</f>
        <v>3128.08192895463</v>
      </c>
      <c r="K33" s="48">
        <f>'Производительность'!E9*K32/1000</f>
        <v>3381.1137356393183</v>
      </c>
      <c r="L33" s="48">
        <f>'Производительность'!E9*L32/1000</f>
        <v>3084.705047808683</v>
      </c>
      <c r="M33" s="48">
        <f>'Производительность'!E9*M32/1000</f>
        <v>3257.832073435049</v>
      </c>
      <c r="N33" s="48">
        <f>'Производительность'!E9*N32/1000</f>
        <v>3173.361304887679</v>
      </c>
    </row>
    <row r="34">
      <c r="B34" s="22" t="inlineStr">
        <is>
          <t>Грузооборот</t>
        </is>
      </c>
      <c r="C34" s="24" t="inlineStr">
        <is>
          <t>тыс.ткм</t>
        </is>
      </c>
      <c r="D34" s="48" t="n"/>
      <c r="E34" s="48">
        <f>E33*'Параметры'!C28</f>
        <v>10543.243175973663</v>
      </c>
      <c r="F34" s="48">
        <f>F33*'Параметры'!C28</f>
        <v>10358.192835017564</v>
      </c>
      <c r="G34" s="48">
        <f>G33*'Параметры'!C28</f>
        <v>9822.703410875858</v>
      </c>
      <c r="H34" s="48">
        <f>H33*'Параметры'!C28</f>
        <v>9321.910925663418</v>
      </c>
      <c r="I34" s="48">
        <f>I33*'Параметры'!C28</f>
        <v>10397.516032470736</v>
      </c>
      <c r="J34" s="48">
        <f>J33*'Параметры'!C28</f>
        <v>9508.117831250493</v>
      </c>
      <c r="K34" s="48">
        <f>K33*'Параметры'!C28</f>
        <v>10277.233310849273</v>
      </c>
      <c r="L34" s="48">
        <f>L33*'Параметры'!C28</f>
        <v>9376.269463319273</v>
      </c>
      <c r="M34" s="48">
        <f>M33*'Параметры'!C28</f>
        <v>9902.506370413175</v>
      </c>
      <c r="N34" s="48">
        <f>N33*'Параметры'!C28</f>
        <v>9645.74902233659</v>
      </c>
    </row>
    <row r="35">
      <c r="B35" s="22" t="inlineStr">
        <is>
          <t>Пробег</t>
        </is>
      </c>
      <c r="C35" s="24" t="inlineStr">
        <is>
          <t>тыс.км</t>
        </is>
      </c>
      <c r="D35" s="48" t="n"/>
      <c r="E35" s="48">
        <f>'Производительность'!E8*E32*2*'Параметры'!C28/1000</f>
        <v>101.40351281725516</v>
      </c>
      <c r="F35" s="48">
        <f>'Производительность'!E8*F32*2*'Параметры'!C28/1000</f>
        <v>99.62372321098478</v>
      </c>
      <c r="G35" s="48">
        <f>'Производительность'!E8*G32*2*'Параметры'!C28/1000</f>
        <v>94.47345703783986</v>
      </c>
      <c r="H35" s="48">
        <f>'Производительность'!E8*H32*2*'Параметры'!C28/1000</f>
        <v>89.65690141587064</v>
      </c>
      <c r="I35" s="48">
        <f>'Производительность'!E8*I32*2*'Параметры'!C28/1000</f>
        <v>100.00192850231724</v>
      </c>
      <c r="J35" s="48">
        <f>'Производительность'!E8*J32*2*'Параметры'!C28/1000</f>
        <v>91.44781470718023</v>
      </c>
      <c r="K35" s="48">
        <f>'Производительность'!E8*K32*2*'Параметры'!C28/1000</f>
        <v>98.84506525824149</v>
      </c>
      <c r="L35" s="48">
        <f>'Производительность'!E8*L32*2*'Параметры'!C28/1000</f>
        <v>90.17971461271257</v>
      </c>
      <c r="M35" s="48">
        <f>'Производительность'!E8*M32*2*'Параметры'!C28/1000</f>
        <v>95.24099130554399</v>
      </c>
      <c r="N35" s="48">
        <f>'Производительность'!E8*N32*2*'Параметры'!C28/1000</f>
        <v>92.7715332268438</v>
      </c>
    </row>
    <row r="36">
      <c r="B36" s="22" t="inlineStr">
        <is>
          <t>Топливо</t>
        </is>
      </c>
      <c r="C36" s="24" t="inlineStr">
        <is>
          <t>тыс.руб</t>
        </is>
      </c>
      <c r="D36" s="48" t="n"/>
      <c r="E36" s="48">
        <f>E34*'Параметры'!C32/1000*'Параметры'!C10*(1+'Параметры'!C14)^(E$4-1)</f>
        <v>62644.89341111448</v>
      </c>
      <c r="F36" s="48">
        <f>F34*'Параметры'!C32/1000*'Параметры'!C10*(1+'Параметры'!C14)^(F$4-1)</f>
        <v>61545.37794975222</v>
      </c>
      <c r="G36" s="48">
        <f>G34*'Параметры'!C32/1000*'Параметры'!C10*(1+'Параметры'!C14)^(G$4-1)</f>
        <v>58363.6550834352</v>
      </c>
      <c r="H36" s="48">
        <f>H34*'Параметры'!C32/1000*'Параметры'!C10*(1+'Параметры'!C14)^(H$4-1)</f>
        <v>55388.09136612359</v>
      </c>
      <c r="I36" s="48">
        <f>I34*'Параметры'!C32/1000*'Параметры'!C10*(1+'Параметры'!C14)^(I$4-1)</f>
        <v>61779.0249852917</v>
      </c>
      <c r="J36" s="48">
        <f>J34*'Параметры'!C32/1000*'Параметры'!C10*(1+'Параметры'!C14)^(J$4-1)</f>
        <v>56494.47879911937</v>
      </c>
      <c r="K36" s="48">
        <f>K34*'Параметры'!C32/1000*'Параметры'!C10*(1+'Параметры'!C14)^(K$4-1)</f>
        <v>61064.33993540624</v>
      </c>
      <c r="L36" s="48">
        <f>L34*'Параметры'!C32/1000*'Параметры'!C10*(1+'Параметры'!C14)^(L$4-1)</f>
        <v>55711.07403289877</v>
      </c>
      <c r="M36" s="48">
        <f>M34*'Параметры'!C32/1000*'Параметры'!C10*(1+'Параметры'!C14)^(M$4-1)</f>
        <v>58837.821126147675</v>
      </c>
      <c r="N36" s="48">
        <f>N34*'Параметры'!C32/1000*'Параметры'!C10*(1+'Параметры'!C14)^(N$4-1)</f>
        <v>57312.24342350754</v>
      </c>
    </row>
    <row r="37">
      <c r="B37" s="22" t="inlineStr">
        <is>
          <t>ТОиР и сервис (по годам)</t>
        </is>
      </c>
      <c r="C37" s="24" t="inlineStr">
        <is>
          <t>тыс.руб</t>
        </is>
      </c>
      <c r="D37" s="48" t="n"/>
      <c r="E37" s="48">
        <f>'Данные по годам'!E11*IF('Данные по годам'!$D$11="CNY",'Параметры'!C20,IF('Данные по годам'!$D$11="USD",'Параметры'!C21,IF('Данные по годам'!$D$11="EUR",'Параметры'!C22,1)))</f>
        <v>16978.575705</v>
      </c>
      <c r="F37" s="48">
        <f>'Данные по годам'!F11*IF('Данные по годам'!$D$11="CNY",'Параметры'!C20,IF('Данные по годам'!$D$11="USD",'Параметры'!C21,IF('Данные по годам'!$D$11="EUR",'Параметры'!C22,1)))</f>
        <v>26025.947356500004</v>
      </c>
      <c r="G37" s="48">
        <f>'Данные по годам'!G11*IF('Данные по годам'!$D$11="CNY",'Параметры'!C20,IF('Данные по годам'!$D$11="USD",'Параметры'!C21,IF('Данные по годам'!$D$11="EUR",'Параметры'!C22,1)))</f>
        <v>87290.17479000002</v>
      </c>
      <c r="H37" s="48">
        <f>'Данные по годам'!H11*IF('Данные по годам'!$D$11="CNY",'Параметры'!C20,IF('Данные по годам'!$D$11="USD",'Параметры'!C21,IF('Данные по годам'!$D$11="EUR",'Параметры'!C22,1)))</f>
        <v>258759.3059415</v>
      </c>
      <c r="I37" s="48">
        <f>'Данные по годам'!I11*IF('Данные по годам'!$D$11="CNY",'Параметры'!C20,IF('Данные по годам'!$D$11="USD",'Параметры'!C21,IF('Данные по годам'!$D$11="EUR",'Параметры'!C22,1)))</f>
        <v>17326.8373005</v>
      </c>
      <c r="J37" s="48">
        <f>'Данные по годам'!J11*IF('Данные по годам'!$D$11="CNY",'Параметры'!C20,IF('Данные по годам'!$D$11="USD",'Параметры'!C21,IF('Данные по годам'!$D$11="EUR",'Параметры'!C22,1)))</f>
        <v>96337.5464415</v>
      </c>
      <c r="K37" s="48">
        <f>'Данные по годам'!K11*IF('Данные по годам'!$D$11="CNY",'Параметры'!C20,IF('Данные по годам'!$D$11="USD",'Параметры'!C21,IF('Данные по годам'!$D$11="EUR",'Параметры'!C22,1)))</f>
        <v>16978.575705</v>
      </c>
      <c r="L37" s="48">
        <f>'Данные по годам'!L11*IF('Данные по годам'!$D$11="CNY",'Параметры'!C20,IF('Данные по годам'!$D$11="USD",'Параметры'!C21,IF('Данные по годам'!$D$11="EUR",'Параметры'!C22,1)))</f>
        <v>258759.3059415</v>
      </c>
      <c r="M37" s="48">
        <f>'Данные по годам'!M11*IF('Данные по годам'!$D$11="CNY",'Параметры'!C20,IF('Данные по годам'!$D$11="USD",'Параметры'!C21,IF('Данные по годам'!$D$11="EUR",'Параметры'!C22,1)))</f>
        <v>16978.575705</v>
      </c>
      <c r="N37" s="48">
        <f>'Данные по годам'!N11*IF('Данные по годам'!$D$11="CNY",'Параметры'!C20,IF('Данные по годам'!$D$11="USD",'Параметры'!C21,IF('Данные по годам'!$D$11="EUR",'Параметры'!C22,1)))</f>
        <v>16978.575705</v>
      </c>
    </row>
    <row r="38">
      <c r="B38" s="22" t="inlineStr">
        <is>
          <t>Шины</t>
        </is>
      </c>
      <c r="C38" s="24" t="inlineStr">
        <is>
          <t>тыс.руб</t>
        </is>
      </c>
      <c r="D38" s="48" t="n"/>
      <c r="E38" s="48">
        <f>E35*'Параметры'!C36*'Параметры'!C37*(1+'Параметры'!C15)^(E$4-1)</f>
        <v>22704.601432078292</v>
      </c>
      <c r="F38" s="48">
        <f>F35*'Параметры'!C36*'Параметры'!C37*(1+'Параметры'!C15)^(F$4-1)</f>
        <v>22306.10030997073</v>
      </c>
      <c r="G38" s="48">
        <f>G35*'Параметры'!C36*'Параметры'!C37*(1+'Параметры'!C15)^(G$4-1)</f>
        <v>21152.937687871978</v>
      </c>
      <c r="H38" s="48">
        <f>H35*'Параметры'!C36*'Параметры'!C37*(1+'Параметры'!C15)^(H$4-1)</f>
        <v>20074.49402616839</v>
      </c>
      <c r="I38" s="48">
        <f>I35*'Параметры'!C36*'Параметры'!C37*(1+'Параметры'!C15)^(I$4-1)</f>
        <v>22390.78179841859</v>
      </c>
      <c r="J38" s="48">
        <f>J35*'Параметры'!C36*'Параметры'!C37*(1+'Параметры'!C15)^(J$4-1)</f>
        <v>20475.485780289127</v>
      </c>
      <c r="K38" s="48">
        <f>K35*'Параметры'!C36*'Параметры'!C37*(1+'Параметры'!C15)^(K$4-1)</f>
        <v>22131.75606904867</v>
      </c>
      <c r="L38" s="48">
        <f>L35*'Параметры'!C36*'Параметры'!C37*(1+'Параметры'!C15)^(L$4-1)</f>
        <v>20191.55373078749</v>
      </c>
      <c r="M38" s="48">
        <f>M35*'Параметры'!C36*'Параметры'!C37*(1+'Параметры'!C15)^(M$4-1)</f>
        <v>21324.79129678087</v>
      </c>
      <c r="N38" s="48">
        <f>N35*'Параметры'!C36*'Параметры'!C37*(1+'Параметры'!C15)^(N$4-1)</f>
        <v>20771.87098985662</v>
      </c>
    </row>
    <row r="39">
      <c r="B39" s="22" t="inlineStr">
        <is>
          <t>Персонал</t>
        </is>
      </c>
      <c r="C39" s="24" t="inlineStr">
        <is>
          <t>тыс.руб</t>
        </is>
      </c>
      <c r="D39" s="48" t="n"/>
      <c r="E39" s="48">
        <f>'Ввод данных'!E18*(1+'Параметры'!C16)^(E$4-1)</f>
        <v>18475.6</v>
      </c>
      <c r="F39" s="48">
        <f>'Ввод данных'!E18*(1+'Параметры'!C16)^(F$4-1)</f>
        <v>18475.6</v>
      </c>
      <c r="G39" s="48">
        <f>'Ввод данных'!E18*(1+'Параметры'!C16)^(G$4-1)</f>
        <v>18475.6</v>
      </c>
      <c r="H39" s="48">
        <f>'Ввод данных'!E18*(1+'Параметры'!C16)^(H$4-1)</f>
        <v>18475.6</v>
      </c>
      <c r="I39" s="48">
        <f>'Ввод данных'!E18*(1+'Параметры'!C16)^(I$4-1)</f>
        <v>18475.6</v>
      </c>
      <c r="J39" s="48">
        <f>'Ввод данных'!E18*(1+'Параметры'!C16)^(J$4-1)</f>
        <v>18475.6</v>
      </c>
      <c r="K39" s="48">
        <f>'Ввод данных'!E18*(1+'Параметры'!C16)^(K$4-1)</f>
        <v>18475.6</v>
      </c>
      <c r="L39" s="48">
        <f>'Ввод данных'!E18*(1+'Параметры'!C16)^(L$4-1)</f>
        <v>18475.6</v>
      </c>
      <c r="M39" s="48">
        <f>'Ввод данных'!E18*(1+'Параметры'!C16)^(M$4-1)</f>
        <v>18475.6</v>
      </c>
      <c r="N39" s="48">
        <f>'Ввод данных'!E18*(1+'Параметры'!C16)^(N$4-1)</f>
        <v>18475.6</v>
      </c>
    </row>
    <row r="40">
      <c r="B40" s="22" t="inlineStr">
        <is>
          <t>Транспортный налог</t>
        </is>
      </c>
      <c r="C40" s="24" t="inlineStr">
        <is>
          <t>тыс.руб</t>
        </is>
      </c>
      <c r="D40" s="48" t="n"/>
      <c r="E40" s="48">
        <f>'Ввод данных'!E19*'Параметры'!C41/1000</f>
        <v>158.44</v>
      </c>
      <c r="F40" s="48">
        <f>'Ввод данных'!E19*'Параметры'!C41/1000</f>
        <v>158.44</v>
      </c>
      <c r="G40" s="48">
        <f>'Ввод данных'!E19*'Параметры'!C41/1000</f>
        <v>158.44</v>
      </c>
      <c r="H40" s="48">
        <f>'Ввод данных'!E19*'Параметры'!C41/1000</f>
        <v>158.44</v>
      </c>
      <c r="I40" s="48">
        <f>'Ввод данных'!E19*'Параметры'!C41/1000</f>
        <v>158.44</v>
      </c>
      <c r="J40" s="48">
        <f>'Ввод данных'!E19*'Параметры'!C41/1000</f>
        <v>158.44</v>
      </c>
      <c r="K40" s="48">
        <f>'Ввод данных'!E19*'Параметры'!C41/1000</f>
        <v>158.44</v>
      </c>
      <c r="L40" s="48">
        <f>'Ввод данных'!E19*'Параметры'!C41/1000</f>
        <v>158.44</v>
      </c>
      <c r="M40" s="48">
        <f>'Ввод данных'!E19*'Параметры'!C41/1000</f>
        <v>158.44</v>
      </c>
      <c r="N40" s="48">
        <f>'Ввод данных'!E19*'Параметры'!C41/1000</f>
        <v>158.44</v>
      </c>
    </row>
    <row r="41">
      <c r="B41" s="22" t="inlineStr">
        <is>
          <t>Итого денежные затраты</t>
        </is>
      </c>
      <c r="C41" s="24" t="inlineStr">
        <is>
          <t>тыс.руб</t>
        </is>
      </c>
      <c r="D41" s="48" t="n"/>
      <c r="E41" s="57">
        <f>E36+E37+E38+E39+E40</f>
        <v>120962.11054819278</v>
      </c>
      <c r="F41" s="57">
        <f>F36+F37+F38+F39+F40</f>
        <v>128511.46561622297</v>
      </c>
      <c r="G41" s="57">
        <f>G36+G37+G38+G39+G40</f>
        <v>185440.8075613072</v>
      </c>
      <c r="H41" s="57">
        <f>H36+H37+H38+H39+H40</f>
        <v>352855.93133379193</v>
      </c>
      <c r="I41" s="57">
        <f>I36+I37+I38+I39+I40</f>
        <v>120130.68408421028</v>
      </c>
      <c r="J41" s="57">
        <f>J36+J37+J38+J39+J40</f>
        <v>191941.55102090852</v>
      </c>
      <c r="K41" s="57">
        <f>K36+K37+K38+K39+K40</f>
        <v>118808.71170945492</v>
      </c>
      <c r="L41" s="57">
        <f>L36+L37+L38+L39+L40</f>
        <v>353295.9737051862</v>
      </c>
      <c r="M41" s="57">
        <f>M36+M37+M38+M39+M40</f>
        <v>115775.22812792854</v>
      </c>
      <c r="N41" s="57">
        <f>N36+N37+N38+N39+N40</f>
        <v>113696.73011836415</v>
      </c>
    </row>
    <row r="42">
      <c r="B42" s="22" t="inlineStr">
        <is>
          <t>Амортизация (НУ)</t>
        </is>
      </c>
      <c r="C42" s="24" t="inlineStr">
        <is>
          <t>тыс.руб</t>
        </is>
      </c>
      <c r="D42" s="48" t="n"/>
      <c r="E42" s="48">
        <f>IF(E$4&lt;=INT('Параметры'!C9),'Производительность'!E5/'Параметры'!C9,IF(E$4=INT('Параметры'!C9)+1,'Производительность'!E5*('Параметры'!C9-INT('Параметры'!C9))/'Параметры'!C9,0))</f>
        <v>51807.16112531969</v>
      </c>
      <c r="F42" s="48">
        <f>IF(F$4&lt;=INT('Параметры'!C9),'Производительность'!E5/'Параметры'!C9,IF(F$4=INT('Параметры'!C9)+1,'Производительность'!E5*('Параметры'!C9-INT('Параметры'!C9))/'Параметры'!C9,0))</f>
        <v>51807.16112531969</v>
      </c>
      <c r="G42" s="48">
        <f>IF(G$4&lt;=INT('Параметры'!C9),'Производительность'!E5/'Параметры'!C9,IF(G$4=INT('Параметры'!C9)+1,'Производительность'!E5*('Параметры'!C9-INT('Параметры'!C9))/'Параметры'!C9,0))</f>
        <v>51807.16112531969</v>
      </c>
      <c r="H42" s="48">
        <f>IF(H$4&lt;=INT('Параметры'!C9),'Производительность'!E5/'Параметры'!C9,IF(H$4=INT('Параметры'!C9)+1,'Производительность'!E5*('Параметры'!C9-INT('Параметры'!C9))/'Параметры'!C9,0))</f>
        <v>51807.16112531969</v>
      </c>
      <c r="I42" s="48">
        <f>IF(I$4&lt;=INT('Параметры'!C9),'Производительность'!E5/'Параметры'!C9,IF(I$4=INT('Параметры'!C9)+1,'Производительность'!E5*('Параметры'!C9-INT('Параметры'!C9))/'Параметры'!C9,0))</f>
        <v>51807.16112531969</v>
      </c>
      <c r="J42" s="48">
        <f>IF(J$4&lt;=INT('Параметры'!C9),'Производительность'!E5/'Параметры'!C9,IF(J$4=INT('Параметры'!C9)+1,'Производительность'!E5*('Параметры'!C9-INT('Параметры'!C9))/'Параметры'!C9,0))</f>
        <v>4299.994373401543</v>
      </c>
      <c r="K42" s="48">
        <f>IF(K$4&lt;=INT('Параметры'!C9),'Производительность'!E5/'Параметры'!C9,IF(K$4=INT('Параметры'!C9)+1,'Производительность'!E5*('Параметры'!C9-INT('Параметры'!C9))/'Параметры'!C9,0))</f>
        <v>0.0</v>
      </c>
      <c r="L42" s="48">
        <f>IF(L$4&lt;=INT('Параметры'!C9),'Производительность'!E5/'Параметры'!C9,IF(L$4=INT('Параметры'!C9)+1,'Производительность'!E5*('Параметры'!C9-INT('Параметры'!C9))/'Параметры'!C9,0))</f>
        <v>0.0</v>
      </c>
      <c r="M42" s="48">
        <f>IF(M$4&lt;=INT('Параметры'!C9),'Производительность'!E5/'Параметры'!C9,IF(M$4=INT('Параметры'!C9)+1,'Производительность'!E5*('Параметры'!C9-INT('Параметры'!C9))/'Параметры'!C9,0))</f>
        <v>0.0</v>
      </c>
      <c r="N42" s="48">
        <f>IF(N$4&lt;=INT('Параметры'!C9),'Производительность'!E5/'Параметры'!C9,IF(N$4=INT('Параметры'!C9)+1,'Производительность'!E5*('Параметры'!C9-INT('Параметры'!C9))/'Параметры'!C9,0))</f>
        <v>0.0</v>
      </c>
    </row>
    <row r="43">
      <c r="B43" s="22" t="inlineStr">
        <is>
          <t>Налогооблагаемая база</t>
        </is>
      </c>
      <c r="C43" s="24" t="inlineStr">
        <is>
          <t>тыс.руб</t>
        </is>
      </c>
      <c r="D43" s="48" t="n"/>
      <c r="E43" s="48">
        <f>E41+E42</f>
        <v>172769.27167351247</v>
      </c>
      <c r="F43" s="48">
        <f>F41+F42</f>
        <v>180318.62674154266</v>
      </c>
      <c r="G43" s="48">
        <f>G41+G42</f>
        <v>237247.9686866269</v>
      </c>
      <c r="H43" s="48">
        <f>H41+H42</f>
        <v>404663.0924591116</v>
      </c>
      <c r="I43" s="48">
        <f>I41+I42</f>
        <v>171937.84520952997</v>
      </c>
      <c r="J43" s="48">
        <f>J41+J42</f>
        <v>196241.54539431006</v>
      </c>
      <c r="K43" s="48">
        <f>K41+K42</f>
        <v>118808.71170945492</v>
      </c>
      <c r="L43" s="48">
        <f>L41+L42</f>
        <v>353295.9737051862</v>
      </c>
      <c r="M43" s="48">
        <f>M41+M42</f>
        <v>115775.22812792854</v>
      </c>
      <c r="N43" s="48">
        <f>N41+N42</f>
        <v>113696.73011836415</v>
      </c>
    </row>
    <row r="44">
      <c r="B44" s="22" t="inlineStr">
        <is>
          <t>Налог на прибыль (щит)</t>
        </is>
      </c>
      <c r="C44" s="24" t="inlineStr">
        <is>
          <t>тыс.руб</t>
        </is>
      </c>
      <c r="D44" s="48" t="n"/>
      <c r="E44" s="48">
        <f>-E43*'Параметры'!C7</f>
        <v>-43192.31791837812</v>
      </c>
      <c r="F44" s="48">
        <f>-F43*'Параметры'!C7</f>
        <v>-45079.656685385664</v>
      </c>
      <c r="G44" s="48">
        <f>-G43*'Параметры'!C7</f>
        <v>-59311.992171656726</v>
      </c>
      <c r="H44" s="48">
        <f>-H43*'Параметры'!C7</f>
        <v>-101165.7731147779</v>
      </c>
      <c r="I44" s="48">
        <f>-I43*'Параметры'!C7</f>
        <v>-42984.46130238249</v>
      </c>
      <c r="J44" s="48">
        <f>-J43*'Параметры'!C7</f>
        <v>-49060.386348577515</v>
      </c>
      <c r="K44" s="48">
        <f>-K43*'Параметры'!C7</f>
        <v>-29702.17792736373</v>
      </c>
      <c r="L44" s="48">
        <f>-L43*'Параметры'!C7</f>
        <v>-88323.99342629655</v>
      </c>
      <c r="M44" s="48">
        <f>-M43*'Параметры'!C7</f>
        <v>-28943.807031982135</v>
      </c>
      <c r="N44" s="48">
        <f>-N43*'Параметры'!C7</f>
        <v>-28424.18252959104</v>
      </c>
    </row>
    <row r="45">
      <c r="B45" s="22" t="inlineStr">
        <is>
          <t>Операц. денежный поток</t>
        </is>
      </c>
      <c r="C45" s="24" t="inlineStr">
        <is>
          <t>тыс.руб</t>
        </is>
      </c>
      <c r="D45" s="48" t="n"/>
      <c r="E45" s="57">
        <f>E43+E44-E42</f>
        <v>77769.79262981466</v>
      </c>
      <c r="F45" s="57">
        <f>F43+F44-F42</f>
        <v>83431.80893083729</v>
      </c>
      <c r="G45" s="57">
        <f>G43+G44-G42</f>
        <v>126128.8153896505</v>
      </c>
      <c r="H45" s="57">
        <f>H43+H44-H42</f>
        <v>251690.15821901403</v>
      </c>
      <c r="I45" s="57">
        <f>I43+I44-I42</f>
        <v>77146.22278182779</v>
      </c>
      <c r="J45" s="57">
        <f>J43+J44-J42</f>
        <v>142881.164672331</v>
      </c>
      <c r="K45" s="57">
        <f>K43+K44-K42</f>
        <v>89106.5337820912</v>
      </c>
      <c r="L45" s="57">
        <f>L43+L44-L42</f>
        <v>264971.98027888965</v>
      </c>
      <c r="M45" s="57">
        <f>M43+M44-M42</f>
        <v>86831.4210959464</v>
      </c>
      <c r="N45" s="57">
        <f>N43+N44-N42</f>
        <v>85272.54758877312</v>
      </c>
    </row>
    <row r="46">
      <c r="B46" s="22" t="inlineStr">
        <is>
          <t>Инвестиции / остаточная ст-ть</t>
        </is>
      </c>
      <c r="C46" s="24" t="inlineStr">
        <is>
          <t>тыс.руб</t>
        </is>
      </c>
      <c r="D46" s="48">
        <f>IF(D$4=0,'Производительность'!E5,IF(D$4='Параметры'!C8,-'Ввод данных'!E14*'Производительность'!E5,0))</f>
        <v>263335.8</v>
      </c>
      <c r="E46" s="48">
        <f>IF(E$4=0,'Производительность'!E5,IF(E$4='Параметры'!C8,-'Ввод данных'!E14*'Производительность'!E5,0))</f>
        <v>0.0</v>
      </c>
      <c r="F46" s="48">
        <f>IF(F$4=0,'Производительность'!E5,IF(F$4='Параметры'!C8,-'Ввод данных'!E14*'Производительность'!E5,0))</f>
        <v>0.0</v>
      </c>
      <c r="G46" s="48">
        <f>IF(G$4=0,'Производительность'!E5,IF(G$4='Параметры'!C8,-'Ввод данных'!E14*'Производительность'!E5,0))</f>
        <v>0.0</v>
      </c>
      <c r="H46" s="48">
        <f>IF(H$4=0,'Производительность'!E5,IF(H$4='Параметры'!C8,-'Ввод данных'!E14*'Производительность'!E5,0))</f>
        <v>0.0</v>
      </c>
      <c r="I46" s="48">
        <f>IF(I$4=0,'Производительность'!E5,IF(I$4='Параметры'!C8,-'Ввод данных'!E14*'Производительность'!E5,0))</f>
        <v>0.0</v>
      </c>
      <c r="J46" s="48">
        <f>IF(J$4=0,'Производительность'!E5,IF(J$4='Параметры'!C8,-'Ввод данных'!E14*'Производительность'!E5,0))</f>
        <v>0.0</v>
      </c>
      <c r="K46" s="48">
        <f>IF(K$4=0,'Производительность'!E5,IF(K$4='Параметры'!C8,-'Ввод данных'!E14*'Производительность'!E5,0))</f>
        <v>0.0</v>
      </c>
      <c r="L46" s="48">
        <f>IF(L$4=0,'Производительность'!E5,IF(L$4='Параметры'!C8,-'Ввод данных'!E14*'Производительность'!E5,0))</f>
        <v>0.0</v>
      </c>
      <c r="M46" s="48">
        <f>IF(M$4=0,'Производительность'!E5,IF(M$4='Параметры'!C8,-'Ввод данных'!E14*'Производительность'!E5,0))</f>
        <v>0.0</v>
      </c>
      <c r="N46" s="48">
        <f>IF(N$4=0,'Производительность'!E5,IF(N$4='Параметры'!C8,-'Ввод данных'!E14*'Производительность'!E5,0))</f>
        <v>-0.0</v>
      </c>
    </row>
    <row r="47">
      <c r="B47" s="22" t="inlineStr">
        <is>
          <t>Чистый денежный поток</t>
        </is>
      </c>
      <c r="C47" s="24" t="inlineStr">
        <is>
          <t>тыс.руб</t>
        </is>
      </c>
      <c r="D47" s="57">
        <f>0+D46</f>
        <v>263335.8</v>
      </c>
      <c r="E47" s="57">
        <f>E45+E46</f>
        <v>77769.79262981466</v>
      </c>
      <c r="F47" s="57">
        <f>F45+F46</f>
        <v>83431.80893083729</v>
      </c>
      <c r="G47" s="57">
        <f>G45+G46</f>
        <v>126128.8153896505</v>
      </c>
      <c r="H47" s="57">
        <f>H45+H46</f>
        <v>251690.15821901403</v>
      </c>
      <c r="I47" s="57">
        <f>I45+I46</f>
        <v>77146.22278182779</v>
      </c>
      <c r="J47" s="57">
        <f>J45+J46</f>
        <v>142881.164672331</v>
      </c>
      <c r="K47" s="57">
        <f>K45+K46</f>
        <v>89106.5337820912</v>
      </c>
      <c r="L47" s="57">
        <f>L45+L46</f>
        <v>264971.98027888965</v>
      </c>
      <c r="M47" s="57">
        <f>M45+M46</f>
        <v>86831.4210959464</v>
      </c>
      <c r="N47" s="57">
        <f>N45+N46</f>
        <v>85272.54758877312</v>
      </c>
    </row>
    <row r="48">
      <c r="B48" s="22" t="inlineStr">
        <is>
          <t>Дисконтированный поток</t>
        </is>
      </c>
      <c r="C48" s="24" t="inlineStr">
        <is>
          <t>тыс.руб</t>
        </is>
      </c>
      <c r="D48" s="48">
        <f>D47*D$6</f>
        <v>263335.8</v>
      </c>
      <c r="E48" s="48">
        <f>E47*E$6</f>
        <v>69437.3148480488</v>
      </c>
      <c r="F48" s="48">
        <f>F47*F$6</f>
        <v>66511.32727267002</v>
      </c>
      <c r="G48" s="48">
        <f>G47*G$6</f>
        <v>89775.99947445738</v>
      </c>
      <c r="H48" s="48">
        <f>H47*H$6</f>
        <v>159953.6457047557</v>
      </c>
      <c r="I48" s="48">
        <f>I47*I$6</f>
        <v>43774.83862365911</v>
      </c>
      <c r="J48" s="48">
        <f>J47*J$6</f>
        <v>72388.04465306443</v>
      </c>
      <c r="K48" s="48">
        <f>K47*K$6</f>
        <v>40307.27063771933</v>
      </c>
      <c r="L48" s="48">
        <f>L47*L$6</f>
        <v>107017.73871912366</v>
      </c>
      <c r="M48" s="48">
        <f>M47*M$6</f>
        <v>31312.280930595276</v>
      </c>
      <c r="N48" s="48">
        <f>N47*N$6</f>
        <v>27455.478139491424</v>
      </c>
    </row>
    <row r="49">
      <c r="B49" s="22" t="inlineStr">
        <is>
          <t>Кумул. дисконт. поток</t>
        </is>
      </c>
      <c r="C49" s="24" t="inlineStr">
        <is>
          <t>тыс.руб</t>
        </is>
      </c>
      <c r="D49" s="48">
        <f>SUM($D48:D48)</f>
        <v>263335.8</v>
      </c>
      <c r="E49" s="48">
        <f>SUM($D48:E48)</f>
        <v>332773.1148480488</v>
      </c>
      <c r="F49" s="48">
        <f>SUM($D48:F48)</f>
        <v>399284.44212071877</v>
      </c>
      <c r="G49" s="48">
        <f>SUM($D48:G48)</f>
        <v>489060.4415951761</v>
      </c>
      <c r="H49" s="48">
        <f>SUM($D48:H48)</f>
        <v>649014.0872999318</v>
      </c>
      <c r="I49" s="48">
        <f>SUM($D48:I48)</f>
        <v>692788.9259235909</v>
      </c>
      <c r="J49" s="48">
        <f>SUM($D48:J48)</f>
        <v>765176.9705766554</v>
      </c>
      <c r="K49" s="48">
        <f>SUM($D48:K48)</f>
        <v>805484.2412143748</v>
      </c>
      <c r="L49" s="48">
        <f>SUM($D48:L48)</f>
        <v>912501.9799334984</v>
      </c>
      <c r="M49" s="48">
        <f>SUM($D48:M48)</f>
        <v>943814.2608640937</v>
      </c>
      <c r="N49" s="48">
        <f>SUM($D48:N48)</f>
        <v>971269.7390035851</v>
      </c>
    </row>
    <row r="50">
      <c r="B50" s="38" t="inlineStr">
        <is>
          <t>Аннуитет по году</t>
        </is>
      </c>
      <c r="C50" s="24" t="inlineStr">
        <is>
          <t>руб/ткм</t>
        </is>
      </c>
      <c r="D50" s="58" t="n"/>
      <c r="E50" s="58">
        <f>SUM($D48:E48)/SUM($E$6:E$6)/(SUM($E34:E34)/E$4)</f>
        <v>35.350212682104384</v>
      </c>
      <c r="F50" s="58">
        <f>SUM($D48:F48)/SUM($E$6:F$6)/(SUM($E34:F34)/F$4)</f>
        <v>22.60666213667998</v>
      </c>
      <c r="G50" s="58">
        <f>SUM($D48:G48)/SUM($E$6:G$6)/(SUM($E34:G34)/G$4)</f>
        <v>19.882068639346127</v>
      </c>
      <c r="H50" s="58">
        <f>SUM($D48:H48)/SUM($E$6:H$6)/(SUM($E34:H34)/H$4)</f>
        <v>21.34320716597927</v>
      </c>
      <c r="I50" s="58">
        <f>SUM($D48:I48)/SUM($E$6:I$6)/(SUM($E34:I34)/I$4)</f>
        <v>19.049643395989584</v>
      </c>
      <c r="J50" s="58">
        <f>SUM($D48:J48)/SUM($E$6:J$6)/(SUM($E34:J34)/J$4)</f>
        <v>18.626070727356737</v>
      </c>
      <c r="K50" s="58">
        <f>SUM($D48:K48)/SUM($E$6:K$6)/(SUM($E34:K34)/K$4)</f>
        <v>17.59205789104187</v>
      </c>
      <c r="L50" s="58">
        <f>SUM($D48:L48)/SUM($E$6:L$6)/(SUM($E34:L34)/L$4)</f>
        <v>18.460027370430474</v>
      </c>
      <c r="M50" s="58">
        <f>SUM($D48:M48)/SUM($E$6:M$6)/(SUM($E34:M34)/M$4)</f>
        <v>17.8108277105546</v>
      </c>
      <c r="N50" s="58">
        <f>SUM($D48:N48)/SUM($E$6:N$6)/(SUM($E34:N34)/N$4)</f>
        <v>17.336701460719578</v>
      </c>
    </row>
    <row r="52">
      <c r="B52" s="5" t="str">
        <f>"Вариант 3:  "&amp;'Ввод данных'!F7</f>
        <v>Вариант 3:  SANY SET240S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B53" s="22" t="inlineStr">
        <is>
          <t>КТГ</t>
        </is>
      </c>
      <c r="C53" s="24" t="inlineStr">
        <is>
          <t>коэф.</t>
        </is>
      </c>
      <c r="D53" s="51" t="n"/>
      <c r="E53" s="51">
        <f>'Данные по годам'!E13</f>
        <v>0.9357</v>
      </c>
      <c r="F53" s="51">
        <f>'Данные по годам'!F13</f>
        <v>0.9026</v>
      </c>
      <c r="G53" s="51">
        <f>'Данные по годам'!G13</f>
        <v>0.8659</v>
      </c>
      <c r="H53" s="51">
        <f>'Данные по годам'!H13</f>
        <v>0.904</v>
      </c>
      <c r="I53" s="51">
        <f>'Данные по годам'!I13</f>
        <v>0.85</v>
      </c>
      <c r="J53" s="51">
        <f>'Данные по годам'!J13</f>
        <v>0.904</v>
      </c>
      <c r="K53" s="51">
        <f>'Данные по годам'!K13</f>
        <v>0.8659</v>
      </c>
      <c r="L53" s="51">
        <f>'Данные по годам'!L13</f>
        <v>0.904</v>
      </c>
      <c r="M53" s="51">
        <f>'Данные по годам'!M13</f>
        <v>0.85</v>
      </c>
      <c r="N53" s="51">
        <f>'Данные по годам'!N13</f>
        <v>0.885</v>
      </c>
    </row>
    <row r="54">
      <c r="B54" s="22" t="inlineStr">
        <is>
          <t>Эффективное время</t>
        </is>
      </c>
      <c r="C54" s="24" t="inlineStr">
        <is>
          <t>час/год</t>
        </is>
      </c>
      <c r="D54" s="48" t="n"/>
      <c r="E54" s="48">
        <f>'Параметры'!C26*E53*(1-102.38/(60*'Параметры'!C27))</f>
        <v>7031.202247</v>
      </c>
      <c r="F54" s="48">
        <f>'Параметры'!C26*F53*(1-102.38/(60*'Параметры'!C27))</f>
        <v>6782.476379333333</v>
      </c>
      <c r="G54" s="48">
        <f>'Параметры'!C26*G53*(1-102.38/(60*'Параметры'!C27))</f>
        <v>6506.698755666666</v>
      </c>
      <c r="H54" s="48">
        <f>'Параметры'!C26*H53*(1-102.38/(60*'Параметры'!C27))</f>
        <v>6792.996506666667</v>
      </c>
      <c r="I54" s="48">
        <f>'Параметры'!C26*I53*(1-102.38/(60*'Параметры'!C27))</f>
        <v>6387.220166666667</v>
      </c>
      <c r="J54" s="48">
        <f>'Параметры'!C26*J53*(1-102.38/(60*'Параметры'!C27))</f>
        <v>6792.996506666667</v>
      </c>
      <c r="K54" s="48">
        <f>'Параметры'!C26*K53*(1-102.38/(60*'Параметры'!C27))</f>
        <v>6506.698755666666</v>
      </c>
      <c r="L54" s="48">
        <f>'Параметры'!C26*L53*(1-102.38/(60*'Параметры'!C27))</f>
        <v>6792.996506666667</v>
      </c>
      <c r="M54" s="48">
        <f>'Параметры'!C26*M53*(1-102.38/(60*'Параметры'!C27))</f>
        <v>6387.220166666667</v>
      </c>
      <c r="N54" s="48">
        <f>'Параметры'!C26*N53*(1-102.38/(60*'Параметры'!C27))</f>
        <v>6650.22335</v>
      </c>
    </row>
    <row r="55">
      <c r="B55" s="22" t="inlineStr">
        <is>
          <t>Объём перевозки</t>
        </is>
      </c>
      <c r="C55" s="24" t="inlineStr">
        <is>
          <t>тыс.т</t>
        </is>
      </c>
      <c r="D55" s="48" t="n"/>
      <c r="E55" s="48">
        <f>'Производительность'!F9*E54/1000</f>
        <v>3644.035005278217</v>
      </c>
      <c r="F55" s="48">
        <f>'Производительность'!F9*F54/1000</f>
        <v>3515.128776065105</v>
      </c>
      <c r="G55" s="48">
        <f>'Производительность'!F9*G54/1000</f>
        <v>3372.202534007062</v>
      </c>
      <c r="H55" s="48">
        <f>'Производительность'!F9*H54/1000</f>
        <v>3520.5810032825775</v>
      </c>
      <c r="I55" s="48">
        <f>'Производительность'!F9*I54/1000</f>
        <v>3310.2808106086186</v>
      </c>
      <c r="J55" s="48">
        <f>'Производительность'!F9*J54/1000</f>
        <v>3520.5810032825775</v>
      </c>
      <c r="K55" s="48">
        <f>'Производительность'!F9*K54/1000</f>
        <v>3372.202534007062</v>
      </c>
      <c r="L55" s="48">
        <f>'Производительность'!F9*L54/1000</f>
        <v>3520.5810032825775</v>
      </c>
      <c r="M55" s="48">
        <f>'Производительность'!F9*M54/1000</f>
        <v>3310.2808106086186</v>
      </c>
      <c r="N55" s="48">
        <f>'Производительность'!F9*N54/1000</f>
        <v>3446.586491045444</v>
      </c>
    </row>
    <row r="56">
      <c r="B56" s="22" t="inlineStr">
        <is>
          <t>Грузооборот</t>
        </is>
      </c>
      <c r="C56" s="24" t="inlineStr">
        <is>
          <t>тыс.ткм</t>
        </is>
      </c>
      <c r="D56" s="48" t="n"/>
      <c r="E56" s="48">
        <f>E55*'Параметры'!C28</f>
        <v>11076.408802043668</v>
      </c>
      <c r="F56" s="48">
        <f>F55*'Параметры'!C28</f>
        <v>10684.585427727492</v>
      </c>
      <c r="G56" s="48">
        <f>G55*'Параметры'!C28</f>
        <v>10250.146822367866</v>
      </c>
      <c r="H56" s="48">
        <f>H55*'Параметры'!C28</f>
        <v>10701.158017577724</v>
      </c>
      <c r="I56" s="48">
        <f>I55*'Параметры'!C28</f>
        <v>10061.929551925958</v>
      </c>
      <c r="J56" s="48">
        <f>J55*'Параметры'!C28</f>
        <v>10701.158017577724</v>
      </c>
      <c r="K56" s="48">
        <f>K55*'Параметры'!C28</f>
        <v>10250.146822367866</v>
      </c>
      <c r="L56" s="48">
        <f>L55*'Параметры'!C28</f>
        <v>10701.158017577724</v>
      </c>
      <c r="M56" s="48">
        <f>M55*'Параметры'!C28</f>
        <v>10061.929551925958</v>
      </c>
      <c r="N56" s="48">
        <f>N55*'Параметры'!C28</f>
        <v>10476.244298181731</v>
      </c>
    </row>
    <row r="57">
      <c r="B57" s="22" t="inlineStr">
        <is>
          <t>Пробег</t>
        </is>
      </c>
      <c r="C57" s="24" t="inlineStr">
        <is>
          <t>тыс.км</t>
        </is>
      </c>
      <c r="D57" s="48" t="n"/>
      <c r="E57" s="48">
        <f>'Производительность'!F8*E54*2*'Параметры'!C28/1000</f>
        <v>104.08432091169993</v>
      </c>
      <c r="F57" s="48">
        <f>'Производительность'!F8*F54*2*'Параметры'!C28/1000</f>
        <v>100.4023811637281</v>
      </c>
      <c r="G57" s="48">
        <f>'Производительность'!F8*G54*2*'Параметры'!C28/1000</f>
        <v>96.31998875434537</v>
      </c>
      <c r="H57" s="48">
        <f>'Производительность'!F8*H54*2*'Параметры'!C28/1000</f>
        <v>100.55811275427676</v>
      </c>
      <c r="I57" s="48">
        <f>'Производительность'!F8*I54*2*'Параметры'!C28/1000</f>
        <v>94.55132283311418</v>
      </c>
      <c r="J57" s="48">
        <f>'Производительность'!F8*J54*2*'Параметры'!C28/1000</f>
        <v>100.55811275427676</v>
      </c>
      <c r="K57" s="48">
        <f>'Производительность'!F8*K54*2*'Параметры'!C28/1000</f>
        <v>96.31998875434537</v>
      </c>
      <c r="L57" s="48">
        <f>'Производительность'!F8*L54*2*'Параметры'!C28/1000</f>
        <v>100.55811275427676</v>
      </c>
      <c r="M57" s="48">
        <f>'Производительность'!F8*M54*2*'Параметры'!C28/1000</f>
        <v>94.55132283311418</v>
      </c>
      <c r="N57" s="48">
        <f>'Производительность'!F8*N54*2*'Параметры'!C28/1000</f>
        <v>98.44461259683065</v>
      </c>
    </row>
    <row r="58">
      <c r="B58" s="22" t="inlineStr">
        <is>
          <t>Топливо</t>
        </is>
      </c>
      <c r="C58" s="24" t="inlineStr">
        <is>
          <t>тыс.руб</t>
        </is>
      </c>
      <c r="D58" s="48" t="n"/>
      <c r="E58" s="48">
        <f>E56*'Параметры'!C32/1000*'Параметры'!C10*(1+'Параметры'!C14)^(E$4-1)</f>
        <v>65812.80894319089</v>
      </c>
      <c r="F58" s="48">
        <f>F56*'Параметры'!C32/1000*'Параметры'!C10*(1+'Параметры'!C14)^(F$4-1)</f>
        <v>63484.708081782715</v>
      </c>
      <c r="G58" s="48">
        <f>G56*'Параметры'!C32/1000*'Параметры'!C10*(1+'Параметры'!C14)^(G$4-1)</f>
        <v>60903.399875931376</v>
      </c>
      <c r="H58" s="48">
        <f>H56*'Параметры'!C32/1000*'Параметры'!C10*(1+'Параметры'!C14)^(H$4-1)</f>
        <v>63583.17760462174</v>
      </c>
      <c r="I58" s="48">
        <f>I56*'Параметры'!C32/1000*'Параметры'!C10*(1+'Параметры'!C14)^(I$4-1)</f>
        <v>59785.06743797399</v>
      </c>
      <c r="J58" s="48">
        <f>J56*'Параметры'!C32/1000*'Параметры'!C10*(1+'Параметры'!C14)^(J$4-1)</f>
        <v>63583.17760462174</v>
      </c>
      <c r="K58" s="48">
        <f>K56*'Параметры'!C32/1000*'Параметры'!C10*(1+'Параметры'!C14)^(K$4-1)</f>
        <v>60903.399875931376</v>
      </c>
      <c r="L58" s="48">
        <f>L56*'Параметры'!C32/1000*'Параметры'!C10*(1+'Параметры'!C14)^(L$4-1)</f>
        <v>63583.17760462174</v>
      </c>
      <c r="M58" s="48">
        <f>M56*'Параметры'!C32/1000*'Параметры'!C10*(1+'Параметры'!C14)^(M$4-1)</f>
        <v>59785.06743797399</v>
      </c>
      <c r="N58" s="48">
        <f>N56*'Параметры'!C32/1000*'Параметры'!C10*(1+'Параметры'!C14)^(N$4-1)</f>
        <v>62246.80550894938</v>
      </c>
    </row>
    <row r="59">
      <c r="B59" s="22" t="inlineStr">
        <is>
          <t>ТОиР и сервис (по годам)</t>
        </is>
      </c>
      <c r="C59" s="24" t="inlineStr">
        <is>
          <t>тыс.руб</t>
        </is>
      </c>
      <c r="D59" s="48" t="n"/>
      <c r="E59" s="48">
        <f>'Данные по годам'!E14*IF('Данные по годам'!$D$14="CNY",'Параметры'!C20,IF('Данные по годам'!$D$14="USD",'Параметры'!C21,IF('Данные по годам'!$D$14="EUR",'Параметры'!C22,1)))</f>
        <v>12729.276378000002</v>
      </c>
      <c r="F59" s="48">
        <f>'Данные по годам'!F14*IF('Данные по годам'!$D$14="CNY",'Параметры'!C20,IF('Данные по годам'!$D$14="USD",'Параметры'!C21,IF('Данные по годам'!$D$14="EUR",'Параметры'!C22,1)))</f>
        <v>19869.3444495</v>
      </c>
      <c r="G59" s="48">
        <f>'Данные по годам'!G14*IF('Данные по годам'!$D$14="CNY",'Параметры'!C20,IF('Данные по годам'!$D$14="USD",'Параметры'!C21,IF('Данные по годам'!$D$14="EUR",'Параметры'!C22,1)))</f>
        <v>56237.3351085</v>
      </c>
      <c r="H59" s="48">
        <f>'Данные по годам'!H14*IF('Данные по годам'!$D$14="CNY",'Параметры'!C20,IF('Данные по годам'!$D$14="USD",'Параметры'!C21,IF('Данные по годам'!$D$14="EUR",'Параметры'!C22,1)))</f>
        <v>28698.147387000005</v>
      </c>
      <c r="I59" s="48">
        <f>'Данные по годам'!I14*IF('Данные по годам'!$D$14="CNY",'Параметры'!C20,IF('Данные по годам'!$D$14="USD",'Параметры'!C21,IF('Данные по годам'!$D$14="EUR",'Параметры'!C22,1)))</f>
        <v>91597.3139445</v>
      </c>
      <c r="J59" s="48">
        <f>'Данные по годам'!J14*IF('Данные по годам'!$D$14="CNY",'Параметры'!C20,IF('Данные по годам'!$D$14="USD",'Параметры'!C21,IF('Данные по годам'!$D$14="EUR",'Параметры'!C22,1)))</f>
        <v>69714.2970615</v>
      </c>
      <c r="K59" s="48">
        <f>'Данные по годам'!K14*IF('Данные по годам'!$D$14="CNY",'Параметры'!C20,IF('Данные по годам'!$D$14="USD",'Параметры'!C21,IF('Данные по годам'!$D$14="EUR",'Параметры'!C22,1)))</f>
        <v>25146.311736</v>
      </c>
      <c r="L59" s="48">
        <f>'Данные по годам'!L14*IF('Данные по годам'!$D$14="CNY",'Параметры'!C20,IF('Данные по годам'!$D$14="USD",'Параметры'!C21,IF('Данные по годам'!$D$14="EUR",'Параметры'!C22,1)))</f>
        <v>25292.7452505</v>
      </c>
      <c r="M59" s="48">
        <f>'Данные по годам'!M14*IF('Данные по годам'!$D$14="CNY",'Параметры'!C20,IF('Данные по годам'!$D$14="USD",'Параметры'!C21,IF('Данные по годам'!$D$14="EUR",'Параметры'!C22,1)))</f>
        <v>126903.49703850002</v>
      </c>
      <c r="N59" s="48">
        <f>'Данные по годам'!N14*IF('Данные по годам'!$D$14="CNY",'Параметры'!C20,IF('Данные по годам'!$D$14="USD",'Параметры'!C21,IF('Данные по годам'!$D$14="EUR",'Параметры'!C22,1)))</f>
        <v>18433.6000485</v>
      </c>
    </row>
    <row r="60">
      <c r="B60" s="22" t="inlineStr">
        <is>
          <t>Шины</t>
        </is>
      </c>
      <c r="C60" s="24" t="inlineStr">
        <is>
          <t>тыс.руб</t>
        </is>
      </c>
      <c r="D60" s="48" t="n"/>
      <c r="E60" s="48">
        <f>E57*'Параметры'!C36*'Параметры'!C37*(1+'Параметры'!C15)^(E$4-1)</f>
        <v>23304.843747252806</v>
      </c>
      <c r="F60" s="48">
        <f>F57*'Параметры'!C36*'Параметры'!C37*(1+'Параметры'!C15)^(F$4-1)</f>
        <v>22480.444550892793</v>
      </c>
      <c r="G60" s="48">
        <f>G57*'Параметры'!C36*'Параметры'!C37*(1+'Параметры'!C15)^(G$4-1)</f>
        <v>21566.38260205857</v>
      </c>
      <c r="H60" s="48">
        <f>H57*'Параметры'!C36*'Параметры'!C37*(1+'Параметры'!C15)^(H$4-1)</f>
        <v>22515.313399077208</v>
      </c>
      <c r="I60" s="48">
        <f>I57*'Параметры'!C36*'Параметры'!C37*(1+'Параметры'!C15)^(I$4-1)</f>
        <v>21170.37211196418</v>
      </c>
      <c r="J60" s="48">
        <f>J57*'Параметры'!C36*'Параметры'!C37*(1+'Параметры'!C15)^(J$4-1)</f>
        <v>22515.313399077208</v>
      </c>
      <c r="K60" s="48">
        <f>K57*'Параметры'!C36*'Параметры'!C37*(1+'Параметры'!C15)^(K$4-1)</f>
        <v>21566.38260205857</v>
      </c>
      <c r="L60" s="48">
        <f>L57*'Параметры'!C36*'Параметры'!C37*(1+'Параметры'!C15)^(L$4-1)</f>
        <v>22515.313399077208</v>
      </c>
      <c r="M60" s="48">
        <f>M57*'Параметры'!C36*'Параметры'!C37*(1+'Параметры'!C15)^(M$4-1)</f>
        <v>21170.37211196418</v>
      </c>
      <c r="N60" s="48">
        <f>N57*'Параметры'!C36*'Параметры'!C37*(1+'Параметры'!C15)^(N$4-1)</f>
        <v>22042.093316574472</v>
      </c>
    </row>
    <row r="61">
      <c r="B61" s="22" t="inlineStr">
        <is>
          <t>Персонал</t>
        </is>
      </c>
      <c r="C61" s="24" t="inlineStr">
        <is>
          <t>тыс.руб</t>
        </is>
      </c>
      <c r="D61" s="48" t="n"/>
      <c r="E61" s="48">
        <f>'Ввод данных'!F18*(1+'Параметры'!C16)^(E$4-1)</f>
        <v>18475.6</v>
      </c>
      <c r="F61" s="48">
        <f>'Ввод данных'!F18*(1+'Параметры'!C16)^(F$4-1)</f>
        <v>18475.6</v>
      </c>
      <c r="G61" s="48">
        <f>'Ввод данных'!F18*(1+'Параметры'!C16)^(G$4-1)</f>
        <v>18475.6</v>
      </c>
      <c r="H61" s="48">
        <f>'Ввод данных'!F18*(1+'Параметры'!C16)^(H$4-1)</f>
        <v>18475.6</v>
      </c>
      <c r="I61" s="48">
        <f>'Ввод данных'!F18*(1+'Параметры'!C16)^(I$4-1)</f>
        <v>18475.6</v>
      </c>
      <c r="J61" s="48">
        <f>'Ввод данных'!F18*(1+'Параметры'!C16)^(J$4-1)</f>
        <v>18475.6</v>
      </c>
      <c r="K61" s="48">
        <f>'Ввод данных'!F18*(1+'Параметры'!C16)^(K$4-1)</f>
        <v>18475.6</v>
      </c>
      <c r="L61" s="48">
        <f>'Ввод данных'!F18*(1+'Параметры'!C16)^(L$4-1)</f>
        <v>18475.6</v>
      </c>
      <c r="M61" s="48">
        <f>'Ввод данных'!F18*(1+'Параметры'!C16)^(M$4-1)</f>
        <v>18475.6</v>
      </c>
      <c r="N61" s="48">
        <f>'Ввод данных'!F18*(1+'Параметры'!C16)^(N$4-1)</f>
        <v>18475.6</v>
      </c>
    </row>
    <row r="62">
      <c r="B62" s="22" t="inlineStr">
        <is>
          <t>Транспортный налог</t>
        </is>
      </c>
      <c r="C62" s="24" t="inlineStr">
        <is>
          <t>тыс.руб</t>
        </is>
      </c>
      <c r="D62" s="48" t="n"/>
      <c r="E62" s="48">
        <f>'Ввод данных'!F19*'Параметры'!C41/1000</f>
        <v>241.655</v>
      </c>
      <c r="F62" s="48">
        <f>'Ввод данных'!F19*'Параметры'!C41/1000</f>
        <v>241.655</v>
      </c>
      <c r="G62" s="48">
        <f>'Ввод данных'!F19*'Параметры'!C41/1000</f>
        <v>241.655</v>
      </c>
      <c r="H62" s="48">
        <f>'Ввод данных'!F19*'Параметры'!C41/1000</f>
        <v>241.655</v>
      </c>
      <c r="I62" s="48">
        <f>'Ввод данных'!F19*'Параметры'!C41/1000</f>
        <v>241.655</v>
      </c>
      <c r="J62" s="48">
        <f>'Ввод данных'!F19*'Параметры'!C41/1000</f>
        <v>241.655</v>
      </c>
      <c r="K62" s="48">
        <f>'Ввод данных'!F19*'Параметры'!C41/1000</f>
        <v>241.655</v>
      </c>
      <c r="L62" s="48">
        <f>'Ввод данных'!F19*'Параметры'!C41/1000</f>
        <v>241.655</v>
      </c>
      <c r="M62" s="48">
        <f>'Ввод данных'!F19*'Параметры'!C41/1000</f>
        <v>241.655</v>
      </c>
      <c r="N62" s="48">
        <f>'Ввод данных'!F19*'Параметры'!C41/1000</f>
        <v>241.655</v>
      </c>
    </row>
    <row r="63">
      <c r="B63" s="22" t="inlineStr">
        <is>
          <t>Итого денежные затраты</t>
        </is>
      </c>
      <c r="C63" s="24" t="inlineStr">
        <is>
          <t>тыс.руб</t>
        </is>
      </c>
      <c r="D63" s="48" t="n"/>
      <c r="E63" s="57">
        <f>E58+E59+E60+E61+E62</f>
        <v>120564.18406844369</v>
      </c>
      <c r="F63" s="57">
        <f>F58+F59+F60+F61+F62</f>
        <v>124551.75208217549</v>
      </c>
      <c r="G63" s="57">
        <f>G58+G59+G60+G61+G62</f>
        <v>157424.37258648995</v>
      </c>
      <c r="H63" s="57">
        <f>H58+H59+H60+H61+H62</f>
        <v>133513.89339069894</v>
      </c>
      <c r="I63" s="57">
        <f>I58+I59+I60+I61+I62</f>
        <v>191270.00849443817</v>
      </c>
      <c r="J63" s="57">
        <f>J58+J59+J60+J61+J62</f>
        <v>174530.04306519896</v>
      </c>
      <c r="K63" s="57">
        <f>K58+K59+K60+K61+K62</f>
        <v>126333.34921398995</v>
      </c>
      <c r="L63" s="57">
        <f>L58+L59+L60+L61+L62</f>
        <v>130108.49125419895</v>
      </c>
      <c r="M63" s="57">
        <f>M58+M59+M60+M61+M62</f>
        <v>226576.1915884382</v>
      </c>
      <c r="N63" s="57">
        <f>N58+N59+N60+N61+N62</f>
        <v>121439.75387402385</v>
      </c>
    </row>
    <row r="64">
      <c r="B64" s="22" t="inlineStr">
        <is>
          <t>Амортизация (НУ)</t>
        </is>
      </c>
      <c r="C64" s="24" t="inlineStr">
        <is>
          <t>тыс.руб</t>
        </is>
      </c>
      <c r="D64" s="48" t="n"/>
      <c r="E64" s="48">
        <f>IF(E$4&lt;=INT('Параметры'!C9),'Производительность'!F5/'Параметры'!C9,IF(E$4=INT('Параметры'!C9)+1,'Производительность'!F5*('Параметры'!C9-INT('Параметры'!C9))/'Параметры'!C9,0))</f>
        <v>49956.90537084399</v>
      </c>
      <c r="F64" s="48">
        <f>IF(F$4&lt;=INT('Параметры'!C9),'Производительность'!F5/'Параметры'!C9,IF(F$4=INT('Параметры'!C9)+1,'Производительность'!F5*('Параметры'!C9-INT('Параметры'!C9))/'Параметры'!C9,0))</f>
        <v>49956.90537084399</v>
      </c>
      <c r="G64" s="48">
        <f>IF(G$4&lt;=INT('Параметры'!C9),'Производительность'!F5/'Параметры'!C9,IF(G$4=INT('Параметры'!C9)+1,'Производительность'!F5*('Параметры'!C9-INT('Параметры'!C9))/'Параметры'!C9,0))</f>
        <v>49956.90537084399</v>
      </c>
      <c r="H64" s="48">
        <f>IF(H$4&lt;=INT('Параметры'!C9),'Производительность'!F5/'Параметры'!C9,IF(H$4=INT('Параметры'!C9)+1,'Производительность'!F5*('Параметры'!C9-INT('Параметры'!C9))/'Параметры'!C9,0))</f>
        <v>49956.90537084399</v>
      </c>
      <c r="I64" s="48">
        <f>IF(I$4&lt;=INT('Параметры'!C9),'Производительность'!F5/'Параметры'!C9,IF(I$4=INT('Параметры'!C9)+1,'Производительность'!F5*('Параметры'!C9-INT('Параметры'!C9))/'Параметры'!C9,0))</f>
        <v>49956.90537084399</v>
      </c>
      <c r="J64" s="48">
        <f>IF(J$4&lt;=INT('Параметры'!C9),'Производительность'!F5/'Параметры'!C9,IF(J$4=INT('Параметры'!C9)+1,'Производительность'!F5*('Параметры'!C9-INT('Параметры'!C9))/'Параметры'!C9,0))</f>
        <v>4146.423145780061</v>
      </c>
      <c r="K64" s="48">
        <f>IF(K$4&lt;=INT('Параметры'!C9),'Производительность'!F5/'Параметры'!C9,IF(K$4=INT('Параметры'!C9)+1,'Производительность'!F5*('Параметры'!C9-INT('Параметры'!C9))/'Параметры'!C9,0))</f>
        <v>0.0</v>
      </c>
      <c r="L64" s="48">
        <f>IF(L$4&lt;=INT('Параметры'!C9),'Производительность'!F5/'Параметры'!C9,IF(L$4=INT('Параметры'!C9)+1,'Производительность'!F5*('Параметры'!C9-INT('Параметры'!C9))/'Параметры'!C9,0))</f>
        <v>0.0</v>
      </c>
      <c r="M64" s="48">
        <f>IF(M$4&lt;=INT('Параметры'!C9),'Производительность'!F5/'Параметры'!C9,IF(M$4=INT('Параметры'!C9)+1,'Производительность'!F5*('Параметры'!C9-INT('Параметры'!C9))/'Параметры'!C9,0))</f>
        <v>0.0</v>
      </c>
      <c r="N64" s="48">
        <f>IF(N$4&lt;=INT('Параметры'!C9),'Производительность'!F5/'Параметры'!C9,IF(N$4=INT('Параметры'!C9)+1,'Производительность'!F5*('Параметры'!C9-INT('Параметры'!C9))/'Параметры'!C9,0))</f>
        <v>0.0</v>
      </c>
    </row>
    <row r="65">
      <c r="B65" s="22" t="inlineStr">
        <is>
          <t>Налогооблагаемая база</t>
        </is>
      </c>
      <c r="C65" s="24" t="inlineStr">
        <is>
          <t>тыс.руб</t>
        </is>
      </c>
      <c r="D65" s="48" t="n"/>
      <c r="E65" s="48">
        <f>E63+E64</f>
        <v>170521.08943928767</v>
      </c>
      <c r="F65" s="48">
        <f>F63+F64</f>
        <v>174508.65745301946</v>
      </c>
      <c r="G65" s="48">
        <f>G63+G64</f>
        <v>207381.27795733395</v>
      </c>
      <c r="H65" s="48">
        <f>H63+H64</f>
        <v>183470.79876154294</v>
      </c>
      <c r="I65" s="48">
        <f>I63+I64</f>
        <v>241226.91386528214</v>
      </c>
      <c r="J65" s="48">
        <f>J63+J64</f>
        <v>178676.466210979</v>
      </c>
      <c r="K65" s="48">
        <f>K63+K64</f>
        <v>126333.34921398995</v>
      </c>
      <c r="L65" s="48">
        <f>L63+L64</f>
        <v>130108.49125419895</v>
      </c>
      <c r="M65" s="48">
        <f>M63+M64</f>
        <v>226576.1915884382</v>
      </c>
      <c r="N65" s="48">
        <f>N63+N64</f>
        <v>121439.75387402385</v>
      </c>
    </row>
    <row r="66">
      <c r="B66" s="22" t="inlineStr">
        <is>
          <t>Налог на прибыль (щит)</t>
        </is>
      </c>
      <c r="C66" s="24" t="inlineStr">
        <is>
          <t>тыс.руб</t>
        </is>
      </c>
      <c r="D66" s="48" t="n"/>
      <c r="E66" s="48">
        <f>-E65*'Параметры'!C7</f>
        <v>-42630.272359821916</v>
      </c>
      <c r="F66" s="48">
        <f>-F65*'Параметры'!C7</f>
        <v>-43627.164363254866</v>
      </c>
      <c r="G66" s="48">
        <f>-G65*'Параметры'!C7</f>
        <v>-51845.31948933349</v>
      </c>
      <c r="H66" s="48">
        <f>-H65*'Параметры'!C7</f>
        <v>-45867.699690385736</v>
      </c>
      <c r="I66" s="48">
        <f>-I65*'Параметры'!C7</f>
        <v>-60306.728466320536</v>
      </c>
      <c r="J66" s="48">
        <f>-J65*'Параметры'!C7</f>
        <v>-44669.11655274475</v>
      </c>
      <c r="K66" s="48">
        <f>-K65*'Параметры'!C7</f>
        <v>-31583.337303497487</v>
      </c>
      <c r="L66" s="48">
        <f>-L65*'Параметры'!C7</f>
        <v>-32527.122813549737</v>
      </c>
      <c r="M66" s="48">
        <f>-M65*'Параметры'!C7</f>
        <v>-56644.04789710955</v>
      </c>
      <c r="N66" s="48">
        <f>-N65*'Параметры'!C7</f>
        <v>-30359.938468505963</v>
      </c>
    </row>
    <row r="67">
      <c r="B67" s="22" t="inlineStr">
        <is>
          <t>Операц. денежный поток</t>
        </is>
      </c>
      <c r="C67" s="24" t="inlineStr">
        <is>
          <t>тыс.руб</t>
        </is>
      </c>
      <c r="D67" s="48" t="n"/>
      <c r="E67" s="57">
        <f>E65+E66-E64</f>
        <v>77933.91170862176</v>
      </c>
      <c r="F67" s="57">
        <f>F65+F66-F64</f>
        <v>80924.58771892061</v>
      </c>
      <c r="G67" s="57">
        <f>G65+G66-G64</f>
        <v>105579.05309715647</v>
      </c>
      <c r="H67" s="57">
        <f>H65+H66-H64</f>
        <v>87646.19370031323</v>
      </c>
      <c r="I67" s="57">
        <f>I65+I66-I64</f>
        <v>130963.2800281176</v>
      </c>
      <c r="J67" s="57">
        <f>J65+J66-J64</f>
        <v>129860.92651245419</v>
      </c>
      <c r="K67" s="57">
        <f>K65+K66-K64</f>
        <v>94750.01191049247</v>
      </c>
      <c r="L67" s="57">
        <f>L65+L66-L64</f>
        <v>97581.36844064921</v>
      </c>
      <c r="M67" s="57">
        <f>M65+M66-M64</f>
        <v>169932.14369132865</v>
      </c>
      <c r="N67" s="57">
        <f>N65+N66-N64</f>
        <v>91079.81540551789</v>
      </c>
    </row>
    <row r="68">
      <c r="B68" s="22" t="inlineStr">
        <is>
          <t>Инвестиции / остаточная ст-ть</t>
        </is>
      </c>
      <c r="C68" s="24" t="inlineStr">
        <is>
          <t>тыс.руб</t>
        </is>
      </c>
      <c r="D68" s="48">
        <f>IF(D$4=0,'Производительность'!F5,IF(D$4='Параметры'!C8,-'Ввод данных'!F14*'Производительность'!F5,0))</f>
        <v>253930.95</v>
      </c>
      <c r="E68" s="48">
        <f>IF(E$4=0,'Производительность'!F5,IF(E$4='Параметры'!C8,-'Ввод данных'!F14*'Производительность'!F5,0))</f>
        <v>0.0</v>
      </c>
      <c r="F68" s="48">
        <f>IF(F$4=0,'Производительность'!F5,IF(F$4='Параметры'!C8,-'Ввод данных'!F14*'Производительность'!F5,0))</f>
        <v>0.0</v>
      </c>
      <c r="G68" s="48">
        <f>IF(G$4=0,'Производительность'!F5,IF(G$4='Параметры'!C8,-'Ввод данных'!F14*'Производительность'!F5,0))</f>
        <v>0.0</v>
      </c>
      <c r="H68" s="48">
        <f>IF(H$4=0,'Производительность'!F5,IF(H$4='Параметры'!C8,-'Ввод данных'!F14*'Производительность'!F5,0))</f>
        <v>0.0</v>
      </c>
      <c r="I68" s="48">
        <f>IF(I$4=0,'Производительность'!F5,IF(I$4='Параметры'!C8,-'Ввод данных'!F14*'Производительность'!F5,0))</f>
        <v>0.0</v>
      </c>
      <c r="J68" s="48">
        <f>IF(J$4=0,'Производительность'!F5,IF(J$4='Параметры'!C8,-'Ввод данных'!F14*'Производительность'!F5,0))</f>
        <v>0.0</v>
      </c>
      <c r="K68" s="48">
        <f>IF(K$4=0,'Производительность'!F5,IF(K$4='Параметры'!C8,-'Ввод данных'!F14*'Производительность'!F5,0))</f>
        <v>0.0</v>
      </c>
      <c r="L68" s="48">
        <f>IF(L$4=0,'Производительность'!F5,IF(L$4='Параметры'!C8,-'Ввод данных'!F14*'Производительность'!F5,0))</f>
        <v>0.0</v>
      </c>
      <c r="M68" s="48">
        <f>IF(M$4=0,'Производительность'!F5,IF(M$4='Параметры'!C8,-'Ввод данных'!F14*'Производительность'!F5,0))</f>
        <v>0.0</v>
      </c>
      <c r="N68" s="48">
        <f>IF(N$4=0,'Производительность'!F5,IF(N$4='Параметры'!C8,-'Ввод данных'!F14*'Производительность'!F5,0))</f>
        <v>-0.0</v>
      </c>
    </row>
    <row r="69">
      <c r="B69" s="22" t="inlineStr">
        <is>
          <t>Чистый денежный поток</t>
        </is>
      </c>
      <c r="C69" s="24" t="inlineStr">
        <is>
          <t>тыс.руб</t>
        </is>
      </c>
      <c r="D69" s="57">
        <f>0+D68</f>
        <v>253930.95</v>
      </c>
      <c r="E69" s="57">
        <f>E67+E68</f>
        <v>77933.91170862176</v>
      </c>
      <c r="F69" s="57">
        <f>F67+F68</f>
        <v>80924.58771892061</v>
      </c>
      <c r="G69" s="57">
        <f>G67+G68</f>
        <v>105579.05309715647</v>
      </c>
      <c r="H69" s="57">
        <f>H67+H68</f>
        <v>87646.19370031323</v>
      </c>
      <c r="I69" s="57">
        <f>I67+I68</f>
        <v>130963.2800281176</v>
      </c>
      <c r="J69" s="57">
        <f>J67+J68</f>
        <v>129860.92651245419</v>
      </c>
      <c r="K69" s="57">
        <f>K67+K68</f>
        <v>94750.01191049247</v>
      </c>
      <c r="L69" s="57">
        <f>L67+L68</f>
        <v>97581.36844064921</v>
      </c>
      <c r="M69" s="57">
        <f>M67+M68</f>
        <v>169932.14369132865</v>
      </c>
      <c r="N69" s="57">
        <f>N67+N68</f>
        <v>91079.81540551789</v>
      </c>
    </row>
    <row r="70">
      <c r="B70" s="22" t="inlineStr">
        <is>
          <t>Дисконтированный поток</t>
        </is>
      </c>
      <c r="C70" s="24" t="inlineStr">
        <is>
          <t>тыс.руб</t>
        </is>
      </c>
      <c r="D70" s="48">
        <f>D69*D$6</f>
        <v>253930.95</v>
      </c>
      <c r="E70" s="48">
        <f>E69*E$6</f>
        <v>69583.84973984085</v>
      </c>
      <c r="F70" s="48">
        <f>F69*F$6</f>
        <v>64512.585872864</v>
      </c>
      <c r="G70" s="48">
        <f>G69*G$6</f>
        <v>75149.0845773993</v>
      </c>
      <c r="H70" s="48">
        <f>H69*H$6</f>
        <v>55700.74059992068</v>
      </c>
      <c r="I70" s="48">
        <f>I69*I$6</f>
        <v>74312.08220094918</v>
      </c>
      <c r="J70" s="48">
        <f>J69*J$6</f>
        <v>65791.5867961303</v>
      </c>
      <c r="K70" s="48">
        <f>K69*K$6</f>
        <v>42860.09354087257</v>
      </c>
      <c r="L70" s="48">
        <f>L69*L$6</f>
        <v>39411.47807645353</v>
      </c>
      <c r="M70" s="48">
        <f>M69*M$6</f>
        <v>61279.23458170337</v>
      </c>
      <c r="N70" s="48">
        <f>N69*N$6</f>
        <v>29325.262954197722</v>
      </c>
    </row>
    <row r="71">
      <c r="B71" s="22" t="inlineStr">
        <is>
          <t>Кумул. дисконт. поток</t>
        </is>
      </c>
      <c r="C71" s="24" t="inlineStr">
        <is>
          <t>тыс.руб</t>
        </is>
      </c>
      <c r="D71" s="48">
        <f>SUM($D70:D70)</f>
        <v>253930.95</v>
      </c>
      <c r="E71" s="48">
        <f>SUM($D70:E70)</f>
        <v>323514.79973984085</v>
      </c>
      <c r="F71" s="48">
        <f>SUM($D70:F70)</f>
        <v>388027.38561270485</v>
      </c>
      <c r="G71" s="48">
        <f>SUM($D70:G70)</f>
        <v>463176.47019010416</v>
      </c>
      <c r="H71" s="48">
        <f>SUM($D70:H70)</f>
        <v>518877.21079002484</v>
      </c>
      <c r="I71" s="48">
        <f>SUM($D70:I70)</f>
        <v>593189.292990974</v>
      </c>
      <c r="J71" s="48">
        <f>SUM($D70:J70)</f>
        <v>658980.8797871043</v>
      </c>
      <c r="K71" s="48">
        <f>SUM($D70:K70)</f>
        <v>701840.9733279769</v>
      </c>
      <c r="L71" s="48">
        <f>SUM($D70:L70)</f>
        <v>741252.4514044304</v>
      </c>
      <c r="M71" s="48">
        <f>SUM($D70:M70)</f>
        <v>802531.6859861338</v>
      </c>
      <c r="N71" s="48">
        <f>SUM($D70:N70)</f>
        <v>831856.9489403315</v>
      </c>
    </row>
    <row r="72">
      <c r="B72" s="38" t="inlineStr">
        <is>
          <t>Аннуитет по году</t>
        </is>
      </c>
      <c r="C72" s="24" t="inlineStr">
        <is>
          <t>руб/ткм</t>
        </is>
      </c>
      <c r="D72" s="58" t="n"/>
      <c r="E72" s="58">
        <f>SUM($D70:E70)/SUM($E$6:E$6)/(SUM($E56:E56)/E$4)</f>
        <v>32.71245962335449</v>
      </c>
      <c r="F72" s="58">
        <f>SUM($D70:F70)/SUM($E$6:F$6)/(SUM($E56:F56)/F$4)</f>
        <v>21.101524086228228</v>
      </c>
      <c r="G72" s="58">
        <f>SUM($D70:G70)/SUM($E$6:G$6)/(SUM($E56:G56)/G$4)</f>
        <v>18.0727438802043</v>
      </c>
      <c r="H72" s="58">
        <f>SUM($D70:H70)/SUM($E$6:H$6)/(SUM($E56:H56)/H$4)</f>
        <v>15.998412609677894</v>
      </c>
      <c r="I72" s="58">
        <f>SUM($D70:I70)/SUM($E$6:I$6)/(SUM($E56:I56)/I$4)</f>
        <v>15.590609948909972</v>
      </c>
      <c r="J72" s="58">
        <f>SUM($D70:J70)/SUM($E$6:J$6)/(SUM($E56:J56)/J$4)</f>
        <v>15.150543201129016</v>
      </c>
      <c r="K72" s="58">
        <f>SUM($D70:K70)/SUM($E$6:K$6)/(SUM($E56:K56)/K$4)</f>
        <v>14.601462813830306</v>
      </c>
      <c r="L72" s="58">
        <f>SUM($D70:L70)/SUM($E$6:L$6)/(SUM($E56:L56)/L$4)</f>
        <v>14.139246442639939</v>
      </c>
      <c r="M72" s="58">
        <f>SUM($D70:M70)/SUM($E$6:M$6)/(SUM($E56:M56)/M$4)</f>
        <v>14.346323191521176</v>
      </c>
      <c r="N72" s="58">
        <f>SUM($D70:N70)/SUM($E$6:N$6)/(SUM($E56:N56)/N$4)</f>
        <v>14.026170218664866</v>
      </c>
    </row>
    <row r="74">
      <c r="B74" s="5" t="str">
        <f>"Вариант 4:  "&amp;'Ввод данных'!G7</f>
        <v>Вариант 4:  TZCO TZE240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B75" s="22" t="inlineStr">
        <is>
          <t>КТГ</t>
        </is>
      </c>
      <c r="C75" s="24" t="inlineStr">
        <is>
          <t>коэф.</t>
        </is>
      </c>
      <c r="D75" s="51" t="n"/>
      <c r="E75" s="51">
        <f>'Данные по годам'!E16</f>
        <v>0.9096</v>
      </c>
      <c r="F75" s="51">
        <f>'Данные по годам'!F16</f>
        <v>0.8842</v>
      </c>
      <c r="G75" s="51">
        <f>'Данные по годам'!G16</f>
        <v>0.774</v>
      </c>
      <c r="H75" s="51">
        <f>'Данные по годам'!H16</f>
        <v>0.8842</v>
      </c>
      <c r="I75" s="51">
        <f>'Данные по годам'!I16</f>
        <v>0.9096</v>
      </c>
      <c r="J75" s="51">
        <f>'Данные по годам'!J16</f>
        <v>0.748</v>
      </c>
      <c r="K75" s="51">
        <f>'Данные по годам'!K16</f>
        <v>0.9096</v>
      </c>
      <c r="L75" s="51">
        <f>'Данные по годам'!L16</f>
        <v>0.8842</v>
      </c>
      <c r="M75" s="51">
        <f>'Данные по годам'!M16</f>
        <v>0.9096</v>
      </c>
      <c r="N75" s="51">
        <f>'Данные по годам'!N16</f>
        <v>0.8842</v>
      </c>
    </row>
    <row r="76">
      <c r="B76" s="22" t="inlineStr">
        <is>
          <t>Эффективное время</t>
        </is>
      </c>
      <c r="C76" s="24" t="inlineStr">
        <is>
          <t>час/год</t>
        </is>
      </c>
      <c r="D76" s="48" t="n"/>
      <c r="E76" s="48">
        <f>'Параметры'!C26*E75*(1-102.38/(60*'Параметры'!C27))</f>
        <v>6835.077016</v>
      </c>
      <c r="F76" s="48">
        <f>'Параметры'!C26*F75*(1-102.38/(60*'Параметры'!C27))</f>
        <v>6644.211848666667</v>
      </c>
      <c r="G76" s="48">
        <f>'Параметры'!C26*G75*(1-102.38/(60*'Параметры'!C27))</f>
        <v>5816.12754</v>
      </c>
      <c r="H76" s="48">
        <f>'Параметры'!C26*H75*(1-102.38/(60*'Параметры'!C27))</f>
        <v>6644.211848666667</v>
      </c>
      <c r="I76" s="48">
        <f>'Параметры'!C26*I75*(1-102.38/(60*'Параметры'!C27))</f>
        <v>6835.077016</v>
      </c>
      <c r="J76" s="48">
        <f>'Параметры'!C26*J75*(1-102.38/(60*'Параметры'!C27))</f>
        <v>5620.753746666666</v>
      </c>
      <c r="K76" s="48">
        <f>'Параметры'!C26*K75*(1-102.38/(60*'Параметры'!C27))</f>
        <v>6835.077016</v>
      </c>
      <c r="L76" s="48">
        <f>'Параметры'!C26*L75*(1-102.38/(60*'Параметры'!C27))</f>
        <v>6644.211848666667</v>
      </c>
      <c r="M76" s="48">
        <f>'Параметры'!C26*M75*(1-102.38/(60*'Параметры'!C27))</f>
        <v>6835.077016</v>
      </c>
      <c r="N76" s="48">
        <f>'Параметры'!C26*N75*(1-102.38/(60*'Параметры'!C27))</f>
        <v>6644.211848666667</v>
      </c>
    </row>
    <row r="77">
      <c r="B77" s="22" t="inlineStr">
        <is>
          <t>Объём перевозки</t>
        </is>
      </c>
      <c r="C77" s="24" t="inlineStr">
        <is>
          <t>тыс.т</t>
        </is>
      </c>
      <c r="D77" s="48" t="n"/>
      <c r="E77" s="48">
        <f>'Производительность'!G9*E76/1000</f>
        <v>3634.6981470768824</v>
      </c>
      <c r="F77" s="48">
        <f>'Производительность'!G9*F76/1000</f>
        <v>3533.2015189593008</v>
      </c>
      <c r="G77" s="48">
        <f>'Производительность'!G9*G76/1000</f>
        <v>3092.850006417664</v>
      </c>
      <c r="H77" s="48">
        <f>'Производительность'!G9*H76/1000</f>
        <v>3533.2015189593008</v>
      </c>
      <c r="I77" s="48">
        <f>'Производительность'!G9*I76/1000</f>
        <v>3634.6981470768824</v>
      </c>
      <c r="J77" s="48">
        <f>'Производительность'!G9*J76/1000</f>
        <v>2988.9558201555715</v>
      </c>
      <c r="K77" s="48">
        <f>'Производительность'!G9*K76/1000</f>
        <v>3634.6981470768824</v>
      </c>
      <c r="L77" s="48">
        <f>'Производительность'!G9*L76/1000</f>
        <v>3533.2015189593008</v>
      </c>
      <c r="M77" s="48">
        <f>'Производительность'!G9*M76/1000</f>
        <v>3634.6981470768824</v>
      </c>
      <c r="N77" s="48">
        <f>'Производительность'!G9*N76/1000</f>
        <v>3533.2015189593008</v>
      </c>
    </row>
    <row r="78">
      <c r="B78" s="22" t="inlineStr">
        <is>
          <t>Грузооборот</t>
        </is>
      </c>
      <c r="C78" s="24" t="inlineStr">
        <is>
          <t>тыс.ткм</t>
        </is>
      </c>
      <c r="D78" s="48" t="n"/>
      <c r="E78" s="48">
        <f>E77*'Параметры'!C28</f>
        <v>11048.028487854892</v>
      </c>
      <c r="F78" s="48">
        <f>F77*'Параметры'!C28</f>
        <v>10739.51933702869</v>
      </c>
      <c r="G78" s="48">
        <f>G77*'Параметры'!C28</f>
        <v>9401.026879507132</v>
      </c>
      <c r="H78" s="48">
        <f>H77*'Параметры'!C28</f>
        <v>10739.51933702869</v>
      </c>
      <c r="I78" s="48">
        <f>I77*'Параметры'!C28</f>
        <v>11048.028487854892</v>
      </c>
      <c r="J78" s="48">
        <f>J77*'Параметры'!C28</f>
        <v>9085.230110944874</v>
      </c>
      <c r="K78" s="48">
        <f>K77*'Параметры'!C28</f>
        <v>11048.028487854892</v>
      </c>
      <c r="L78" s="48">
        <f>L77*'Параметры'!C28</f>
        <v>10739.51933702869</v>
      </c>
      <c r="M78" s="48">
        <f>M77*'Параметры'!C28</f>
        <v>11048.028487854892</v>
      </c>
      <c r="N78" s="48">
        <f>N77*'Параметры'!C28</f>
        <v>10739.51933702869</v>
      </c>
    </row>
    <row r="79">
      <c r="B79" s="22" t="inlineStr">
        <is>
          <t>Пробег</t>
        </is>
      </c>
      <c r="C79" s="24" t="inlineStr">
        <is>
          <t>тыс.км</t>
        </is>
      </c>
      <c r="D79" s="48" t="n"/>
      <c r="E79" s="48">
        <f>'Производительность'!G8*E76*2*'Параметры'!C28/1000</f>
        <v>101.18103911647138</v>
      </c>
      <c r="F79" s="48">
        <f>'Производительность'!G8*F76*2*'Параметры'!C28/1000</f>
        <v>98.35562311651715</v>
      </c>
      <c r="G79" s="48">
        <f>'Производительность'!G8*G76*2*'Параметры'!C28/1000</f>
        <v>86.09732220332987</v>
      </c>
      <c r="H79" s="48">
        <f>'Производительность'!G8*H76*2*'Параметры'!C28/1000</f>
        <v>98.35562311651715</v>
      </c>
      <c r="I79" s="48">
        <f>'Производительность'!G8*I76*2*'Параметры'!C28/1000</f>
        <v>101.18103911647138</v>
      </c>
      <c r="J79" s="48">
        <f>'Производительность'!G8*J76*2*'Параметры'!C28/1000</f>
        <v>83.20516409314048</v>
      </c>
      <c r="K79" s="48">
        <f>'Производительность'!G8*K76*2*'Параметры'!C28/1000</f>
        <v>101.18103911647138</v>
      </c>
      <c r="L79" s="48">
        <f>'Производительность'!G8*L76*2*'Параметры'!C28/1000</f>
        <v>98.35562311651715</v>
      </c>
      <c r="M79" s="48">
        <f>'Производительность'!G8*M76*2*'Параметры'!C28/1000</f>
        <v>101.18103911647138</v>
      </c>
      <c r="N79" s="48">
        <f>'Производительность'!G8*N76*2*'Параметры'!C28/1000</f>
        <v>98.35562311651715</v>
      </c>
    </row>
    <row r="80">
      <c r="B80" s="22" t="inlineStr">
        <is>
          <t>Топливо</t>
        </is>
      </c>
      <c r="C80" s="24" t="inlineStr">
        <is>
          <t>тыс.руб</t>
        </is>
      </c>
      <c r="D80" s="48" t="n"/>
      <c r="E80" s="48">
        <f>E78*'Параметры'!C32/1000*'Параметры'!C10*(1+'Параметры'!C14)^(E$4-1)</f>
        <v>65644.1813465723</v>
      </c>
      <c r="F80" s="48">
        <f>F78*'Параметры'!C32/1000*'Параметры'!C10*(1+'Параметры'!C14)^(F$4-1)</f>
        <v>63811.10944001675</v>
      </c>
      <c r="G80" s="48">
        <f>G78*'Параметры'!C32/1000*'Параметры'!C10*(1+'Параметры'!C14)^(G$4-1)</f>
        <v>55858.17542023632</v>
      </c>
      <c r="H80" s="48">
        <f>H78*'Параметры'!C32/1000*'Параметры'!C10*(1+'Параметры'!C14)^(H$4-1)</f>
        <v>63811.10944001675</v>
      </c>
      <c r="I80" s="48">
        <f>I78*'Параметры'!C32/1000*'Параметры'!C10*(1+'Параметры'!C14)^(I$4-1)</f>
        <v>65644.1813465723</v>
      </c>
      <c r="J80" s="48">
        <f>J78*'Параметры'!C32/1000*'Параметры'!C10*(1+'Параметры'!C14)^(J$4-1)</f>
        <v>53981.80260250227</v>
      </c>
      <c r="K80" s="48">
        <f>K78*'Параметры'!C32/1000*'Параметры'!C10*(1+'Параметры'!C14)^(K$4-1)</f>
        <v>65644.1813465723</v>
      </c>
      <c r="L80" s="48">
        <f>L78*'Параметры'!C32/1000*'Параметры'!C10*(1+'Параметры'!C14)^(L$4-1)</f>
        <v>63811.10944001675</v>
      </c>
      <c r="M80" s="48">
        <f>M78*'Параметры'!C32/1000*'Параметры'!C10*(1+'Параметры'!C14)^(M$4-1)</f>
        <v>65644.1813465723</v>
      </c>
      <c r="N80" s="48">
        <f>N78*'Параметры'!C32/1000*'Параметры'!C10*(1+'Параметры'!C14)^(N$4-1)</f>
        <v>63811.10944001675</v>
      </c>
    </row>
    <row r="81">
      <c r="B81" s="22" t="inlineStr">
        <is>
          <t>ТОиР и сервис (по годам)</t>
        </is>
      </c>
      <c r="C81" s="24" t="inlineStr">
        <is>
          <t>тыс.руб</t>
        </is>
      </c>
      <c r="D81" s="48" t="n"/>
      <c r="E81" s="48">
        <f>'Данные по годам'!E17*IF('Данные по годам'!$D$17="CNY",'Параметры'!C20,IF('Данные по годам'!$D$17="USD",'Параметры'!C21,IF('Данные по годам'!$D$17="EUR",'Параметры'!C22,1)))</f>
        <v>28152.101796000006</v>
      </c>
      <c r="F81" s="48">
        <f>'Данные по годам'!F17*IF('Данные по годам'!$D$17="CNY",'Параметры'!C20,IF('Данные по годам'!$D$17="USD",'Параметры'!C21,IF('Данные по годам'!$D$17="EUR",'Параметры'!C22,1)))</f>
        <v>59210.3962905</v>
      </c>
      <c r="G81" s="48">
        <f>'Данные по годам'!G17*IF('Данные по годам'!$D$17="CNY",'Параметры'!C20,IF('Данные по годам'!$D$17="USD",'Параметры'!C21,IF('Данные по годам'!$D$17="EUR",'Параметры'!C22,1)))</f>
        <v>176924.414394</v>
      </c>
      <c r="H81" s="48">
        <f>'Данные по годам'!H17*IF('Данные по годам'!$D$17="CNY",'Параметры'!C20,IF('Данные по годам'!$D$17="USD",'Параметры'!C21,IF('Данные по годам'!$D$17="EUR",'Параметры'!C22,1)))</f>
        <v>59210.3962905</v>
      </c>
      <c r="I81" s="48">
        <f>'Данные по годам'!I17*IF('Данные по годам'!$D$17="CNY",'Параметры'!C20,IF('Данные по годам'!$D$17="USD",'Параметры'!C21,IF('Данные по годам'!$D$17="EUR",'Параметры'!C22,1)))</f>
        <v>28152.101796000006</v>
      </c>
      <c r="J81" s="48">
        <f>'Данные по годам'!J17*IF('Данные по годам'!$D$17="CNY",'Параметры'!C20,IF('Данные по годам'!$D$17="USD",'Параметры'!C21,IF('Данные по годам'!$D$17="EUR",'Параметры'!C22,1)))</f>
        <v>207982.61484000002</v>
      </c>
      <c r="K81" s="48">
        <f>'Данные по годам'!K17*IF('Данные по годам'!$D$17="CNY",'Параметры'!C20,IF('Данные по годам'!$D$17="USD",'Параметры'!C21,IF('Данные по годам'!$D$17="EUR",'Параметры'!C22,1)))</f>
        <v>28152.101796000006</v>
      </c>
      <c r="L81" s="48">
        <f>'Данные по годам'!L17*IF('Данные по годам'!$D$17="CNY",'Параметры'!C20,IF('Данные по годам'!$D$17="USD",'Параметры'!C21,IF('Данные по годам'!$D$17="EUR",'Параметры'!C22,1)))</f>
        <v>59210.3962905</v>
      </c>
      <c r="M81" s="48">
        <f>'Данные по годам'!M17*IF('Данные по годам'!$D$17="CNY",'Параметры'!C20,IF('Данные по годам'!$D$17="USD",'Параметры'!C21,IF('Данные по годам'!$D$17="EUR",'Параметры'!C22,1)))</f>
        <v>28152.101796000006</v>
      </c>
      <c r="N81" s="48">
        <f>'Данные по годам'!N17*IF('Данные по годам'!$D$17="CNY",'Параметры'!C20,IF('Данные по годам'!$D$17="USD",'Параметры'!C21,IF('Данные по годам'!$D$17="EUR",'Параметры'!C22,1)))</f>
        <v>59210.3962905</v>
      </c>
    </row>
    <row r="82">
      <c r="B82" s="22" t="inlineStr">
        <is>
          <t>Шины</t>
        </is>
      </c>
      <c r="C82" s="24" t="inlineStr">
        <is>
          <t>тыс.руб</t>
        </is>
      </c>
      <c r="D82" s="48" t="n"/>
      <c r="E82" s="48">
        <f>E79*'Параметры'!C36*'Параметры'!C37*(1+'Параметры'!C15)^(E$4-1)</f>
        <v>22654.788791814848</v>
      </c>
      <c r="F82" s="48">
        <f>F79*'Параметры'!C36*'Параметры'!C37*(1+'Параметры'!C15)^(F$4-1)</f>
        <v>22022.168260469098</v>
      </c>
      <c r="G82" s="48">
        <f>G79*'Параметры'!C36*'Параметры'!C37*(1+'Параметры'!C15)^(G$4-1)</f>
        <v>19277.49178195327</v>
      </c>
      <c r="H82" s="48">
        <f>H79*'Параметры'!C36*'Параметры'!C37*(1+'Параметры'!C15)^(H$4-1)</f>
        <v>22022.168260469098</v>
      </c>
      <c r="I82" s="48">
        <f>I79*'Параметры'!C36*'Параметры'!C37*(1+'Параметры'!C15)^(I$4-1)</f>
        <v>22654.788791814848</v>
      </c>
      <c r="J82" s="48">
        <f>J79*'Параметры'!C36*'Параметры'!C37*(1+'Параметры'!C15)^(J$4-1)</f>
        <v>18629.92745852848</v>
      </c>
      <c r="K82" s="48">
        <f>K79*'Параметры'!C36*'Параметры'!C37*(1+'Параметры'!C15)^(K$4-1)</f>
        <v>22654.788791814848</v>
      </c>
      <c r="L82" s="48">
        <f>L79*'Параметры'!C36*'Параметры'!C37*(1+'Параметры'!C15)^(L$4-1)</f>
        <v>22022.168260469098</v>
      </c>
      <c r="M82" s="48">
        <f>M79*'Параметры'!C36*'Параметры'!C37*(1+'Параметры'!C15)^(M$4-1)</f>
        <v>22654.788791814848</v>
      </c>
      <c r="N82" s="48">
        <f>N79*'Параметры'!C36*'Параметры'!C37*(1+'Параметры'!C15)^(N$4-1)</f>
        <v>22022.168260469098</v>
      </c>
    </row>
    <row r="83">
      <c r="B83" s="22" t="inlineStr">
        <is>
          <t>Персонал</t>
        </is>
      </c>
      <c r="C83" s="24" t="inlineStr">
        <is>
          <t>тыс.руб</t>
        </is>
      </c>
      <c r="D83" s="48" t="n"/>
      <c r="E83" s="48">
        <f>'Ввод данных'!G18*(1+'Параметры'!C16)^(E$4-1)</f>
        <v>18475.6</v>
      </c>
      <c r="F83" s="48">
        <f>'Ввод данных'!G18*(1+'Параметры'!C16)^(F$4-1)</f>
        <v>18475.6</v>
      </c>
      <c r="G83" s="48">
        <f>'Ввод данных'!G18*(1+'Параметры'!C16)^(G$4-1)</f>
        <v>18475.6</v>
      </c>
      <c r="H83" s="48">
        <f>'Ввод данных'!G18*(1+'Параметры'!C16)^(H$4-1)</f>
        <v>18475.6</v>
      </c>
      <c r="I83" s="48">
        <f>'Ввод данных'!G18*(1+'Параметры'!C16)^(I$4-1)</f>
        <v>18475.6</v>
      </c>
      <c r="J83" s="48">
        <f>'Ввод данных'!G18*(1+'Параметры'!C16)^(J$4-1)</f>
        <v>18475.6</v>
      </c>
      <c r="K83" s="48">
        <f>'Ввод данных'!G18*(1+'Параметры'!C16)^(K$4-1)</f>
        <v>18475.6</v>
      </c>
      <c r="L83" s="48">
        <f>'Ввод данных'!G18*(1+'Параметры'!C16)^(L$4-1)</f>
        <v>18475.6</v>
      </c>
      <c r="M83" s="48">
        <f>'Ввод данных'!G18*(1+'Параметры'!C16)^(M$4-1)</f>
        <v>18475.6</v>
      </c>
      <c r="N83" s="48">
        <f>'Ввод данных'!G18*(1+'Параметры'!C16)^(N$4-1)</f>
        <v>18475.6</v>
      </c>
    </row>
    <row r="84">
      <c r="B84" s="22" t="inlineStr">
        <is>
          <t>Транспортный налог</t>
        </is>
      </c>
      <c r="C84" s="24" t="inlineStr">
        <is>
          <t>тыс.руб</t>
        </is>
      </c>
      <c r="D84" s="48" t="n"/>
      <c r="E84" s="48">
        <f>'Ввод данных'!G19*'Параметры'!C41/1000</f>
        <v>212.5</v>
      </c>
      <c r="F84" s="48">
        <f>'Ввод данных'!G19*'Параметры'!C41/1000</f>
        <v>212.5</v>
      </c>
      <c r="G84" s="48">
        <f>'Ввод данных'!G19*'Параметры'!C41/1000</f>
        <v>212.5</v>
      </c>
      <c r="H84" s="48">
        <f>'Ввод данных'!G19*'Параметры'!C41/1000</f>
        <v>212.5</v>
      </c>
      <c r="I84" s="48">
        <f>'Ввод данных'!G19*'Параметры'!C41/1000</f>
        <v>212.5</v>
      </c>
      <c r="J84" s="48">
        <f>'Ввод данных'!G19*'Параметры'!C41/1000</f>
        <v>212.5</v>
      </c>
      <c r="K84" s="48">
        <f>'Ввод данных'!G19*'Параметры'!C41/1000</f>
        <v>212.5</v>
      </c>
      <c r="L84" s="48">
        <f>'Ввод данных'!G19*'Параметры'!C41/1000</f>
        <v>212.5</v>
      </c>
      <c r="M84" s="48">
        <f>'Ввод данных'!G19*'Параметры'!C41/1000</f>
        <v>212.5</v>
      </c>
      <c r="N84" s="48">
        <f>'Ввод данных'!G19*'Параметры'!C41/1000</f>
        <v>212.5</v>
      </c>
    </row>
    <row r="85">
      <c r="B85" s="22" t="inlineStr">
        <is>
          <t>Итого денежные затраты</t>
        </is>
      </c>
      <c r="C85" s="24" t="inlineStr">
        <is>
          <t>тыс.руб</t>
        </is>
      </c>
      <c r="D85" s="48" t="n"/>
      <c r="E85" s="57">
        <f>E80+E81+E82+E83+E84</f>
        <v>135139.17193438715</v>
      </c>
      <c r="F85" s="57">
        <f>F80+F81+F82+F83+F84</f>
        <v>163731.77399098585</v>
      </c>
      <c r="G85" s="57">
        <f>G80+G81+G82+G83+G84</f>
        <v>270748.18159618956</v>
      </c>
      <c r="H85" s="57">
        <f>H80+H81+H82+H83+H84</f>
        <v>163731.77399098585</v>
      </c>
      <c r="I85" s="57">
        <f>I80+I81+I82+I83+I84</f>
        <v>135139.17193438715</v>
      </c>
      <c r="J85" s="57">
        <f>J80+J81+J82+J83+J84</f>
        <v>299282.44490103074</v>
      </c>
      <c r="K85" s="57">
        <f>K80+K81+K82+K83+K84</f>
        <v>135139.17193438715</v>
      </c>
      <c r="L85" s="57">
        <f>L80+L81+L82+L83+L84</f>
        <v>163731.77399098585</v>
      </c>
      <c r="M85" s="57">
        <f>M80+M81+M82+M83+M84</f>
        <v>135139.17193438715</v>
      </c>
      <c r="N85" s="57">
        <f>N80+N81+N82+N83+N84</f>
        <v>163731.77399098585</v>
      </c>
    </row>
    <row r="86">
      <c r="B86" s="22" t="inlineStr">
        <is>
          <t>Амортизация (НУ)</t>
        </is>
      </c>
      <c r="C86" s="24" t="inlineStr">
        <is>
          <t>тыс.руб</t>
        </is>
      </c>
      <c r="D86" s="48" t="n"/>
      <c r="E86" s="48">
        <f>IF(E$4&lt;=INT('Параметры'!C9),'Производительность'!G5/'Параметры'!C9,IF(E$4=INT('Параметры'!C9)+1,'Производительность'!G5*('Параметры'!C9-INT('Параметры'!C9))/'Параметры'!C9,0))</f>
        <v>49956.90537084399</v>
      </c>
      <c r="F86" s="48">
        <f>IF(F$4&lt;=INT('Параметры'!C9),'Производительность'!G5/'Параметры'!C9,IF(F$4=INT('Параметры'!C9)+1,'Производительность'!G5*('Параметры'!C9-INT('Параметры'!C9))/'Параметры'!C9,0))</f>
        <v>49956.90537084399</v>
      </c>
      <c r="G86" s="48">
        <f>IF(G$4&lt;=INT('Параметры'!C9),'Производительность'!G5/'Параметры'!C9,IF(G$4=INT('Параметры'!C9)+1,'Производительность'!G5*('Параметры'!C9-INT('Параметры'!C9))/'Параметры'!C9,0))</f>
        <v>49956.90537084399</v>
      </c>
      <c r="H86" s="48">
        <f>IF(H$4&lt;=INT('Параметры'!C9),'Производительность'!G5/'Параметры'!C9,IF(H$4=INT('Параметры'!C9)+1,'Производительность'!G5*('Параметры'!C9-INT('Параметры'!C9))/'Параметры'!C9,0))</f>
        <v>49956.90537084399</v>
      </c>
      <c r="I86" s="48">
        <f>IF(I$4&lt;=INT('Параметры'!C9),'Производительность'!G5/'Параметры'!C9,IF(I$4=INT('Параметры'!C9)+1,'Производительность'!G5*('Параметры'!C9-INT('Параметры'!C9))/'Параметры'!C9,0))</f>
        <v>49956.90537084399</v>
      </c>
      <c r="J86" s="48">
        <f>IF(J$4&lt;=INT('Параметры'!C9),'Производительность'!G5/'Параметры'!C9,IF(J$4=INT('Параметры'!C9)+1,'Производительность'!G5*('Параметры'!C9-INT('Параметры'!C9))/'Параметры'!C9,0))</f>
        <v>4146.423145780061</v>
      </c>
      <c r="K86" s="48">
        <f>IF(K$4&lt;=INT('Параметры'!C9),'Производительность'!G5/'Параметры'!C9,IF(K$4=INT('Параметры'!C9)+1,'Производительность'!G5*('Параметры'!C9-INT('Параметры'!C9))/'Параметры'!C9,0))</f>
        <v>0.0</v>
      </c>
      <c r="L86" s="48">
        <f>IF(L$4&lt;=INT('Параметры'!C9),'Производительность'!G5/'Параметры'!C9,IF(L$4=INT('Параметры'!C9)+1,'Производительность'!G5*('Параметры'!C9-INT('Параметры'!C9))/'Параметры'!C9,0))</f>
        <v>0.0</v>
      </c>
      <c r="M86" s="48">
        <f>IF(M$4&lt;=INT('Параметры'!C9),'Производительность'!G5/'Параметры'!C9,IF(M$4=INT('Параметры'!C9)+1,'Производительность'!G5*('Параметры'!C9-INT('Параметры'!C9))/'Параметры'!C9,0))</f>
        <v>0.0</v>
      </c>
      <c r="N86" s="48">
        <f>IF(N$4&lt;=INT('Параметры'!C9),'Производительность'!G5/'Параметры'!C9,IF(N$4=INT('Параметры'!C9)+1,'Производительность'!G5*('Параметры'!C9-INT('Параметры'!C9))/'Параметры'!C9,0))</f>
        <v>0.0</v>
      </c>
    </row>
    <row r="87">
      <c r="B87" s="22" t="inlineStr">
        <is>
          <t>Налогооблагаемая база</t>
        </is>
      </c>
      <c r="C87" s="24" t="inlineStr">
        <is>
          <t>тыс.руб</t>
        </is>
      </c>
      <c r="D87" s="48" t="n"/>
      <c r="E87" s="48">
        <f>E85+E86</f>
        <v>185096.07730523113</v>
      </c>
      <c r="F87" s="48">
        <f>F85+F86</f>
        <v>213688.67936182983</v>
      </c>
      <c r="G87" s="48">
        <f>G85+G86</f>
        <v>320705.08696703357</v>
      </c>
      <c r="H87" s="48">
        <f>H85+H86</f>
        <v>213688.67936182983</v>
      </c>
      <c r="I87" s="48">
        <f>I85+I86</f>
        <v>185096.07730523113</v>
      </c>
      <c r="J87" s="48">
        <f>J85+J86</f>
        <v>303428.8680468108</v>
      </c>
      <c r="K87" s="48">
        <f>K85+K86</f>
        <v>135139.17193438715</v>
      </c>
      <c r="L87" s="48">
        <f>L85+L86</f>
        <v>163731.77399098585</v>
      </c>
      <c r="M87" s="48">
        <f>M85+M86</f>
        <v>135139.17193438715</v>
      </c>
      <c r="N87" s="48">
        <f>N85+N86</f>
        <v>163731.77399098585</v>
      </c>
    </row>
    <row r="88">
      <c r="B88" s="22" t="inlineStr">
        <is>
          <t>Налог на прибыль (щит)</t>
        </is>
      </c>
      <c r="C88" s="24" t="inlineStr">
        <is>
          <t>тыс.руб</t>
        </is>
      </c>
      <c r="D88" s="48" t="n"/>
      <c r="E88" s="48">
        <f>-E87*'Параметры'!C7</f>
        <v>-46274.01932630778</v>
      </c>
      <c r="F88" s="48">
        <f>-F87*'Параметры'!C7</f>
        <v>-53422.169840457456</v>
      </c>
      <c r="G88" s="48">
        <f>-G87*'Параметры'!C7</f>
        <v>-80176.27174175839</v>
      </c>
      <c r="H88" s="48">
        <f>-H87*'Параметры'!C7</f>
        <v>-53422.169840457456</v>
      </c>
      <c r="I88" s="48">
        <f>-I87*'Параметры'!C7</f>
        <v>-46274.01932630778</v>
      </c>
      <c r="J88" s="48">
        <f>-J87*'Параметры'!C7</f>
        <v>-75857.2170117027</v>
      </c>
      <c r="K88" s="48">
        <f>-K87*'Параметры'!C7</f>
        <v>-33784.79298359679</v>
      </c>
      <c r="L88" s="48">
        <f>-L87*'Параметры'!C7</f>
        <v>-40932.94349774646</v>
      </c>
      <c r="M88" s="48">
        <f>-M87*'Параметры'!C7</f>
        <v>-33784.79298359679</v>
      </c>
      <c r="N88" s="48">
        <f>-N87*'Параметры'!C7</f>
        <v>-40932.94349774646</v>
      </c>
    </row>
    <row r="89">
      <c r="B89" s="22" t="inlineStr">
        <is>
          <t>Операц. денежный поток</t>
        </is>
      </c>
      <c r="C89" s="24" t="inlineStr">
        <is>
          <t>тыс.руб</t>
        </is>
      </c>
      <c r="D89" s="48" t="n"/>
      <c r="E89" s="57">
        <f>E87+E88-E86</f>
        <v>88865.15260807936</v>
      </c>
      <c r="F89" s="57">
        <f>F87+F88-F86</f>
        <v>110309.6041505284</v>
      </c>
      <c r="G89" s="57">
        <f>G87+G88-G86</f>
        <v>190571.90985443117</v>
      </c>
      <c r="H89" s="57">
        <f>H87+H88-H86</f>
        <v>110309.6041505284</v>
      </c>
      <c r="I89" s="57">
        <f>I87+I88-I86</f>
        <v>88865.15260807936</v>
      </c>
      <c r="J89" s="57">
        <f>J87+J88-J86</f>
        <v>223425.22788932803</v>
      </c>
      <c r="K89" s="57">
        <f>K87+K88-K86</f>
        <v>101354.37895079036</v>
      </c>
      <c r="L89" s="57">
        <f>L87+L88-L86</f>
        <v>122798.8304932394</v>
      </c>
      <c r="M89" s="57">
        <f>M87+M88-M86</f>
        <v>101354.37895079036</v>
      </c>
      <c r="N89" s="57">
        <f>N87+N88-N86</f>
        <v>122798.8304932394</v>
      </c>
    </row>
    <row r="90">
      <c r="B90" s="22" t="inlineStr">
        <is>
          <t>Инвестиции / остаточная ст-ть</t>
        </is>
      </c>
      <c r="C90" s="24" t="inlineStr">
        <is>
          <t>тыс.руб</t>
        </is>
      </c>
      <c r="D90" s="48">
        <f>IF(D$4=0,'Производительность'!G5,IF(D$4='Параметры'!C8,-'Ввод данных'!G14*'Производительность'!G5,0))</f>
        <v>253930.95</v>
      </c>
      <c r="E90" s="48">
        <f>IF(E$4=0,'Производительность'!G5,IF(E$4='Параметры'!C8,-'Ввод данных'!G14*'Производительность'!G5,0))</f>
        <v>0.0</v>
      </c>
      <c r="F90" s="48">
        <f>IF(F$4=0,'Производительность'!G5,IF(F$4='Параметры'!C8,-'Ввод данных'!G14*'Производительность'!G5,0))</f>
        <v>0.0</v>
      </c>
      <c r="G90" s="48">
        <f>IF(G$4=0,'Производительность'!G5,IF(G$4='Параметры'!C8,-'Ввод данных'!G14*'Производительность'!G5,0))</f>
        <v>0.0</v>
      </c>
      <c r="H90" s="48">
        <f>IF(H$4=0,'Производительность'!G5,IF(H$4='Параметры'!C8,-'Ввод данных'!G14*'Производительность'!G5,0))</f>
        <v>0.0</v>
      </c>
      <c r="I90" s="48">
        <f>IF(I$4=0,'Производительность'!G5,IF(I$4='Параметры'!C8,-'Ввод данных'!G14*'Производительность'!G5,0))</f>
        <v>0.0</v>
      </c>
      <c r="J90" s="48">
        <f>IF(J$4=0,'Производительность'!G5,IF(J$4='Параметры'!C8,-'Ввод данных'!G14*'Производительность'!G5,0))</f>
        <v>0.0</v>
      </c>
      <c r="K90" s="48">
        <f>IF(K$4=0,'Производительность'!G5,IF(K$4='Параметры'!C8,-'Ввод данных'!G14*'Производительность'!G5,0))</f>
        <v>0.0</v>
      </c>
      <c r="L90" s="48">
        <f>IF(L$4=0,'Производительность'!G5,IF(L$4='Параметры'!C8,-'Ввод данных'!G14*'Производительность'!G5,0))</f>
        <v>0.0</v>
      </c>
      <c r="M90" s="48">
        <f>IF(M$4=0,'Производительность'!G5,IF(M$4='Параметры'!C8,-'Ввод данных'!G14*'Производительность'!G5,0))</f>
        <v>0.0</v>
      </c>
      <c r="N90" s="48">
        <f>IF(N$4=0,'Производительность'!G5,IF(N$4='Параметры'!C8,-'Ввод данных'!G14*'Производительность'!G5,0))</f>
        <v>-0.0</v>
      </c>
    </row>
    <row r="91">
      <c r="B91" s="22" t="inlineStr">
        <is>
          <t>Чистый денежный поток</t>
        </is>
      </c>
      <c r="C91" s="24" t="inlineStr">
        <is>
          <t>тыс.руб</t>
        </is>
      </c>
      <c r="D91" s="57">
        <f>0+D90</f>
        <v>253930.95</v>
      </c>
      <c r="E91" s="57">
        <f>E89+E90</f>
        <v>88865.15260807936</v>
      </c>
      <c r="F91" s="57">
        <f>F89+F90</f>
        <v>110309.6041505284</v>
      </c>
      <c r="G91" s="57">
        <f>G89+G90</f>
        <v>190571.90985443117</v>
      </c>
      <c r="H91" s="57">
        <f>H89+H90</f>
        <v>110309.6041505284</v>
      </c>
      <c r="I91" s="57">
        <f>I89+I90</f>
        <v>88865.15260807936</v>
      </c>
      <c r="J91" s="57">
        <f>J89+J90</f>
        <v>223425.22788932803</v>
      </c>
      <c r="K91" s="57">
        <f>K89+K90</f>
        <v>101354.37895079036</v>
      </c>
      <c r="L91" s="57">
        <f>L89+L90</f>
        <v>122798.8304932394</v>
      </c>
      <c r="M91" s="57">
        <f>M89+M90</f>
        <v>101354.37895079036</v>
      </c>
      <c r="N91" s="57">
        <f>N89+N90</f>
        <v>122798.8304932394</v>
      </c>
    </row>
    <row r="92">
      <c r="B92" s="22" t="inlineStr">
        <is>
          <t>Дисконтированный поток</t>
        </is>
      </c>
      <c r="C92" s="24" t="inlineStr">
        <is>
          <t>тыс.руб</t>
        </is>
      </c>
      <c r="D92" s="48">
        <f>D91*D$6</f>
        <v>253930.95</v>
      </c>
      <c r="E92" s="48">
        <f>E91*E$6</f>
        <v>79343.8862572137</v>
      </c>
      <c r="F92" s="48">
        <f>F91*F$6</f>
        <v>87938.14106387786</v>
      </c>
      <c r="G92" s="48">
        <f>G91*G$6</f>
        <v>135645.32122246202</v>
      </c>
      <c r="H92" s="48">
        <f>H91*H$6</f>
        <v>70103.74765934139</v>
      </c>
      <c r="I92" s="48">
        <f>I91*I$6</f>
        <v>50424.47412735594</v>
      </c>
      <c r="J92" s="48">
        <f>J91*J$6</f>
        <v>113194.1737048686</v>
      </c>
      <c r="K92" s="48">
        <f>K91*K$6</f>
        <v>45847.57378934816</v>
      </c>
      <c r="L92" s="48">
        <f>L91*L$6</f>
        <v>49596.3880517009</v>
      </c>
      <c r="M92" s="48">
        <f>M91*M$6</f>
        <v>36549.405125436984</v>
      </c>
      <c r="N92" s="48">
        <f>N91*N$6</f>
        <v>39537.93690346053</v>
      </c>
    </row>
    <row r="93">
      <c r="B93" s="22" t="inlineStr">
        <is>
          <t>Кумул. дисконт. поток</t>
        </is>
      </c>
      <c r="C93" s="24" t="inlineStr">
        <is>
          <t>тыс.руб</t>
        </is>
      </c>
      <c r="D93" s="48">
        <f>SUM($D92:D92)</f>
        <v>253930.95</v>
      </c>
      <c r="E93" s="48">
        <f>SUM($D92:E92)</f>
        <v>333274.8362572137</v>
      </c>
      <c r="F93" s="48">
        <f>SUM($D92:F92)</f>
        <v>421212.9773210916</v>
      </c>
      <c r="G93" s="48">
        <f>SUM($D92:G92)</f>
        <v>556858.2985435536</v>
      </c>
      <c r="H93" s="48">
        <f>SUM($D92:H92)</f>
        <v>626962.046202895</v>
      </c>
      <c r="I93" s="48">
        <f>SUM($D92:I92)</f>
        <v>677386.520330251</v>
      </c>
      <c r="J93" s="48">
        <f>SUM($D92:J92)</f>
        <v>790580.6940351196</v>
      </c>
      <c r="K93" s="48">
        <f>SUM($D92:K92)</f>
        <v>836428.2678244677</v>
      </c>
      <c r="L93" s="48">
        <f>SUM($D92:L92)</f>
        <v>886024.6558761686</v>
      </c>
      <c r="M93" s="48">
        <f>SUM($D92:M92)</f>
        <v>922574.0610016056</v>
      </c>
      <c r="N93" s="48">
        <f>SUM($D92:N92)</f>
        <v>962111.9979050661</v>
      </c>
    </row>
    <row r="94">
      <c r="B94" s="38" t="inlineStr">
        <is>
          <t>Аннуитет по году</t>
        </is>
      </c>
      <c r="C94" s="24" t="inlineStr">
        <is>
          <t>руб/ткм</t>
        </is>
      </c>
      <c r="D94" s="58" t="n"/>
      <c r="E94" s="58">
        <f>SUM($D92:E92)/SUM($E$6:E$6)/(SUM($E78:E78)/E$4)</f>
        <v>33.785920901490535</v>
      </c>
      <c r="F94" s="58">
        <f>SUM($D92:F92)/SUM($E$6:F$6)/(SUM($E78:F78)/F$4)</f>
        <v>22.878290475147125</v>
      </c>
      <c r="G94" s="58">
        <f>SUM($D92:G92)/SUM($E$6:G$6)/(SUM($E78:G78)/G$4)</f>
        <v>22.301184370769345</v>
      </c>
      <c r="H94" s="58">
        <f>SUM($D92:H92)/SUM($E$6:H$6)/(SUM($E78:H78)/H$4)</f>
        <v>19.692523648965196</v>
      </c>
      <c r="I94" s="58">
        <f>SUM($D92:I92)/SUM($E$6:I$6)/(SUM($E78:I78)/I$4)</f>
        <v>17.735689595010925</v>
      </c>
      <c r="J94" s="58">
        <f>SUM($D92:J92)/SUM($E$6:J$6)/(SUM($E78:J78)/J$4)</f>
        <v>18.590270669162297</v>
      </c>
      <c r="K94" s="58">
        <f>SUM($D92:K92)/SUM($E$6:K$6)/(SUM($E78:K78)/K$4)</f>
        <v>17.54814304582712</v>
      </c>
      <c r="L94" s="58">
        <f>SUM($D92:L92)/SUM($E$6:L$6)/(SUM($E78:L78)/L$4)</f>
        <v>17.017208790407835</v>
      </c>
      <c r="M94" s="58">
        <f>SUM($D92:M92)/SUM($E$6:M$6)/(SUM($E78:M78)/M$4)</f>
        <v>16.421280312833268</v>
      </c>
      <c r="N94" s="58">
        <f>SUM($D92:N92)/SUM($E$6:N$6)/(SUM($E78:N78)/N$4)</f>
        <v>16.119302620810206</v>
      </c>
    </row>
    <row r="96">
      <c r="B96" s="5" t="str">
        <f>"Вариант 5:  "&amp;'Ввод данных'!H7</f>
        <v>Вариант 5:  БелАЗ 7531
(ГПФК)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B97" s="22" t="inlineStr">
        <is>
          <t>КТГ</t>
        </is>
      </c>
      <c r="C97" s="24" t="inlineStr">
        <is>
          <t>коэф.</t>
        </is>
      </c>
      <c r="D97" s="51" t="n"/>
      <c r="E97" s="51">
        <f>'Данные по годам'!E19</f>
        <v>0.9083</v>
      </c>
      <c r="F97" s="51">
        <f>'Данные по годам'!F19</f>
        <v>0.8858</v>
      </c>
      <c r="G97" s="51">
        <f>'Данные по годам'!G19</f>
        <v>0.8646</v>
      </c>
      <c r="H97" s="51">
        <f>'Данные по годам'!H19</f>
        <v>0.8748</v>
      </c>
      <c r="I97" s="51">
        <f>'Данные по годам'!I19</f>
        <v>0.8813</v>
      </c>
      <c r="J97" s="51">
        <f>'Данные по годам'!J19</f>
        <v>0.8464</v>
      </c>
      <c r="K97" s="51">
        <f>'Данные по годам'!K19</f>
        <v>0.8971</v>
      </c>
      <c r="L97" s="51">
        <f>'Данные по годам'!L19</f>
        <v>0.8546</v>
      </c>
      <c r="M97" s="51">
        <f>'Данные по годам'!M19</f>
        <v>0.842</v>
      </c>
      <c r="N97" s="51">
        <f>'Данные по годам'!N19</f>
        <v>0.8611</v>
      </c>
    </row>
    <row r="98">
      <c r="B98" s="22" t="inlineStr">
        <is>
          <t>Эффективное время</t>
        </is>
      </c>
      <c r="C98" s="24" t="inlineStr">
        <is>
          <t>час/год</t>
        </is>
      </c>
      <c r="D98" s="48" t="n"/>
      <c r="E98" s="48">
        <f>'Параметры'!C26*E97*(1-102.38/(60*'Параметры'!C27))</f>
        <v>6825.308326333334</v>
      </c>
      <c r="F98" s="48">
        <f>'Параметры'!C26*F97*(1-102.38/(60*'Параметры'!C27))</f>
        <v>6656.234851333334</v>
      </c>
      <c r="G98" s="48">
        <f>'Параметры'!C26*G97*(1-102.38/(60*'Параметры'!C27))</f>
        <v>6496.930066000001</v>
      </c>
      <c r="H98" s="48">
        <f>'Параметры'!C26*H97*(1-102.38/(60*'Параметры'!C27))</f>
        <v>6573.5767080000005</v>
      </c>
      <c r="I98" s="48">
        <f>'Параметры'!C26*I97*(1-102.38/(60*'Параметры'!C27))</f>
        <v>6622.420156333334</v>
      </c>
      <c r="J98" s="48">
        <f>'Параметры'!C26*J97*(1-102.38/(60*'Параметры'!C27))</f>
        <v>6360.168410666667</v>
      </c>
      <c r="K98" s="48">
        <f>'Параметры'!C26*K97*(1-102.38/(60*'Параметры'!C27))</f>
        <v>6741.147307666667</v>
      </c>
      <c r="L98" s="48">
        <f>'Параметры'!C26*L97*(1-102.38/(60*'Параметры'!C27))</f>
        <v>6421.786299333334</v>
      </c>
      <c r="M98" s="48">
        <f>'Параметры'!C26*M97*(1-102.38/(60*'Параметры'!C27))</f>
        <v>6327.105153333334</v>
      </c>
      <c r="N98" s="48">
        <f>'Параметры'!C26*N97*(1-102.38/(60*'Параметры'!C27))</f>
        <v>6470.629747666667</v>
      </c>
    </row>
    <row r="99">
      <c r="B99" s="22" t="inlineStr">
        <is>
          <t>Объём перевозки</t>
        </is>
      </c>
      <c r="C99" s="24" t="inlineStr">
        <is>
          <t>тыс.т</t>
        </is>
      </c>
      <c r="D99" s="48" t="n"/>
      <c r="E99" s="48">
        <f>'Производительность'!H9*E98/1000</f>
        <v>3776.6454690244714</v>
      </c>
      <c r="F99" s="48">
        <f>'Производительность'!H9*F98/1000</f>
        <v>3683.0921022370107</v>
      </c>
      <c r="G99" s="48">
        <f>'Производительность'!H9*G98/1000</f>
        <v>3594.9440410861594</v>
      </c>
      <c r="H99" s="48">
        <f>'Производительность'!H9*H98/1000</f>
        <v>3637.3549006964745</v>
      </c>
      <c r="I99" s="48">
        <f>'Производительность'!H9*I98/1000</f>
        <v>3664.3814288795184</v>
      </c>
      <c r="J99" s="48">
        <f>'Производительность'!H9*J98/1000</f>
        <v>3519.269762173635</v>
      </c>
      <c r="K99" s="48">
        <f>'Производительность'!H9*K98/1000</f>
        <v>3730.0766820013796</v>
      </c>
      <c r="L99" s="48">
        <f>'Производительность'!H9*L98/1000</f>
        <v>3553.364766958399</v>
      </c>
      <c r="M99" s="48">
        <f>'Производительность'!H9*M98/1000</f>
        <v>3500.9748815574203</v>
      </c>
      <c r="N99" s="48">
        <f>'Производительность'!H9*N98/1000</f>
        <v>3580.3912951414427</v>
      </c>
    </row>
    <row r="100">
      <c r="B100" s="22" t="inlineStr">
        <is>
          <t>Грузооборот</t>
        </is>
      </c>
      <c r="C100" s="24" t="inlineStr">
        <is>
          <t>тыс.ткм</t>
        </is>
      </c>
      <c r="D100" s="48" t="n"/>
      <c r="E100" s="48">
        <f>E99*'Параметры'!C28</f>
        <v>11479.491567646783</v>
      </c>
      <c r="F100" s="48">
        <f>F99*'Параметры'!C28</f>
        <v>11195.126753959617</v>
      </c>
      <c r="G100" s="48">
        <f>G99*'Параметры'!C28</f>
        <v>10927.19190728549</v>
      </c>
      <c r="H100" s="48">
        <f>H99*'Параметры'!C28</f>
        <v>11056.103956157003</v>
      </c>
      <c r="I100" s="48">
        <f>I99*'Параметры'!C28</f>
        <v>11138.253791222185</v>
      </c>
      <c r="J100" s="48">
        <f>J99*'Параметры'!C28</f>
        <v>10697.172369102982</v>
      </c>
      <c r="K100" s="48">
        <f>K99*'Параметры'!C28</f>
        <v>11337.941082611394</v>
      </c>
      <c r="L100" s="48">
        <f>L99*'Параметры'!C28</f>
        <v>10800.807545646749</v>
      </c>
      <c r="M100" s="48">
        <f>M99*'Параметры'!C28</f>
        <v>10641.563249981935</v>
      </c>
      <c r="N100" s="48">
        <f>N99*'Параметры'!C28</f>
        <v>10882.957380711929</v>
      </c>
    </row>
    <row r="101">
      <c r="B101" s="22" t="inlineStr">
        <is>
          <t>Пробег</t>
        </is>
      </c>
      <c r="C101" s="24" t="inlineStr">
        <is>
          <t>тыс.км</t>
        </is>
      </c>
      <c r="D101" s="48" t="n"/>
      <c r="E101" s="48">
        <f>'Производительность'!H8*E98*2*'Параметры'!C28/1000</f>
        <v>101.03643121096192</v>
      </c>
      <c r="F101" s="48">
        <f>'Производительность'!H8*F98*2*'Параметры'!C28/1000</f>
        <v>98.53360207714418</v>
      </c>
      <c r="G101" s="48">
        <f>'Производительность'!H8*G98*2*'Параметры'!C28/1000</f>
        <v>96.17538084883594</v>
      </c>
      <c r="H101" s="48">
        <f>'Производительность'!H8*H98*2*'Параметры'!C28/1000</f>
        <v>97.30999672283329</v>
      </c>
      <c r="I101" s="48">
        <f>'Производительность'!H8*I98*2*'Параметры'!C28/1000</f>
        <v>98.03303625038063</v>
      </c>
      <c r="J101" s="48">
        <f>'Производительность'!H8*J98*2*'Параметры'!C28/1000</f>
        <v>94.15087017170336</v>
      </c>
      <c r="K101" s="48">
        <f>'Производительность'!H8*K98*2*'Параметры'!C28/1000</f>
        <v>99.79057848657264</v>
      </c>
      <c r="L101" s="48">
        <f>'Производительность'!H8*L98*2*'Параметры'!C28/1000</f>
        <v>95.06301234491693</v>
      </c>
      <c r="M101" s="48">
        <f>'Производительность'!H8*M98*2*'Параметры'!C28/1000</f>
        <v>93.661428029979</v>
      </c>
      <c r="N101" s="48">
        <f>'Производительность'!H8*N98*2*'Параметры'!C28/1000</f>
        <v>95.78605187246426</v>
      </c>
    </row>
    <row r="102">
      <c r="B102" s="22" t="inlineStr">
        <is>
          <t>Топливо</t>
        </is>
      </c>
      <c r="C102" s="24" t="inlineStr">
        <is>
          <t>тыс.руб</t>
        </is>
      </c>
      <c r="D102" s="48" t="n"/>
      <c r="E102" s="48">
        <f>E100*'Параметры'!C32/1000*'Параметры'!C10*(1+'Параметры'!C14)^(E$4-1)</f>
        <v>68207.80984240257</v>
      </c>
      <c r="F102" s="48">
        <f>F100*'Параметры'!C32/1000*'Параметры'!C10*(1+'Параметры'!C14)^(F$4-1)</f>
        <v>66518.1965852694</v>
      </c>
      <c r="G102" s="48">
        <f>G100*'Параметры'!C32/1000*'Параметры'!C10*(1+'Параметры'!C14)^(G$4-1)</f>
        <v>64926.20542743727</v>
      </c>
      <c r="H102" s="48">
        <f>H100*'Параметры'!C32/1000*'Параметры'!C10*(1+'Параметры'!C14)^(H$4-1)</f>
        <v>65692.16343733763</v>
      </c>
      <c r="I102" s="48">
        <f>I100*'Параметры'!C32/1000*'Параметры'!C10*(1+'Параметры'!C14)^(I$4-1)</f>
        <v>66180.27393384276</v>
      </c>
      <c r="J102" s="48">
        <f>J100*'Параметры'!C32/1000*'Параметры'!C10*(1+'Параметры'!C14)^(J$4-1)</f>
        <v>63559.49603722289</v>
      </c>
      <c r="K102" s="48">
        <f>K100*'Параметры'!C32/1000*'Параметры'!C10*(1+'Параметры'!C14)^(K$4-1)</f>
        <v>67366.75790996295</v>
      </c>
      <c r="L102" s="48">
        <f>L100*'Параметры'!C32/1000*'Параметры'!C10*(1+'Параметры'!C14)^(L$4-1)</f>
        <v>64175.266202044746</v>
      </c>
      <c r="M102" s="48">
        <f>M100*'Параметры'!C32/1000*'Параметры'!C10*(1+'Параметры'!C14)^(M$4-1)</f>
        <v>63229.08277805017</v>
      </c>
      <c r="N102" s="48">
        <f>N100*'Параметры'!C32/1000*'Параметры'!C10*(1+'Параметры'!C14)^(N$4-1)</f>
        <v>64663.37669854987</v>
      </c>
    </row>
    <row r="103">
      <c r="B103" s="22" t="inlineStr">
        <is>
          <t>ТОиР и сервис (по годам)</t>
        </is>
      </c>
      <c r="C103" s="24" t="inlineStr">
        <is>
          <t>тыс.руб</t>
        </is>
      </c>
      <c r="D103" s="48" t="n"/>
      <c r="E103" s="48">
        <f>'Данные по годам'!E20*IF('Данные по годам'!$D$20="CNY",'Параметры'!C20,IF('Данные по годам'!$D$20="USD",'Параметры'!C21,IF('Данные по годам'!$D$20="EUR",'Параметры'!C22,1)))</f>
        <v>13923.5982795</v>
      </c>
      <c r="F103" s="48">
        <f>'Данные по годам'!F20*IF('Данные по годам'!$D$20="CNY",'Параметры'!C20,IF('Данные по годам'!$D$20="USD",'Параметры'!C21,IF('Данные по годам'!$D$20="EUR",'Параметры'!C22,1)))</f>
        <v>29869.897648499995</v>
      </c>
      <c r="G103" s="48">
        <f>'Данные по годам'!G20*IF('Данные по годам'!$D$20="CNY",'Параметры'!C20,IF('Данные по годам'!$D$20="USD",'Параметры'!C21,IF('Данные по годам'!$D$20="EUR",'Параметры'!C22,1)))</f>
        <v>53802.137298</v>
      </c>
      <c r="H103" s="48">
        <f>'Данные по годам'!H20*IF('Данные по годам'!$D$20="CNY",'Параметры'!C20,IF('Данные по годам'!$D$20="USD",'Параметры'!C21,IF('Данные по годам'!$D$20="EUR",'Параметры'!C22,1)))</f>
        <v>68373.82379099999</v>
      </c>
      <c r="I103" s="48">
        <f>'Данные по годам'!I20*IF('Данные по годам'!$D$20="CNY",'Параметры'!C20,IF('Данные по годам'!$D$20="USD",'Параметры'!C21,IF('Данные по годам'!$D$20="EUR",'Параметры'!C22,1)))</f>
        <v>59403.1957155</v>
      </c>
      <c r="J103" s="48">
        <f>'Данные по годам'!J20*IF('Данные по годам'!$D$20="CNY",'Параметры'!C20,IF('Данные по годам'!$D$20="USD",'Параметры'!C21,IF('Данные по годам'!$D$20="EUR",'Параметры'!C22,1)))</f>
        <v>64763.58402149999</v>
      </c>
      <c r="K103" s="48">
        <f>'Данные по годам'!K20*IF('Данные по годам'!$D$20="CNY",'Параметры'!C20,IF('Данные по годам'!$D$20="USD",'Параметры'!C21,IF('Данные по годам'!$D$20="EUR",'Параметры'!C22,1)))</f>
        <v>16975.2840075</v>
      </c>
      <c r="L103" s="48">
        <f>'Данные по годам'!L20*IF('Данные по годам'!$D$20="CNY",'Параметры'!C20,IF('Данные по годам'!$D$20="USD",'Параметры'!C21,IF('Данные по годам'!$D$20="EUR",'Параметры'!C22,1)))</f>
        <v>79677.324909</v>
      </c>
      <c r="M103" s="48">
        <f>'Данные по годам'!M20*IF('Данные по годам'!$D$20="CNY",'Параметры'!C20,IF('Данные по годам'!$D$20="USD",'Параметры'!C21,IF('Данные по годам'!$D$20="EUR",'Параметры'!C22,1)))</f>
        <v>90451.144875</v>
      </c>
      <c r="N103" s="48">
        <f>'Данные по годам'!N20*IF('Данные по годам'!$D$20="CNY",'Параметры'!C20,IF('Данные по годам'!$D$20="USD",'Параметры'!C21,IF('Данные по годам'!$D$20="EUR",'Параметры'!C22,1)))</f>
        <v>21773.0741865</v>
      </c>
    </row>
    <row r="104">
      <c r="B104" s="22" t="inlineStr">
        <is>
          <t>Шины</t>
        </is>
      </c>
      <c r="C104" s="24" t="inlineStr">
        <is>
          <t>тыс.руб</t>
        </is>
      </c>
      <c r="D104" s="48" t="n"/>
      <c r="E104" s="48">
        <f>E101*'Параметры'!C36*'Параметры'!C37*(1+'Параметры'!C15)^(E$4-1)</f>
        <v>22622.410575643615</v>
      </c>
      <c r="F104" s="48">
        <f>F101*'Параметры'!C36*'Параметры'!C37*(1+'Параметры'!C15)^(F$4-1)</f>
        <v>22062.018372679853</v>
      </c>
      <c r="G104" s="48">
        <f>G101*'Параметры'!C36*'Параметры'!C37*(1+'Параметры'!C15)^(G$4-1)</f>
        <v>21534.00438588734</v>
      </c>
      <c r="H104" s="48">
        <f>H101*'Параметры'!C36*'Параметры'!C37*(1+'Параметры'!C15)^(H$4-1)</f>
        <v>21788.048851230902</v>
      </c>
      <c r="I104" s="48">
        <f>I101*'Параметры'!C36*'Параметры'!C37*(1+'Параметры'!C15)^(I$4-1)</f>
        <v>21949.9399320871</v>
      </c>
      <c r="J104" s="48">
        <f>J101*'Параметры'!C36*'Параметры'!C37*(1+'Параметры'!C15)^(J$4-1)</f>
        <v>21080.709359489985</v>
      </c>
      <c r="K104" s="48">
        <f>K101*'Параметры'!C36*'Параметры'!C37*(1+'Параметры'!C15)^(K$4-1)</f>
        <v>22343.45979016832</v>
      </c>
      <c r="L104" s="48">
        <f>L101*'Параметры'!C36*'Параметры'!C37*(1+'Параметры'!C15)^(L$4-1)</f>
        <v>21284.941184570107</v>
      </c>
      <c r="M104" s="48">
        <f>M101*'Параметры'!C36*'Параметры'!C37*(1+'Параметры'!C15)^(M$4-1)</f>
        <v>20971.121550910404</v>
      </c>
      <c r="N104" s="48">
        <f>N101*'Параметры'!C36*'Параметры'!C37*(1+'Параметры'!C15)^(N$4-1)</f>
        <v>21446.8322654263</v>
      </c>
    </row>
    <row r="105">
      <c r="B105" s="22" t="inlineStr">
        <is>
          <t>Персонал</t>
        </is>
      </c>
      <c r="C105" s="24" t="inlineStr">
        <is>
          <t>тыс.руб</t>
        </is>
      </c>
      <c r="D105" s="48" t="n"/>
      <c r="E105" s="48">
        <f>'Ввод данных'!H18*(1+'Параметры'!C16)^(E$4-1)</f>
        <v>18475.6</v>
      </c>
      <c r="F105" s="48">
        <f>'Ввод данных'!H18*(1+'Параметры'!C16)^(F$4-1)</f>
        <v>18475.6</v>
      </c>
      <c r="G105" s="48">
        <f>'Ввод данных'!H18*(1+'Параметры'!C16)^(G$4-1)</f>
        <v>18475.6</v>
      </c>
      <c r="H105" s="48">
        <f>'Ввод данных'!H18*(1+'Параметры'!C16)^(H$4-1)</f>
        <v>18475.6</v>
      </c>
      <c r="I105" s="48">
        <f>'Ввод данных'!H18*(1+'Параметры'!C16)^(I$4-1)</f>
        <v>18475.6</v>
      </c>
      <c r="J105" s="48">
        <f>'Ввод данных'!H18*(1+'Параметры'!C16)^(J$4-1)</f>
        <v>18475.6</v>
      </c>
      <c r="K105" s="48">
        <f>'Ввод данных'!H18*(1+'Параметры'!C16)^(K$4-1)</f>
        <v>18475.6</v>
      </c>
      <c r="L105" s="48">
        <f>'Ввод данных'!H18*(1+'Параметры'!C16)^(L$4-1)</f>
        <v>18475.6</v>
      </c>
      <c r="M105" s="48">
        <f>'Ввод данных'!H18*(1+'Параметры'!C16)^(M$4-1)</f>
        <v>18475.6</v>
      </c>
      <c r="N105" s="48">
        <f>'Ввод данных'!H18*(1+'Параметры'!C16)^(N$4-1)</f>
        <v>18475.6</v>
      </c>
    </row>
    <row r="106">
      <c r="B106" s="22" t="inlineStr">
        <is>
          <t>Транспортный налог</t>
        </is>
      </c>
      <c r="C106" s="24" t="inlineStr">
        <is>
          <t>тыс.руб</t>
        </is>
      </c>
      <c r="D106" s="48" t="n"/>
      <c r="E106" s="48">
        <f>'Ввод данных'!H19*'Параметры'!C41/1000</f>
        <v>215.475</v>
      </c>
      <c r="F106" s="48">
        <f>'Ввод данных'!H19*'Параметры'!C41/1000</f>
        <v>215.475</v>
      </c>
      <c r="G106" s="48">
        <f>'Ввод данных'!H19*'Параметры'!C41/1000</f>
        <v>215.475</v>
      </c>
      <c r="H106" s="48">
        <f>'Ввод данных'!H19*'Параметры'!C41/1000</f>
        <v>215.475</v>
      </c>
      <c r="I106" s="48">
        <f>'Ввод данных'!H19*'Параметры'!C41/1000</f>
        <v>215.475</v>
      </c>
      <c r="J106" s="48">
        <f>'Ввод данных'!H19*'Параметры'!C41/1000</f>
        <v>215.475</v>
      </c>
      <c r="K106" s="48">
        <f>'Ввод данных'!H19*'Параметры'!C41/1000</f>
        <v>215.475</v>
      </c>
      <c r="L106" s="48">
        <f>'Ввод данных'!H19*'Параметры'!C41/1000</f>
        <v>215.475</v>
      </c>
      <c r="M106" s="48">
        <f>'Ввод данных'!H19*'Параметры'!C41/1000</f>
        <v>215.475</v>
      </c>
      <c r="N106" s="48">
        <f>'Ввод данных'!H19*'Параметры'!C41/1000</f>
        <v>215.475</v>
      </c>
    </row>
    <row r="107">
      <c r="B107" s="22" t="inlineStr">
        <is>
          <t>Итого денежные затраты</t>
        </is>
      </c>
      <c r="C107" s="24" t="inlineStr">
        <is>
          <t>тыс.руб</t>
        </is>
      </c>
      <c r="D107" s="48" t="n"/>
      <c r="E107" s="57">
        <f>E102+E103+E104+E105+E106</f>
        <v>123444.89369754618</v>
      </c>
      <c r="F107" s="57">
        <f>F102+F103+F104+F105+F106</f>
        <v>137141.18760644927</v>
      </c>
      <c r="G107" s="57">
        <f>G102+G103+G104+G105+G106</f>
        <v>158953.42211132462</v>
      </c>
      <c r="H107" s="57">
        <f>H102+H103+H104+H105+H106</f>
        <v>174545.11107956854</v>
      </c>
      <c r="I107" s="57">
        <f>I102+I103+I104+I105+I106</f>
        <v>166224.48458142986</v>
      </c>
      <c r="J107" s="57">
        <f>J102+J103+J104+J105+J106</f>
        <v>168094.86441821288</v>
      </c>
      <c r="K107" s="57">
        <f>K102+K103+K104+K105+K106</f>
        <v>125376.57670763126</v>
      </c>
      <c r="L107" s="57">
        <f>L102+L103+L104+L105+L106</f>
        <v>183828.60729561487</v>
      </c>
      <c r="M107" s="57">
        <f>M102+M103+M104+M105+M106</f>
        <v>193342.42420396057</v>
      </c>
      <c r="N107" s="57">
        <f>N102+N103+N104+N105+N106</f>
        <v>126574.35815047618</v>
      </c>
    </row>
    <row r="108">
      <c r="B108" s="22" t="inlineStr">
        <is>
          <t>Амортизация (НУ)</t>
        </is>
      </c>
      <c r="C108" s="24" t="inlineStr">
        <is>
          <t>тыс.руб</t>
        </is>
      </c>
      <c r="D108" s="48" t="n"/>
      <c r="E108" s="48">
        <f>IF(E$4&lt;=INT('Параметры'!C9),'Производительность'!H5/'Параметры'!C9,IF(E$4=INT('Параметры'!C9)+1,'Производительность'!H5*('Параметры'!C9-INT('Параметры'!C9))/'Параметры'!C9,0))</f>
        <v>59020.263623844185</v>
      </c>
      <c r="F108" s="48">
        <f>IF(F$4&lt;=INT('Параметры'!C9),'Производительность'!H5/'Параметры'!C9,IF(F$4=INT('Параметры'!C9)+1,'Производительность'!H5*('Параметры'!C9-INT('Параметры'!C9))/'Параметры'!C9,0))</f>
        <v>59020.263623844185</v>
      </c>
      <c r="G108" s="48">
        <f>IF(G$4&lt;=INT('Параметры'!C9),'Производительность'!H5/'Параметры'!C9,IF(G$4=INT('Параметры'!C9)+1,'Производительность'!H5*('Параметры'!C9-INT('Параметры'!C9))/'Параметры'!C9,0))</f>
        <v>59020.263623844185</v>
      </c>
      <c r="H108" s="48">
        <f>IF(H$4&lt;=INT('Параметры'!C9),'Производительность'!H5/'Параметры'!C9,IF(H$4=INT('Параметры'!C9)+1,'Производительность'!H5*('Параметры'!C9-INT('Параметры'!C9))/'Параметры'!C9,0))</f>
        <v>59020.263623844185</v>
      </c>
      <c r="I108" s="48">
        <f>IF(I$4&lt;=INT('Параметры'!C9),'Производительность'!H5/'Параметры'!C9,IF(I$4=INT('Параметры'!C9)+1,'Производительность'!H5*('Параметры'!C9-INT('Параметры'!C9))/'Параметры'!C9,0))</f>
        <v>59020.263623844185</v>
      </c>
      <c r="J108" s="48">
        <f>IF(J$4&lt;=INT('Параметры'!C9),'Производительность'!H5/'Параметры'!C9,IF(J$4=INT('Параметры'!C9)+1,'Производительность'!H5*('Параметры'!C9-INT('Параметры'!C9))/'Параметры'!C9,0))</f>
        <v>4898.681880779078</v>
      </c>
      <c r="K108" s="48">
        <f>IF(K$4&lt;=INT('Параметры'!C9),'Производительность'!H5/'Параметры'!C9,IF(K$4=INT('Параметры'!C9)+1,'Производительность'!H5*('Параметры'!C9-INT('Параметры'!C9))/'Параметры'!C9,0))</f>
        <v>0.0</v>
      </c>
      <c r="L108" s="48">
        <f>IF(L$4&lt;=INT('Параметры'!C9),'Производительность'!H5/'Параметры'!C9,IF(L$4=INT('Параметры'!C9)+1,'Производительность'!H5*('Параметры'!C9-INT('Параметры'!C9))/'Параметры'!C9,0))</f>
        <v>0.0</v>
      </c>
      <c r="M108" s="48">
        <f>IF(M$4&lt;=INT('Параметры'!C9),'Производительность'!H5/'Параметры'!C9,IF(M$4=INT('Параметры'!C9)+1,'Производительность'!H5*('Параметры'!C9-INT('Параметры'!C9))/'Параметры'!C9,0))</f>
        <v>0.0</v>
      </c>
      <c r="N108" s="48">
        <f>IF(N$4&lt;=INT('Параметры'!C9),'Производительность'!H5/'Параметры'!C9,IF(N$4=INT('Параметры'!C9)+1,'Производительность'!H5*('Параметры'!C9-INT('Параметры'!C9))/'Параметры'!C9,0))</f>
        <v>0.0</v>
      </c>
    </row>
    <row r="109">
      <c r="B109" s="22" t="inlineStr">
        <is>
          <t>Налогооблагаемая база</t>
        </is>
      </c>
      <c r="C109" s="24" t="inlineStr">
        <is>
          <t>тыс.руб</t>
        </is>
      </c>
      <c r="D109" s="48" t="n"/>
      <c r="E109" s="48">
        <f>E107+E108</f>
        <v>182465.15732139038</v>
      </c>
      <c r="F109" s="48">
        <f>F107+F108</f>
        <v>196161.45123029346</v>
      </c>
      <c r="G109" s="48">
        <f>G107+G108</f>
        <v>217973.6857351688</v>
      </c>
      <c r="H109" s="48">
        <f>H107+H108</f>
        <v>233565.37470341273</v>
      </c>
      <c r="I109" s="48">
        <f>I107+I108</f>
        <v>225244.74820527405</v>
      </c>
      <c r="J109" s="48">
        <f>J107+J108</f>
        <v>172993.54629899195</v>
      </c>
      <c r="K109" s="48">
        <f>K107+K108</f>
        <v>125376.57670763126</v>
      </c>
      <c r="L109" s="48">
        <f>L107+L108</f>
        <v>183828.60729561487</v>
      </c>
      <c r="M109" s="48">
        <f>M107+M108</f>
        <v>193342.42420396057</v>
      </c>
      <c r="N109" s="48">
        <f>N107+N108</f>
        <v>126574.35815047618</v>
      </c>
    </row>
    <row r="110">
      <c r="B110" s="22" t="inlineStr">
        <is>
          <t>Налог на прибыль (щит)</t>
        </is>
      </c>
      <c r="C110" s="24" t="inlineStr">
        <is>
          <t>тыс.руб</t>
        </is>
      </c>
      <c r="D110" s="48" t="n"/>
      <c r="E110" s="48">
        <f>-E109*'Параметры'!C7</f>
        <v>-45616.289330347594</v>
      </c>
      <c r="F110" s="48">
        <f>-F109*'Параметры'!C7</f>
        <v>-49040.362807573365</v>
      </c>
      <c r="G110" s="48">
        <f>-G109*'Параметры'!C7</f>
        <v>-54493.4214337922</v>
      </c>
      <c r="H110" s="48">
        <f>-H109*'Параметры'!C7</f>
        <v>-58391.34367585318</v>
      </c>
      <c r="I110" s="48">
        <f>-I109*'Параметры'!C7</f>
        <v>-56311.18705131851</v>
      </c>
      <c r="J110" s="48">
        <f>-J109*'Параметры'!C7</f>
        <v>-43248.38657474799</v>
      </c>
      <c r="K110" s="48">
        <f>-K109*'Параметры'!C7</f>
        <v>-31344.144176907816</v>
      </c>
      <c r="L110" s="48">
        <f>-L109*'Параметры'!C7</f>
        <v>-45957.15182390372</v>
      </c>
      <c r="M110" s="48">
        <f>-M109*'Параметры'!C7</f>
        <v>-48335.60605099014</v>
      </c>
      <c r="N110" s="48">
        <f>-N109*'Параметры'!C7</f>
        <v>-31643.589537619046</v>
      </c>
    </row>
    <row r="111">
      <c r="B111" s="22" t="inlineStr">
        <is>
          <t>Операц. денежный поток</t>
        </is>
      </c>
      <c r="C111" s="24" t="inlineStr">
        <is>
          <t>тыс.руб</t>
        </is>
      </c>
      <c r="D111" s="48" t="n"/>
      <c r="E111" s="57">
        <f>E109+E110-E108</f>
        <v>77828.6043671986</v>
      </c>
      <c r="F111" s="57">
        <f>F109+F110-F108</f>
        <v>88100.8247988759</v>
      </c>
      <c r="G111" s="57">
        <f>G109+G110-G108</f>
        <v>104460.0006775324</v>
      </c>
      <c r="H111" s="57">
        <f>H109+H110-H108</f>
        <v>116153.76740371535</v>
      </c>
      <c r="I111" s="57">
        <f>I109+I110-I108</f>
        <v>109913.29753011133</v>
      </c>
      <c r="J111" s="57">
        <f>J109+J110-J108</f>
        <v>124846.47784346488</v>
      </c>
      <c r="K111" s="57">
        <f>K109+K110-K108</f>
        <v>94032.43253072345</v>
      </c>
      <c r="L111" s="57">
        <f>L109+L110-L108</f>
        <v>137871.45547171115</v>
      </c>
      <c r="M111" s="57">
        <f>M109+M110-M108</f>
        <v>145006.81815297043</v>
      </c>
      <c r="N111" s="57">
        <f>N109+N110-N108</f>
        <v>94930.76861285714</v>
      </c>
    </row>
    <row r="112">
      <c r="B112" s="22" t="inlineStr">
        <is>
          <t>Инвестиции / остаточная ст-ть</t>
        </is>
      </c>
      <c r="C112" s="24" t="inlineStr">
        <is>
          <t>тыс.руб</t>
        </is>
      </c>
      <c r="D112" s="48">
        <f>IF(D$4=0,'Производительность'!H5,IF(D$4='Параметры'!C8,-'Ввод данных'!H14*'Производительность'!H5,0))</f>
        <v>300000.0</v>
      </c>
      <c r="E112" s="48">
        <f>IF(E$4=0,'Производительность'!H5,IF(E$4='Параметры'!C8,-'Ввод данных'!H14*'Производительность'!H5,0))</f>
        <v>0.0</v>
      </c>
      <c r="F112" s="48">
        <f>IF(F$4=0,'Производительность'!H5,IF(F$4='Параметры'!C8,-'Ввод данных'!H14*'Производительность'!H5,0))</f>
        <v>0.0</v>
      </c>
      <c r="G112" s="48">
        <f>IF(G$4=0,'Производительность'!H5,IF(G$4='Параметры'!C8,-'Ввод данных'!H14*'Производительность'!H5,0))</f>
        <v>0.0</v>
      </c>
      <c r="H112" s="48">
        <f>IF(H$4=0,'Производительность'!H5,IF(H$4='Параметры'!C8,-'Ввод данных'!H14*'Производительность'!H5,0))</f>
        <v>0.0</v>
      </c>
      <c r="I112" s="48">
        <f>IF(I$4=0,'Производительность'!H5,IF(I$4='Параметры'!C8,-'Ввод данных'!H14*'Производительность'!H5,0))</f>
        <v>0.0</v>
      </c>
      <c r="J112" s="48">
        <f>IF(J$4=0,'Производительность'!H5,IF(J$4='Параметры'!C8,-'Ввод данных'!H14*'Производительность'!H5,0))</f>
        <v>0.0</v>
      </c>
      <c r="K112" s="48">
        <f>IF(K$4=0,'Производительность'!H5,IF(K$4='Параметры'!C8,-'Ввод данных'!H14*'Производительность'!H5,0))</f>
        <v>0.0</v>
      </c>
      <c r="L112" s="48">
        <f>IF(L$4=0,'Производительность'!H5,IF(L$4='Параметры'!C8,-'Ввод данных'!H14*'Производительность'!H5,0))</f>
        <v>0.0</v>
      </c>
      <c r="M112" s="48">
        <f>IF(M$4=0,'Производительность'!H5,IF(M$4='Параметры'!C8,-'Ввод данных'!H14*'Производительность'!H5,0))</f>
        <v>0.0</v>
      </c>
      <c r="N112" s="48">
        <f>IF(N$4=0,'Производительность'!H5,IF(N$4='Параметры'!C8,-'Ввод данных'!H14*'Производительность'!H5,0))</f>
        <v>-0.0</v>
      </c>
    </row>
    <row r="113">
      <c r="B113" s="22" t="inlineStr">
        <is>
          <t>Чистый денежный поток</t>
        </is>
      </c>
      <c r="C113" s="24" t="inlineStr">
        <is>
          <t>тыс.руб</t>
        </is>
      </c>
      <c r="D113" s="57">
        <f>0+D112</f>
        <v>300000.0</v>
      </c>
      <c r="E113" s="57">
        <f>E111+E112</f>
        <v>77828.6043671986</v>
      </c>
      <c r="F113" s="57">
        <f>F111+F112</f>
        <v>88100.8247988759</v>
      </c>
      <c r="G113" s="57">
        <f>G111+G112</f>
        <v>104460.0006775324</v>
      </c>
      <c r="H113" s="57">
        <f>H111+H112</f>
        <v>116153.76740371535</v>
      </c>
      <c r="I113" s="57">
        <f>I111+I112</f>
        <v>109913.29753011133</v>
      </c>
      <c r="J113" s="57">
        <f>J111+J112</f>
        <v>124846.47784346488</v>
      </c>
      <c r="K113" s="57">
        <f>K111+K112</f>
        <v>94032.43253072345</v>
      </c>
      <c r="L113" s="57">
        <f>L111+L112</f>
        <v>137871.45547171115</v>
      </c>
      <c r="M113" s="57">
        <f>M111+M112</f>
        <v>145006.81815297043</v>
      </c>
      <c r="N113" s="57">
        <f>N111+N112</f>
        <v>94930.76861285714</v>
      </c>
    </row>
    <row r="114">
      <c r="B114" s="22" t="inlineStr">
        <is>
          <t>Дисконтированный поток</t>
        </is>
      </c>
      <c r="C114" s="24" t="inlineStr">
        <is>
          <t>тыс.руб</t>
        </is>
      </c>
      <c r="D114" s="48">
        <f>D113*D$6</f>
        <v>300000.0</v>
      </c>
      <c r="E114" s="48">
        <f>E113*E$6</f>
        <v>69489.82532785588</v>
      </c>
      <c r="F114" s="48">
        <f>F113*F$6</f>
        <v>70233.43813685897</v>
      </c>
      <c r="G114" s="48">
        <f>G113*G$6</f>
        <v>74352.56516884308</v>
      </c>
      <c r="H114" s="48">
        <f>H113*H$6</f>
        <v>73817.81905989088</v>
      </c>
      <c r="I114" s="48">
        <f>I113*I$6</f>
        <v>62367.75681917395</v>
      </c>
      <c r="J114" s="48">
        <f>J113*J$6</f>
        <v>63251.111044874124</v>
      </c>
      <c r="K114" s="48">
        <f>K113*K$6</f>
        <v>42535.49707149212</v>
      </c>
      <c r="L114" s="48">
        <f>L113*L$6</f>
        <v>55683.96848212854</v>
      </c>
      <c r="M114" s="48">
        <f>M113*M$6</f>
        <v>52290.91231664202</v>
      </c>
      <c r="N114" s="48">
        <f>N113*N$6</f>
        <v>30565.166822324063</v>
      </c>
    </row>
    <row r="115">
      <c r="B115" s="22" t="inlineStr">
        <is>
          <t>Кумул. дисконт. поток</t>
        </is>
      </c>
      <c r="C115" s="24" t="inlineStr">
        <is>
          <t>тыс.руб</t>
        </is>
      </c>
      <c r="D115" s="48">
        <f>SUM($D114:D114)</f>
        <v>300000.0</v>
      </c>
      <c r="E115" s="48">
        <f>SUM($D114:E114)</f>
        <v>369489.8253278559</v>
      </c>
      <c r="F115" s="48">
        <f>SUM($D114:F114)</f>
        <v>439723.26346471487</v>
      </c>
      <c r="G115" s="48">
        <f>SUM($D114:G114)</f>
        <v>514075.82863355795</v>
      </c>
      <c r="H115" s="48">
        <f>SUM($D114:H114)</f>
        <v>587893.6476934488</v>
      </c>
      <c r="I115" s="48">
        <f>SUM($D114:I114)</f>
        <v>650261.4045126227</v>
      </c>
      <c r="J115" s="48">
        <f>SUM($D114:J114)</f>
        <v>713512.5155574968</v>
      </c>
      <c r="K115" s="48">
        <f>SUM($D114:K114)</f>
        <v>756048.0126289891</v>
      </c>
      <c r="L115" s="48">
        <f>SUM($D114:L114)</f>
        <v>811731.9811111176</v>
      </c>
      <c r="M115" s="48">
        <f>SUM($D114:M114)</f>
        <v>864022.8934277596</v>
      </c>
      <c r="N115" s="48">
        <f>SUM($D114:N114)</f>
        <v>894588.0602500837</v>
      </c>
    </row>
    <row r="116">
      <c r="B116" s="38" t="inlineStr">
        <is>
          <t>Аннуитет по году</t>
        </is>
      </c>
      <c r="C116" s="24" t="inlineStr">
        <is>
          <t>руб/ткм</t>
        </is>
      </c>
      <c r="D116" s="58" t="n"/>
      <c r="E116" s="58">
        <f>SUM($D114:E114)/SUM($E$6:E$6)/(SUM($E100:E100)/E$4)</f>
        <v>36.04938441119746</v>
      </c>
      <c r="F116" s="58">
        <f>SUM($D114:F114)/SUM($E$6:F$6)/(SUM($E100:F100)/F$4)</f>
        <v>22.949310249479343</v>
      </c>
      <c r="G116" s="58">
        <f>SUM($D114:G114)/SUM($E$6:G$6)/(SUM($E100:G100)/G$4)</f>
        <v>19.1092336148454</v>
      </c>
      <c r="H116" s="58">
        <f>SUM($D114:H114)/SUM($E$6:H$6)/(SUM($E100:H100)/H$4)</f>
        <v>17.336665828503836</v>
      </c>
      <c r="I116" s="58">
        <f>SUM($D114:I114)/SUM($E$6:I$6)/(SUM($E100:I100)/I$4)</f>
        <v>16.164984842164447</v>
      </c>
      <c r="J116" s="58">
        <f>SUM($D114:J114)/SUM($E$6:J$6)/(SUM($E100:J100)/J$4)</f>
        <v>15.659727121545657</v>
      </c>
      <c r="K116" s="58">
        <f>SUM($D114:K114)/SUM($E$6:K$6)/(SUM($E100:K100)/K$4)</f>
        <v>14.89946818353557</v>
      </c>
      <c r="L116" s="58">
        <f>SUM($D114:L114)/SUM($E$6:L$6)/(SUM($E100:L100)/L$4)</f>
        <v>14.748965628693426</v>
      </c>
      <c r="M116" s="58">
        <f>SUM($D114:M114)/SUM($E$6:M$6)/(SUM($E100:M100)/M$4)</f>
        <v>14.701078039114773</v>
      </c>
      <c r="N116" s="58">
        <f>SUM($D114:N114)/SUM($E$6:N$6)/(SUM($E100:N100)/N$4)</f>
        <v>14.372984125005198</v>
      </c>
    </row>
    <row r="118">
      <c r="B118" s="5" t="str">
        <f>"Вариант 6:  "&amp;'Ввод данных'!I7</f>
        <v>Вариант 6:  БелАЗ 7531
(БТЛ)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B119" s="22" t="inlineStr">
        <is>
          <t>КТГ</t>
        </is>
      </c>
      <c r="C119" s="24" t="inlineStr">
        <is>
          <t>коэф.</t>
        </is>
      </c>
      <c r="D119" s="51" t="n"/>
      <c r="E119" s="51">
        <f>'Данные по годам'!E22</f>
        <v>0.93</v>
      </c>
      <c r="F119" s="51">
        <f>'Данные по годам'!F22</f>
        <v>0.908</v>
      </c>
      <c r="G119" s="51">
        <f>'Данные по годам'!G22</f>
        <v>0.899</v>
      </c>
      <c r="H119" s="51">
        <f>'Данные по годам'!H22</f>
        <v>0.881</v>
      </c>
      <c r="I119" s="51">
        <f>'Данные по годам'!I22</f>
        <v>0.901</v>
      </c>
      <c r="J119" s="51">
        <f>'Данные по годам'!J22</f>
        <v>0.87</v>
      </c>
      <c r="K119" s="51">
        <f>'Данные по годам'!K22</f>
        <v>0.851</v>
      </c>
      <c r="L119" s="51">
        <f>'Данные по годам'!L22</f>
        <v>0.892</v>
      </c>
      <c r="M119" s="51">
        <f>'Данные по годам'!M22</f>
        <v>0.858</v>
      </c>
      <c r="N119" s="51">
        <f>'Данные по годам'!N22</f>
        <v>0.852</v>
      </c>
    </row>
    <row r="120">
      <c r="B120" s="22" t="inlineStr">
        <is>
          <t>Эффективное время</t>
        </is>
      </c>
      <c r="C120" s="24" t="inlineStr">
        <is>
          <t>час/год</t>
        </is>
      </c>
      <c r="D120" s="48" t="n"/>
      <c r="E120" s="48">
        <f>'Параметры'!C26*E119*(1-102.38/(60*'Параметры'!C27))</f>
        <v>6988.3703000000005</v>
      </c>
      <c r="F120" s="48">
        <f>'Параметры'!C26*F119*(1-102.38/(60*'Параметры'!C27))</f>
        <v>6823.054013333333</v>
      </c>
      <c r="G120" s="48">
        <f>'Параметры'!C26*G119*(1-102.38/(60*'Параметры'!C27))</f>
        <v>6755.424623333333</v>
      </c>
      <c r="H120" s="48">
        <f>'Параметры'!C26*H119*(1-102.38/(60*'Параметры'!C27))</f>
        <v>6620.165843333334</v>
      </c>
      <c r="I120" s="48">
        <f>'Параметры'!C26*I119*(1-102.38/(60*'Параметры'!C27))</f>
        <v>6770.453376666667</v>
      </c>
      <c r="J120" s="48">
        <f>'Параметры'!C26*J119*(1-102.38/(60*'Параметры'!C27))</f>
        <v>6537.5077</v>
      </c>
      <c r="K120" s="48">
        <f>'Параметры'!C26*K119*(1-102.38/(60*'Параметры'!C27))</f>
        <v>6394.734543333334</v>
      </c>
      <c r="L120" s="48">
        <f>'Параметры'!C26*L119*(1-102.38/(60*'Параметры'!C27))</f>
        <v>6702.823986666667</v>
      </c>
      <c r="M120" s="48">
        <f>'Параметры'!C26*M119*(1-102.38/(60*'Параметры'!C27))</f>
        <v>6447.33518</v>
      </c>
      <c r="N120" s="48">
        <f>'Параметры'!C26*N119*(1-102.38/(60*'Параметры'!C27))</f>
        <v>6402.24892</v>
      </c>
    </row>
    <row r="121">
      <c r="B121" s="22" t="inlineStr">
        <is>
          <t>Объём перевозки</t>
        </is>
      </c>
      <c r="C121" s="24" t="inlineStr">
        <is>
          <t>тыс.т</t>
        </is>
      </c>
      <c r="D121" s="48" t="n"/>
      <c r="E121" s="48">
        <f>'Производительность'!I9*E120/1000</f>
        <v>3866.8724938817118</v>
      </c>
      <c r="F121" s="48">
        <f>'Производительность'!I9*F120/1000</f>
        <v>3775.3980908006383</v>
      </c>
      <c r="G121" s="48">
        <f>'Производительность'!I9*G120/1000</f>
        <v>3737.976744085654</v>
      </c>
      <c r="H121" s="48">
        <f>'Производительность'!I9*H120/1000</f>
        <v>3663.1340506556858</v>
      </c>
      <c r="I121" s="48">
        <f>'Производительность'!I9*I120/1000</f>
        <v>3746.292598911207</v>
      </c>
      <c r="J121" s="48">
        <f>'Производительность'!I9*J120/1000</f>
        <v>3617.396849115149</v>
      </c>
      <c r="K121" s="48">
        <f>'Производительность'!I9*K120/1000</f>
        <v>3538.396228272405</v>
      </c>
      <c r="L121" s="48">
        <f>'Производительность'!I9*L120/1000</f>
        <v>3708.871252196222</v>
      </c>
      <c r="M121" s="48">
        <f>'Производительность'!I9*M120/1000</f>
        <v>3567.501720161837</v>
      </c>
      <c r="N121" s="48">
        <f>'Производительность'!I9*N120/1000</f>
        <v>3542.554155685181</v>
      </c>
    </row>
    <row r="122">
      <c r="B122" s="22" t="inlineStr">
        <is>
          <t>Грузооборот</t>
        </is>
      </c>
      <c r="C122" s="24" t="inlineStr">
        <is>
          <t>тыс.ткм</t>
        </is>
      </c>
      <c r="D122" s="48" t="n"/>
      <c r="E122" s="48">
        <f>E121*'Параметры'!C28</f>
        <v>11753.745632402852</v>
      </c>
      <c r="F122" s="48">
        <f>F121*'Параметры'!C28</f>
        <v>11475.70003679762</v>
      </c>
      <c r="G122" s="48">
        <f>G121*'Параметры'!C28</f>
        <v>11361.954111322753</v>
      </c>
      <c r="H122" s="48">
        <f>H121*'Параметры'!C28</f>
        <v>11134.462260373022</v>
      </c>
      <c r="I122" s="48">
        <f>I121*'Параметры'!C28</f>
        <v>11387.230983650505</v>
      </c>
      <c r="J122" s="48">
        <f>J121*'Параметры'!C28</f>
        <v>10995.439462570408</v>
      </c>
      <c r="K122" s="48">
        <f>K121*'Параметры'!C28</f>
        <v>10755.309175456803</v>
      </c>
      <c r="L122" s="48">
        <f>L121*'Параметры'!C28</f>
        <v>11273.485058175636</v>
      </c>
      <c r="M122" s="48">
        <f>M121*'Параметры'!C28</f>
        <v>10843.77822860392</v>
      </c>
      <c r="N122" s="48">
        <f>N121*'Параметры'!C28</f>
        <v>10767.947611620675</v>
      </c>
    </row>
    <row r="123">
      <c r="B123" s="22" t="inlineStr">
        <is>
          <t>Пробег</t>
        </is>
      </c>
      <c r="C123" s="24" t="inlineStr">
        <is>
          <t>тыс.км</t>
        </is>
      </c>
      <c r="D123" s="48" t="n"/>
      <c r="E123" s="48">
        <f>'Производительность'!I8*E120*2*'Параметры'!C28/1000</f>
        <v>103.45027086446613</v>
      </c>
      <c r="F123" s="48">
        <f>'Производительность'!I8*F120*2*'Параметры'!C28/1000</f>
        <v>101.00306015584434</v>
      </c>
      <c r="G123" s="48">
        <f>'Производительность'!I8*G120*2*'Параметры'!C28/1000</f>
        <v>100.00192850231724</v>
      </c>
      <c r="H123" s="48">
        <f>'Производительность'!I8*H120*2*'Параметры'!C28/1000</f>
        <v>97.99966519526308</v>
      </c>
      <c r="I123" s="48">
        <f>'Производительность'!I8*I120*2*'Параметры'!C28/1000</f>
        <v>100.22440220310105</v>
      </c>
      <c r="J123" s="48">
        <f>'Производительность'!I8*J120*2*'Параметры'!C28/1000</f>
        <v>96.77605984095217</v>
      </c>
      <c r="K123" s="48">
        <f>'Производительность'!I8*K120*2*'Параметры'!C28/1000</f>
        <v>94.6625596835061</v>
      </c>
      <c r="L123" s="48">
        <f>'Производительность'!I8*L120*2*'Параметры'!C28/1000</f>
        <v>99.22327054957395</v>
      </c>
      <c r="M123" s="48">
        <f>'Производительность'!I8*M120*2*'Параметры'!C28/1000</f>
        <v>95.44121763624939</v>
      </c>
      <c r="N123" s="48">
        <f>'Производительность'!I8*N120*2*'Параметры'!C28/1000</f>
        <v>94.77379653389798</v>
      </c>
    </row>
    <row r="124">
      <c r="B124" s="22" t="inlineStr">
        <is>
          <t>Топливо</t>
        </is>
      </c>
      <c r="C124" s="24" t="inlineStr">
        <is>
          <t>тыс.руб</t>
        </is>
      </c>
      <c r="D124" s="48" t="n"/>
      <c r="E124" s="48">
        <f>E122*'Параметры'!C32/1000*'Параметры'!C10*(1+'Параметры'!C14)^(E$4-1)</f>
        <v>69837.34796150436</v>
      </c>
      <c r="F124" s="48">
        <f>F122*'Параметры'!C32/1000*'Параметры'!C10*(1+'Параметры'!C14)^(F$4-1)</f>
        <v>68185.28166564078</v>
      </c>
      <c r="G124" s="48">
        <f>G122*'Параметры'!C32/1000*'Параметры'!C10*(1+'Параметры'!C14)^(G$4-1)</f>
        <v>67509.43636278753</v>
      </c>
      <c r="H124" s="48">
        <f>H122*'Параметры'!C32/1000*'Параметры'!C10*(1+'Параметры'!C14)^(H$4-1)</f>
        <v>66157.745757081</v>
      </c>
      <c r="I124" s="48">
        <f>I122*'Параметры'!C32/1000*'Параметры'!C10*(1+'Параметры'!C14)^(I$4-1)</f>
        <v>67659.62420786604</v>
      </c>
      <c r="J124" s="48">
        <f>J122*'Параметры'!C32/1000*'Параметры'!C10*(1+'Параметры'!C14)^(J$4-1)</f>
        <v>65331.712609149225</v>
      </c>
      <c r="K124" s="48">
        <f>K122*'Параметры'!C32/1000*'Параметры'!C10*(1+'Параметры'!C14)^(K$4-1)</f>
        <v>63904.928080903446</v>
      </c>
      <c r="L124" s="48">
        <f>L122*'Параметры'!C32/1000*'Параметры'!C10*(1+'Параметры'!C14)^(L$4-1)</f>
        <v>66983.77890501276</v>
      </c>
      <c r="M124" s="48">
        <f>M122*'Параметры'!C32/1000*'Параметры'!C10*(1+'Параметры'!C14)^(M$4-1)</f>
        <v>64430.585538678206</v>
      </c>
      <c r="N124" s="48">
        <f>N122*'Параметры'!C32/1000*'Параметры'!C10*(1+'Параметры'!C14)^(N$4-1)</f>
        <v>63980.02200344269</v>
      </c>
    </row>
    <row r="125">
      <c r="B125" s="22" t="inlineStr">
        <is>
          <t>ТОиР и сервис (по годам)</t>
        </is>
      </c>
      <c r="C125" s="24" t="inlineStr">
        <is>
          <t>тыс.руб</t>
        </is>
      </c>
      <c r="D125" s="48" t="n"/>
      <c r="E125" s="48">
        <f>'Данные по годам'!E23*IF('Данные по годам'!$D$23="CNY",'Параметры'!C20,IF('Данные по годам'!$D$23="USD",'Параметры'!C21,IF('Данные по годам'!$D$23="EUR",'Параметры'!C22,1)))</f>
        <v>12300.885460500001</v>
      </c>
      <c r="F125" s="48">
        <f>'Данные по годам'!F23*IF('Данные по годам'!$D$23="CNY",'Параметры'!C20,IF('Данные по годам'!$D$23="USD",'Параметры'!C21,IF('Данные по годам'!$D$23="EUR",'Параметры'!C22,1)))</f>
        <v>19657.359130499997</v>
      </c>
      <c r="G125" s="48">
        <f>'Данные по годам'!G23*IF('Данные по годам'!$D$23="CNY",'Параметры'!C20,IF('Данные по годам'!$D$23="USD",'Параметры'!C21,IF('Данные по годам'!$D$23="EUR",'Параметры'!C22,1)))</f>
        <v>57880.92669449999</v>
      </c>
      <c r="H125" s="48">
        <f>'Данные по годам'!H23*IF('Данные по годам'!$D$23="CNY",'Параметры'!C20,IF('Данные по годам'!$D$23="USD",'Параметры'!C21,IF('Данные по годам'!$D$23="EUR",'Параметры'!C22,1)))</f>
        <v>85727.1827685</v>
      </c>
      <c r="I125" s="48">
        <f>'Данные по годам'!I23*IF('Данные по годам'!$D$23="CNY",'Параметры'!C20,IF('Данные по годам'!$D$23="USD",'Параметры'!C21,IF('Данные по годам'!$D$23="EUR",'Параметры'!C22,1)))</f>
        <v>34296.102204</v>
      </c>
      <c r="J125" s="48">
        <f>'Данные по годам'!J23*IF('Данные по годам'!$D$23="CNY",'Параметры'!C20,IF('Данные по годам'!$D$23="USD",'Параметры'!C21,IF('Данные по годам'!$D$23="EUR",'Параметры'!C22,1)))</f>
        <v>59905.6028025</v>
      </c>
      <c r="K125" s="48">
        <f>'Данные по годам'!K23*IF('Данные по годам'!$D$23="CNY",'Параметры'!C20,IF('Данные по годам'!$D$23="USD",'Параметры'!C21,IF('Данные по годам'!$D$23="EUR",'Параметры'!C22,1)))</f>
        <v>30420.92781</v>
      </c>
      <c r="L125" s="48">
        <f>'Данные по годам'!L23*IF('Данные по годам'!$D$23="CNY",'Параметры'!C20,IF('Данные по годам'!$D$23="USD",'Параметры'!C21,IF('Данные по годам'!$D$23="EUR",'Параметры'!C22,1)))</f>
        <v>91389.4667595</v>
      </c>
      <c r="M125" s="48">
        <f>'Данные по годам'!M23*IF('Данные по годам'!$D$23="CNY",'Параметры'!C20,IF('Данные по годам'!$D$23="USD",'Параметры'!C21,IF('Данные по годам'!$D$23="EUR",'Параметры'!C22,1)))</f>
        <v>75737.1630015</v>
      </c>
      <c r="N125" s="48">
        <f>'Данные по годам'!N23*IF('Данные по годам'!$D$23="CNY",'Параметры'!C20,IF('Данные по годам'!$D$23="USD",'Параметры'!C21,IF('Данные по годам'!$D$23="EUR",'Параметры'!C22,1)))</f>
        <v>31520.730969</v>
      </c>
    </row>
    <row r="126">
      <c r="B126" s="22" t="inlineStr">
        <is>
          <t>Шины</t>
        </is>
      </c>
      <c r="C126" s="24" t="inlineStr">
        <is>
          <t>тыс.руб</t>
        </is>
      </c>
      <c r="D126" s="48" t="n"/>
      <c r="E126" s="48">
        <f>E123*'Параметры'!C36*'Параметры'!C37*(1+'Параметры'!C15)^(E$4-1)</f>
        <v>23162.877722501995</v>
      </c>
      <c r="F126" s="48">
        <f>F123*'Параметры'!C36*'Параметры'!C37*(1+'Параметры'!C15)^(F$4-1)</f>
        <v>22614.938679604093</v>
      </c>
      <c r="G126" s="48">
        <f>G123*'Параметры'!C36*'Параметры'!C37*(1+'Параметры'!C15)^(G$4-1)</f>
        <v>22390.78179841859</v>
      </c>
      <c r="H126" s="48">
        <f>H123*'Параметры'!C36*'Параметры'!C37*(1+'Параметры'!C15)^(H$4-1)</f>
        <v>21942.468036047587</v>
      </c>
      <c r="I126" s="48">
        <f>I123*'Параметры'!C36*'Параметры'!C37*(1+'Параметры'!C15)^(I$4-1)</f>
        <v>22440.594438682037</v>
      </c>
      <c r="J126" s="48">
        <f>J123*'Параметры'!C36*'Параметры'!C37*(1+'Параметры'!C15)^(J$4-1)</f>
        <v>21668.498514598636</v>
      </c>
      <c r="K126" s="48">
        <f>K123*'Параметры'!C36*'Параметры'!C37*(1+'Параметры'!C15)^(K$4-1)</f>
        <v>21195.27843209591</v>
      </c>
      <c r="L126" s="48">
        <f>L123*'Параметры'!C36*'Параметры'!C37*(1+'Параметры'!C15)^(L$4-1)</f>
        <v>22216.43755749653</v>
      </c>
      <c r="M126" s="48">
        <f>M123*'Параметры'!C36*'Параметры'!C37*(1+'Параметры'!C15)^(M$4-1)</f>
        <v>21369.622673017966</v>
      </c>
      <c r="N126" s="48">
        <f>N123*'Параметры'!C36*'Параметры'!C37*(1+'Параметры'!C15)^(N$4-1)</f>
        <v>21220.184752227626</v>
      </c>
    </row>
    <row r="127">
      <c r="B127" s="22" t="inlineStr">
        <is>
          <t>Персонал</t>
        </is>
      </c>
      <c r="C127" s="24" t="inlineStr">
        <is>
          <t>тыс.руб</t>
        </is>
      </c>
      <c r="D127" s="48" t="n"/>
      <c r="E127" s="48">
        <f>'Ввод данных'!I18*(1+'Параметры'!C16)^(E$4-1)</f>
        <v>18475.6</v>
      </c>
      <c r="F127" s="48">
        <f>'Ввод данных'!I18*(1+'Параметры'!C16)^(F$4-1)</f>
        <v>18475.6</v>
      </c>
      <c r="G127" s="48">
        <f>'Ввод данных'!I18*(1+'Параметры'!C16)^(G$4-1)</f>
        <v>18475.6</v>
      </c>
      <c r="H127" s="48">
        <f>'Ввод данных'!I18*(1+'Параметры'!C16)^(H$4-1)</f>
        <v>18475.6</v>
      </c>
      <c r="I127" s="48">
        <f>'Ввод данных'!I18*(1+'Параметры'!C16)^(I$4-1)</f>
        <v>18475.6</v>
      </c>
      <c r="J127" s="48">
        <f>'Ввод данных'!I18*(1+'Параметры'!C16)^(J$4-1)</f>
        <v>18475.6</v>
      </c>
      <c r="K127" s="48">
        <f>'Ввод данных'!I18*(1+'Параметры'!C16)^(K$4-1)</f>
        <v>18475.6</v>
      </c>
      <c r="L127" s="48">
        <f>'Ввод данных'!I18*(1+'Параметры'!C16)^(L$4-1)</f>
        <v>18475.6</v>
      </c>
      <c r="M127" s="48">
        <f>'Ввод данных'!I18*(1+'Параметры'!C16)^(M$4-1)</f>
        <v>18475.6</v>
      </c>
      <c r="N127" s="48">
        <f>'Ввод данных'!I18*(1+'Параметры'!C16)^(N$4-1)</f>
        <v>18475.6</v>
      </c>
    </row>
    <row r="128">
      <c r="B128" s="22" t="inlineStr">
        <is>
          <t>Транспортный налог</t>
        </is>
      </c>
      <c r="C128" s="24" t="inlineStr">
        <is>
          <t>тыс.руб</t>
        </is>
      </c>
      <c r="D128" s="48" t="n"/>
      <c r="E128" s="48">
        <f>'Ввод данных'!I19*'Параметры'!C41/1000</f>
        <v>215.475</v>
      </c>
      <c r="F128" s="48">
        <f>'Ввод данных'!I19*'Параметры'!C41/1000</f>
        <v>215.475</v>
      </c>
      <c r="G128" s="48">
        <f>'Ввод данных'!I19*'Параметры'!C41/1000</f>
        <v>215.475</v>
      </c>
      <c r="H128" s="48">
        <f>'Ввод данных'!I19*'Параметры'!C41/1000</f>
        <v>215.475</v>
      </c>
      <c r="I128" s="48">
        <f>'Ввод данных'!I19*'Параметры'!C41/1000</f>
        <v>215.475</v>
      </c>
      <c r="J128" s="48">
        <f>'Ввод данных'!I19*'Параметры'!C41/1000</f>
        <v>215.475</v>
      </c>
      <c r="K128" s="48">
        <f>'Ввод данных'!I19*'Параметры'!C41/1000</f>
        <v>215.475</v>
      </c>
      <c r="L128" s="48">
        <f>'Ввод данных'!I19*'Параметры'!C41/1000</f>
        <v>215.475</v>
      </c>
      <c r="M128" s="48">
        <f>'Ввод данных'!I19*'Параметры'!C41/1000</f>
        <v>215.475</v>
      </c>
      <c r="N128" s="48">
        <f>'Ввод данных'!I19*'Параметры'!C41/1000</f>
        <v>215.475</v>
      </c>
    </row>
    <row r="129">
      <c r="B129" s="22" t="inlineStr">
        <is>
          <t>Итого денежные затраты</t>
        </is>
      </c>
      <c r="C129" s="24" t="inlineStr">
        <is>
          <t>тыс.руб</t>
        </is>
      </c>
      <c r="D129" s="48" t="n"/>
      <c r="E129" s="57">
        <f>E124+E125+E126+E127+E128</f>
        <v>123992.18614450636</v>
      </c>
      <c r="F129" s="57">
        <f>F124+F125+F126+F127+F128</f>
        <v>129148.65447574487</v>
      </c>
      <c r="G129" s="57">
        <f>G124+G125+G126+G127+G128</f>
        <v>166472.21985570612</v>
      </c>
      <c r="H129" s="57">
        <f>H124+H125+H126+H127+H128</f>
        <v>192518.4715616286</v>
      </c>
      <c r="I129" s="57">
        <f>I124+I125+I126+I127+I128</f>
        <v>143087.39585054808</v>
      </c>
      <c r="J129" s="57">
        <f>J124+J125+J126+J127+J128</f>
        <v>165596.88892624786</v>
      </c>
      <c r="K129" s="57">
        <f>K124+K125+K126+K127+K128</f>
        <v>134212.20932299938</v>
      </c>
      <c r="L129" s="57">
        <f>L124+L125+L126+L127+L128</f>
        <v>199280.75822200932</v>
      </c>
      <c r="M129" s="57">
        <f>M124+M125+M126+M127+M128</f>
        <v>180228.44621319618</v>
      </c>
      <c r="N129" s="57">
        <f>N124+N125+N126+N127+N128</f>
        <v>135412.01272467032</v>
      </c>
    </row>
    <row r="130">
      <c r="B130" s="22" t="inlineStr">
        <is>
          <t>Амортизация (НУ)</t>
        </is>
      </c>
      <c r="C130" s="24" t="inlineStr">
        <is>
          <t>тыс.руб</t>
        </is>
      </c>
      <c r="D130" s="48" t="n"/>
      <c r="E130" s="48">
        <f>IF(E$4&lt;=INT('Параметры'!C9),'Производительность'!I5/'Параметры'!C9,IF(E$4=INT('Параметры'!C9)+1,'Производительность'!I5*('Параметры'!C9-INT('Параметры'!C9))/'Параметры'!C9,0))</f>
        <v>57052.92150304938</v>
      </c>
      <c r="F130" s="48">
        <f>IF(F$4&lt;=INT('Параметры'!C9),'Производительность'!I5/'Параметры'!C9,IF(F$4=INT('Параметры'!C9)+1,'Производительность'!I5*('Параметры'!C9-INT('Параметры'!C9))/'Параметры'!C9,0))</f>
        <v>57052.92150304938</v>
      </c>
      <c r="G130" s="48">
        <f>IF(G$4&lt;=INT('Параметры'!C9),'Производительность'!I5/'Параметры'!C9,IF(G$4=INT('Параметры'!C9)+1,'Производительность'!I5*('Параметры'!C9-INT('Параметры'!C9))/'Параметры'!C9,0))</f>
        <v>57052.92150304938</v>
      </c>
      <c r="H130" s="48">
        <f>IF(H$4&lt;=INT('Параметры'!C9),'Производительность'!I5/'Параметры'!C9,IF(H$4=INT('Параметры'!C9)+1,'Производительность'!I5*('Параметры'!C9-INT('Параметры'!C9))/'Параметры'!C9,0))</f>
        <v>57052.92150304938</v>
      </c>
      <c r="I130" s="48">
        <f>IF(I$4&lt;=INT('Параметры'!C9),'Производительность'!I5/'Параметры'!C9,IF(I$4=INT('Параметры'!C9)+1,'Производительность'!I5*('Параметры'!C9-INT('Параметры'!C9))/'Параметры'!C9,0))</f>
        <v>57052.92150304938</v>
      </c>
      <c r="J130" s="48">
        <f>IF(J$4&lt;=INT('Параметры'!C9),'Производительность'!I5/'Параметры'!C9,IF(J$4=INT('Параметры'!C9)+1,'Производительность'!I5*('Параметры'!C9-INT('Параметры'!C9))/'Параметры'!C9,0))</f>
        <v>4735.392484753109</v>
      </c>
      <c r="K130" s="48">
        <f>IF(K$4&lt;=INT('Параметры'!C9),'Производительность'!I5/'Параметры'!C9,IF(K$4=INT('Параметры'!C9)+1,'Производительность'!I5*('Параметры'!C9-INT('Параметры'!C9))/'Параметры'!C9,0))</f>
        <v>0.0</v>
      </c>
      <c r="L130" s="48">
        <f>IF(L$4&lt;=INT('Параметры'!C9),'Производительность'!I5/'Параметры'!C9,IF(L$4=INT('Параметры'!C9)+1,'Производительность'!I5*('Параметры'!C9-INT('Параметры'!C9))/'Параметры'!C9,0))</f>
        <v>0.0</v>
      </c>
      <c r="M130" s="48">
        <f>IF(M$4&lt;=INT('Параметры'!C9),'Производительность'!I5/'Параметры'!C9,IF(M$4=INT('Параметры'!C9)+1,'Производительность'!I5*('Параметры'!C9-INT('Параметры'!C9))/'Параметры'!C9,0))</f>
        <v>0.0</v>
      </c>
      <c r="N130" s="48">
        <f>IF(N$4&lt;=INT('Параметры'!C9),'Производительность'!I5/'Параметры'!C9,IF(N$4=INT('Параметры'!C9)+1,'Производительность'!I5*('Параметры'!C9-INT('Параметры'!C9))/'Параметры'!C9,0))</f>
        <v>0.0</v>
      </c>
    </row>
    <row r="131">
      <c r="B131" s="22" t="inlineStr">
        <is>
          <t>Налогооблагаемая база</t>
        </is>
      </c>
      <c r="C131" s="24" t="inlineStr">
        <is>
          <t>тыс.руб</t>
        </is>
      </c>
      <c r="D131" s="48" t="n"/>
      <c r="E131" s="48">
        <f>E129+E130</f>
        <v>181045.10764755573</v>
      </c>
      <c r="F131" s="48">
        <f>F129+F130</f>
        <v>186201.57597879425</v>
      </c>
      <c r="G131" s="48">
        <f>G129+G130</f>
        <v>223525.1413587555</v>
      </c>
      <c r="H131" s="48">
        <f>H129+H130</f>
        <v>249571.39306467798</v>
      </c>
      <c r="I131" s="48">
        <f>I129+I130</f>
        <v>200140.31735359746</v>
      </c>
      <c r="J131" s="48">
        <f>J129+J130</f>
        <v>170332.28141100096</v>
      </c>
      <c r="K131" s="48">
        <f>K129+K130</f>
        <v>134212.20932299938</v>
      </c>
      <c r="L131" s="48">
        <f>L129+L130</f>
        <v>199280.75822200932</v>
      </c>
      <c r="M131" s="48">
        <f>M129+M130</f>
        <v>180228.44621319618</v>
      </c>
      <c r="N131" s="48">
        <f>N129+N130</f>
        <v>135412.01272467032</v>
      </c>
    </row>
    <row r="132">
      <c r="B132" s="22" t="inlineStr">
        <is>
          <t>Налог на прибыль (щит)</t>
        </is>
      </c>
      <c r="C132" s="24" t="inlineStr">
        <is>
          <t>тыс.руб</t>
        </is>
      </c>
      <c r="D132" s="48" t="n"/>
      <c r="E132" s="48">
        <f>-E131*'Параметры'!C7</f>
        <v>-45261.276911888934</v>
      </c>
      <c r="F132" s="48">
        <f>-F131*'Параметры'!C7</f>
        <v>-46550.39399469856</v>
      </c>
      <c r="G132" s="48">
        <f>-G131*'Параметры'!C7</f>
        <v>-55881.285339688875</v>
      </c>
      <c r="H132" s="48">
        <f>-H131*'Параметры'!C7</f>
        <v>-62392.848266169494</v>
      </c>
      <c r="I132" s="48">
        <f>-I131*'Параметры'!C7</f>
        <v>-50035.079338399366</v>
      </c>
      <c r="J132" s="48">
        <f>-J131*'Параметры'!C7</f>
        <v>-42583.07035275024</v>
      </c>
      <c r="K132" s="48">
        <f>-K131*'Параметры'!C7</f>
        <v>-33553.052330749844</v>
      </c>
      <c r="L132" s="48">
        <f>-L131*'Параметры'!C7</f>
        <v>-49820.18955550233</v>
      </c>
      <c r="M132" s="48">
        <f>-M131*'Параметры'!C7</f>
        <v>-45057.111553299044</v>
      </c>
      <c r="N132" s="48">
        <f>-N131*'Параметры'!C7</f>
        <v>-33853.00318116758</v>
      </c>
    </row>
    <row r="133">
      <c r="B133" s="22" t="inlineStr">
        <is>
          <t>Операц. денежный поток</t>
        </is>
      </c>
      <c r="C133" s="24" t="inlineStr">
        <is>
          <t>тыс.руб</t>
        </is>
      </c>
      <c r="D133" s="48" t="n"/>
      <c r="E133" s="57">
        <f>E131+E132-E130</f>
        <v>78730.90923261741</v>
      </c>
      <c r="F133" s="57">
        <f>F131+F132-F130</f>
        <v>82598.26048104631</v>
      </c>
      <c r="G133" s="57">
        <f>G131+G132-G130</f>
        <v>110590.93451601724</v>
      </c>
      <c r="H133" s="57">
        <f>H131+H132-H130</f>
        <v>130125.62329545911</v>
      </c>
      <c r="I133" s="57">
        <f>I131+I132-I130</f>
        <v>93052.31651214871</v>
      </c>
      <c r="J133" s="57">
        <f>J131+J132-J130</f>
        <v>123013.81857349761</v>
      </c>
      <c r="K133" s="57">
        <f>K131+K132-K130</f>
        <v>100659.15699224954</v>
      </c>
      <c r="L133" s="57">
        <f>L131+L132-L130</f>
        <v>149460.568666507</v>
      </c>
      <c r="M133" s="57">
        <f>M131+M132-M130</f>
        <v>135171.33465989714</v>
      </c>
      <c r="N133" s="57">
        <f>N131+N132-N130</f>
        <v>101559.00954350273</v>
      </c>
    </row>
    <row r="134">
      <c r="B134" s="22" t="inlineStr">
        <is>
          <t>Инвестиции / остаточная ст-ть</t>
        </is>
      </c>
      <c r="C134" s="24" t="inlineStr">
        <is>
          <t>тыс.руб</t>
        </is>
      </c>
      <c r="D134" s="48">
        <f>IF(D$4=0,'Производительность'!I5,IF(D$4='Параметры'!C8,-'Ввод данных'!I14*'Производительность'!I5,0))</f>
        <v>290000.0</v>
      </c>
      <c r="E134" s="48">
        <f>IF(E$4=0,'Производительность'!I5,IF(E$4='Параметры'!C8,-'Ввод данных'!I14*'Производительность'!I5,0))</f>
        <v>0.0</v>
      </c>
      <c r="F134" s="48">
        <f>IF(F$4=0,'Производительность'!I5,IF(F$4='Параметры'!C8,-'Ввод данных'!I14*'Производительность'!I5,0))</f>
        <v>0.0</v>
      </c>
      <c r="G134" s="48">
        <f>IF(G$4=0,'Производительность'!I5,IF(G$4='Параметры'!C8,-'Ввод данных'!I14*'Производительность'!I5,0))</f>
        <v>0.0</v>
      </c>
      <c r="H134" s="48">
        <f>IF(H$4=0,'Производительность'!I5,IF(H$4='Параметры'!C8,-'Ввод данных'!I14*'Производительность'!I5,0))</f>
        <v>0.0</v>
      </c>
      <c r="I134" s="48">
        <f>IF(I$4=0,'Производительность'!I5,IF(I$4='Параметры'!C8,-'Ввод данных'!I14*'Производительность'!I5,0))</f>
        <v>0.0</v>
      </c>
      <c r="J134" s="48">
        <f>IF(J$4=0,'Производительность'!I5,IF(J$4='Параметры'!C8,-'Ввод данных'!I14*'Производительность'!I5,0))</f>
        <v>0.0</v>
      </c>
      <c r="K134" s="48">
        <f>IF(K$4=0,'Производительность'!I5,IF(K$4='Параметры'!C8,-'Ввод данных'!I14*'Производительность'!I5,0))</f>
        <v>0.0</v>
      </c>
      <c r="L134" s="48">
        <f>IF(L$4=0,'Производительность'!I5,IF(L$4='Параметры'!C8,-'Ввод данных'!I14*'Производительность'!I5,0))</f>
        <v>0.0</v>
      </c>
      <c r="M134" s="48">
        <f>IF(M$4=0,'Производительность'!I5,IF(M$4='Параметры'!C8,-'Ввод данных'!I14*'Производительность'!I5,0))</f>
        <v>0.0</v>
      </c>
      <c r="N134" s="48">
        <f>IF(N$4=0,'Производительность'!I5,IF(N$4='Параметры'!C8,-'Ввод данных'!I14*'Производительность'!I5,0))</f>
        <v>-0.0</v>
      </c>
    </row>
    <row r="135">
      <c r="B135" s="22" t="inlineStr">
        <is>
          <t>Чистый денежный поток</t>
        </is>
      </c>
      <c r="C135" s="24" t="inlineStr">
        <is>
          <t>тыс.руб</t>
        </is>
      </c>
      <c r="D135" s="57">
        <f>0+D134</f>
        <v>290000.0</v>
      </c>
      <c r="E135" s="57">
        <f>E133+E134</f>
        <v>78730.90923261741</v>
      </c>
      <c r="F135" s="57">
        <f>F133+F134</f>
        <v>82598.26048104631</v>
      </c>
      <c r="G135" s="57">
        <f>G133+G134</f>
        <v>110590.93451601724</v>
      </c>
      <c r="H135" s="57">
        <f>H133+H134</f>
        <v>130125.62329545911</v>
      </c>
      <c r="I135" s="57">
        <f>I133+I134</f>
        <v>93052.31651214871</v>
      </c>
      <c r="J135" s="57">
        <f>J133+J134</f>
        <v>123013.81857349761</v>
      </c>
      <c r="K135" s="57">
        <f>K133+K134</f>
        <v>100659.15699224954</v>
      </c>
      <c r="L135" s="57">
        <f>L133+L134</f>
        <v>149460.568666507</v>
      </c>
      <c r="M135" s="57">
        <f>M133+M134</f>
        <v>135171.33465989714</v>
      </c>
      <c r="N135" s="57">
        <f>N133+N134</f>
        <v>101559.00954350273</v>
      </c>
    </row>
    <row r="136">
      <c r="B136" s="22" t="inlineStr">
        <is>
          <t>Дисконтированный поток</t>
        </is>
      </c>
      <c r="C136" s="24" t="inlineStr">
        <is>
          <t>тыс.руб</t>
        </is>
      </c>
      <c r="D136" s="48">
        <f>D135*D$6</f>
        <v>290000.0</v>
      </c>
      <c r="E136" s="48">
        <f>E135*E$6</f>
        <v>70295.45467197982</v>
      </c>
      <c r="F136" s="48">
        <f>F135*F$6</f>
        <v>65846.82755185451</v>
      </c>
      <c r="G136" s="48">
        <f>G135*G$6</f>
        <v>78716.44277572744</v>
      </c>
      <c r="H136" s="48">
        <f>H135*H$6</f>
        <v>82697.1860679611</v>
      </c>
      <c r="I136" s="48">
        <f>I135*I$6</f>
        <v>52800.383375820435</v>
      </c>
      <c r="J136" s="48">
        <f>J135*J$6</f>
        <v>62322.628824194595</v>
      </c>
      <c r="K136" s="48">
        <f>K135*K$6</f>
        <v>45533.090681917245</v>
      </c>
      <c r="L136" s="48">
        <f>L135*L$6</f>
        <v>60364.61692866099</v>
      </c>
      <c r="M136" s="48">
        <f>M135*M$6</f>
        <v>48744.13836849894</v>
      </c>
      <c r="N136" s="48">
        <f>N135*N$6</f>
        <v>32699.283007666952</v>
      </c>
    </row>
    <row r="137">
      <c r="B137" s="22" t="inlineStr">
        <is>
          <t>Кумул. дисконт. поток</t>
        </is>
      </c>
      <c r="C137" s="24" t="inlineStr">
        <is>
          <t>тыс.руб</t>
        </is>
      </c>
      <c r="D137" s="48">
        <f>SUM($D136:D136)</f>
        <v>290000.0</v>
      </c>
      <c r="E137" s="48">
        <f>SUM($D136:E136)</f>
        <v>360295.4546719798</v>
      </c>
      <c r="F137" s="48">
        <f>SUM($D136:F136)</f>
        <v>426142.2822238343</v>
      </c>
      <c r="G137" s="48">
        <f>SUM($D136:G136)</f>
        <v>504858.72499956173</v>
      </c>
      <c r="H137" s="48">
        <f>SUM($D136:H136)</f>
        <v>587555.9110675228</v>
      </c>
      <c r="I137" s="48">
        <f>SUM($D136:I136)</f>
        <v>640356.2944433433</v>
      </c>
      <c r="J137" s="48">
        <f>SUM($D136:J136)</f>
        <v>702678.9232675378</v>
      </c>
      <c r="K137" s="48">
        <f>SUM($D136:K136)</f>
        <v>748212.0139494552</v>
      </c>
      <c r="L137" s="48">
        <f>SUM($D136:L136)</f>
        <v>808576.6308781162</v>
      </c>
      <c r="M137" s="48">
        <f>SUM($D136:M136)</f>
        <v>857320.7692466152</v>
      </c>
      <c r="N137" s="48">
        <f>SUM($D136:N136)</f>
        <v>890020.0522542822</v>
      </c>
    </row>
    <row r="138">
      <c r="B138" s="38" t="inlineStr">
        <is>
          <t>Аннуитет по году</t>
        </is>
      </c>
      <c r="C138" s="24" t="inlineStr">
        <is>
          <t>руб/ткм</t>
        </is>
      </c>
      <c r="D138" s="58" t="n"/>
      <c r="E138" s="58">
        <f>SUM($D136:E136)/SUM($E$6:E$6)/(SUM($E122:E122)/E$4)</f>
        <v>34.33211180954598</v>
      </c>
      <c r="F138" s="58">
        <f>SUM($D136:F136)/SUM($E$6:F$6)/(SUM($E122:F122)/F$4)</f>
        <v>21.70930705282555</v>
      </c>
      <c r="G138" s="58">
        <f>SUM($D136:G136)/SUM($E$6:G$6)/(SUM($E122:G122)/G$4)</f>
        <v>18.229740641934836</v>
      </c>
      <c r="H138" s="58">
        <f>SUM($D136:H136)/SUM($E$6:H$6)/(SUM($E122:H122)/H$4)</f>
        <v>16.92203322534456</v>
      </c>
      <c r="I138" s="58">
        <f>SUM($D136:I136)/SUM($E$6:I$6)/(SUM($E122:I122)/I$4)</f>
        <v>15.551693891971722</v>
      </c>
      <c r="J138" s="58">
        <f>SUM($D136:J136)/SUM($E$6:J$6)/(SUM($E122:J122)/J$4)</f>
        <v>15.05622685080637</v>
      </c>
      <c r="K138" s="58">
        <f>SUM($D136:K136)/SUM($E$6:K$6)/(SUM($E122:K122)/K$4)</f>
        <v>14.55198774371139</v>
      </c>
      <c r="L138" s="58">
        <f>SUM($D136:L136)/SUM($E$6:L$6)/(SUM($E122:L122)/L$4)</f>
        <v>14.446292490634873</v>
      </c>
      <c r="M138" s="58">
        <f>SUM($D136:M136)/SUM($E$6:M$6)/(SUM($E122:M122)/M$4)</f>
        <v>14.340396496209285</v>
      </c>
      <c r="N138" s="58">
        <f>SUM($D136:N136)/SUM($E$6:N$6)/(SUM($E122:N122)/N$4)</f>
        <v>14.095820181363669</v>
      </c>
    </row>
  </sheetData>
  <mergeCells count="8">
    <mergeCell ref="B1:N1"/>
    <mergeCell ref="B8:N8"/>
    <mergeCell ref="B118:N118"/>
    <mergeCell ref="B96:N96"/>
    <mergeCell ref="B74:N74"/>
    <mergeCell ref="B52:N52"/>
    <mergeCell ref="B30:N30"/>
    <mergeCell ref="B2:N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K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РАСЧЁТ АННУИТЕТА (СВОД)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Приведённые NPV затрат из погодового движка → аннуитет руб/ткм и руб/т.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15" t="inlineStr">
        <is>
          <t>Статья</t>
        </is>
      </c>
      <c r="C4" s="15" t="inlineStr">
        <is>
          <t>Ед.</t>
        </is>
      </c>
      <c r="D4" s="15" t="str">
        <f>'Ввод данных'!D7</f>
        <v>NHL NTE 240</v>
      </c>
      <c r="E4" s="15" t="str">
        <f>'Ввод данных'!E7</f>
        <v>Estar ESDE240
(ГПБ К)</v>
      </c>
      <c r="F4" s="15" t="str">
        <f>'Ввод данных'!F7</f>
        <v>SANY SET240S</v>
      </c>
      <c r="G4" s="15" t="str">
        <f>'Ввод данных'!G7</f>
        <v>TZCO TZE240</v>
      </c>
      <c r="H4" s="15" t="str">
        <f>'Ввод данных'!H7</f>
        <v>БелАЗ 7531
(ГПФК)</v>
      </c>
      <c r="I4" s="15" t="str">
        <f>'Ввод данных'!I7</f>
        <v>БелАЗ 7531
(БТЛ)</v>
      </c>
    </row>
    <row r="5">
      <c r="B5" s="5" t="inlineStr">
        <is>
          <t>ПРИВЕДЁННЫЕ ЗАТРАТЫ ЗА ЖИЗНЕННЫЙ ЦИКЛ (NPV, тыс.руб)</t>
        </is>
      </c>
      <c r="C5" s="4" t="n"/>
      <c r="D5" s="4" t="n"/>
      <c r="E5" s="4" t="n"/>
      <c r="F5" s="4" t="n"/>
      <c r="G5" s="4" t="n"/>
      <c r="H5" s="4" t="n"/>
      <c r="I5" s="4" t="n"/>
    </row>
    <row r="6">
      <c r="B6" s="22" t="inlineStr">
        <is>
          <t>NPV топлива</t>
        </is>
      </c>
      <c r="C6" s="24" t="inlineStr">
        <is>
          <t>тыс.руб</t>
        </is>
      </c>
      <c r="D6" s="48">
        <f>SUMPRODUCT('Денежный поток'!E14:N14,'Денежный поток'!$E$6:$N$6)</f>
        <v>387173.73230034637</v>
      </c>
      <c r="E6" s="48">
        <f>SUMPRODUCT('Денежный поток'!E36:N36,'Денежный поток'!$E$6:$N$6)</f>
        <v>335209.3996668825</v>
      </c>
      <c r="F6" s="48">
        <f>SUMPRODUCT('Денежный поток'!E58:N58,'Денежный поток'!$E$6:$N$6)</f>
        <v>354096.7067178115</v>
      </c>
      <c r="G6" s="48">
        <f>SUMPRODUCT('Денежный поток'!E80:N80,'Денежный поток'!$E$6:$N$6)</f>
        <v>354073.44425348385</v>
      </c>
      <c r="H6" s="48">
        <f>SUMPRODUCT('Денежный поток'!E102:N102,'Денежный поток'!$E$6:$N$6)</f>
        <v>371656.69238545094</v>
      </c>
      <c r="I6" s="48">
        <f>SUMPRODUCT('Денежный поток'!E124:N124,'Денежный поток'!$E$6:$N$6)</f>
        <v>378094.09622097603</v>
      </c>
    </row>
    <row r="7">
      <c r="B7" s="22" t="inlineStr">
        <is>
          <t>NPV ТОиР (по годам, вкл. капремонты)</t>
        </is>
      </c>
      <c r="C7" s="24" t="inlineStr">
        <is>
          <t>тыс.руб</t>
        </is>
      </c>
      <c r="D7" s="48">
        <f>SUMPRODUCT('Денежный поток'!E15:N15,'Денежный поток'!$E$6:$N$6)</f>
        <v>143128.79563664872</v>
      </c>
      <c r="E7" s="48">
        <f>SUMPRODUCT('Денежный поток'!E37:N37,'Денежный поток'!$E$6:$N$6)</f>
        <v>444902.2003155484</v>
      </c>
      <c r="F7" s="48">
        <f>SUMPRODUCT('Денежный поток'!E59:N59,'Денежный поток'!$E$6:$N$6)</f>
        <v>246054.1982963717</v>
      </c>
      <c r="G7" s="48">
        <f>SUMPRODUCT('Денежный поток'!E81:N81,'Денежный поток'!$E$6:$N$6)</f>
        <v>423108.0355313008</v>
      </c>
      <c r="H7" s="48">
        <f>SUMPRODUCT('Денежный поток'!E103:N103,'Денежный поток'!$E$6:$N$6)</f>
        <v>263997.2275443145</v>
      </c>
      <c r="I7" s="48">
        <f>SUMPRODUCT('Денежный поток'!E125:N125,'Денежный поток'!$E$6:$N$6)</f>
        <v>260275.87442517473</v>
      </c>
    </row>
    <row r="8">
      <c r="B8" s="22" t="inlineStr">
        <is>
          <t>NPV шин</t>
        </is>
      </c>
      <c r="C8" s="24" t="inlineStr">
        <is>
          <t>тыс.руб</t>
        </is>
      </c>
      <c r="D8" s="48">
        <f>SUMPRODUCT('Денежный поток'!E16:N16,'Денежный поток'!$E$6:$N$6)</f>
        <v>130217.37035047909</v>
      </c>
      <c r="E8" s="48">
        <f>SUMPRODUCT('Денежный поток'!E38:N38,'Денежный поток'!$E$6:$N$6)</f>
        <v>121491.08093737287</v>
      </c>
      <c r="F8" s="48">
        <f>SUMPRODUCT('Денежный поток'!E60:N60,'Денежный поток'!$E$6:$N$6)</f>
        <v>125388.48522023439</v>
      </c>
      <c r="G8" s="48">
        <f>SUMPRODUCT('Денежный поток'!E82:N82,'Денежный поток'!$E$6:$N$6)</f>
        <v>122196.0413216724</v>
      </c>
      <c r="H8" s="48">
        <f>SUMPRODUCT('Денежный поток'!E104:N104,'Денежный поток'!$E$6:$N$6)</f>
        <v>123266.97349989552</v>
      </c>
      <c r="I8" s="48">
        <f>SUMPRODUCT('Денежный поток'!E126:N126,'Денежный поток'!$E$6:$N$6)</f>
        <v>125402.06027287581</v>
      </c>
    </row>
    <row r="9">
      <c r="B9" s="22" t="inlineStr">
        <is>
          <t>NPV персонала</t>
        </is>
      </c>
      <c r="C9" s="24" t="inlineStr">
        <is>
          <t>тыс.руб</t>
        </is>
      </c>
      <c r="D9" s="48">
        <f>SUMPRODUCT('Денежный поток'!E17:N17,'Денежный поток'!$E$6:$N$6)</f>
        <v>104391.26058370774</v>
      </c>
      <c r="E9" s="48">
        <f>SUMPRODUCT('Денежный поток'!E39:N39,'Денежный поток'!$E$6:$N$6)</f>
        <v>104391.26058370774</v>
      </c>
      <c r="F9" s="48">
        <f>SUMPRODUCT('Денежный поток'!E61:N61,'Денежный поток'!$E$6:$N$6)</f>
        <v>104391.26058370774</v>
      </c>
      <c r="G9" s="48">
        <f>SUMPRODUCT('Денежный поток'!E83:N83,'Денежный поток'!$E$6:$N$6)</f>
        <v>104391.26058370774</v>
      </c>
      <c r="H9" s="48">
        <f>SUMPRODUCT('Денежный поток'!E105:N105,'Денежный поток'!$E$6:$N$6)</f>
        <v>104391.26058370774</v>
      </c>
      <c r="I9" s="48">
        <f>SUMPRODUCT('Денежный поток'!E127:N127,'Денежный поток'!$E$6:$N$6)</f>
        <v>104391.26058370774</v>
      </c>
    </row>
    <row r="10">
      <c r="B10" s="22" t="inlineStr">
        <is>
          <t>NPV транспортного налога</t>
        </is>
      </c>
      <c r="C10" s="24" t="inlineStr">
        <is>
          <t>тыс.руб</t>
        </is>
      </c>
      <c r="D10" s="48">
        <f>SUMPRODUCT('Денежный поток'!E18:N18,'Денежный поток'!$E$6:$N$6)</f>
        <v>1200.6723935373082</v>
      </c>
      <c r="E10" s="48">
        <f>SUMPRODUCT('Денежный поток'!E40:N40,'Денежный поток'!$E$6:$N$6)</f>
        <v>895.2213366214171</v>
      </c>
      <c r="F10" s="48">
        <f>SUMPRODUCT('Денежный поток'!E62:N62,'Денежный поток'!$E$6:$N$6)</f>
        <v>1365.404645930627</v>
      </c>
      <c r="G10" s="48">
        <f>SUMPRODUCT('Денежный поток'!E84:N84,'Денежный поток'!$E$6:$N$6)</f>
        <v>1200.6723935373082</v>
      </c>
      <c r="H10" s="48">
        <f>SUMPRODUCT('Денежный поток'!E106:N106,'Денежный поток'!$E$6:$N$6)</f>
        <v>1217.4818070468307</v>
      </c>
      <c r="I10" s="48">
        <f>SUMPRODUCT('Денежный поток'!E128:N128,'Денежный поток'!$E$6:$N$6)</f>
        <v>1217.4818070468307</v>
      </c>
    </row>
    <row r="11">
      <c r="B11" s="22" t="inlineStr">
        <is>
          <t>NPV налога (щит)</t>
        </is>
      </c>
      <c r="C11" s="24" t="inlineStr">
        <is>
          <t>тыс.руб</t>
        </is>
      </c>
      <c r="D11" s="48">
        <f>SUMPRODUCT('Денежный поток'!E22:N22,'Денежный поток'!$E$6:$N$6)</f>
        <v>-237338.2124501655</v>
      </c>
      <c r="E11" s="48">
        <f>SUMPRODUCT('Денежный поток'!E44:N44,'Денежный поток'!$E$6:$N$6)</f>
        <v>-298955.2238365478</v>
      </c>
      <c r="F11" s="48">
        <f>SUMPRODUCT('Денежный поток'!E66:N66,'Денежный поток'!$E$6:$N$6)</f>
        <v>-253370.05652372446</v>
      </c>
      <c r="G11" s="48">
        <f>SUMPRODUCT('Денежный поток'!E88:N88,'Денежный поток'!$E$6:$N$6)</f>
        <v>-296788.40617863595</v>
      </c>
      <c r="H11" s="48">
        <f>SUMPRODUCT('Денежный поток'!E110:N110,'Денежный поток'!$E$6:$N$6)</f>
        <v>-269941.57557033194</v>
      </c>
      <c r="I11" s="48">
        <f>SUMPRODUCT('Денежный поток'!E132:N132,'Денежный поток'!$E$6:$N$6)</f>
        <v>-269360.72105549905</v>
      </c>
    </row>
    <row r="12">
      <c r="B12" s="22" t="inlineStr">
        <is>
          <t>NPV инвестиций (за вычетом остат.)</t>
        </is>
      </c>
      <c r="C12" s="24" t="inlineStr">
        <is>
          <t>тыс.руб</t>
        </is>
      </c>
      <c r="D12" s="48">
        <f>'Производительность'!D5*(1-'Ввод данных'!D14*'Денежный поток'!$N$6)</f>
        <v>255404.00000000003</v>
      </c>
      <c r="E12" s="48">
        <f>'Производительность'!E5*(1-'Ввод данных'!E14*'Денежный поток'!$N$6)</f>
        <v>263335.8</v>
      </c>
      <c r="F12" s="48">
        <f>'Производительность'!F5*(1-'Ввод данных'!F14*'Денежный поток'!$N$6)</f>
        <v>253930.95</v>
      </c>
      <c r="G12" s="48">
        <f>'Производительность'!G5*(1-'Ввод данных'!G14*'Денежный поток'!$N$6)</f>
        <v>253930.95</v>
      </c>
      <c r="H12" s="48">
        <f>'Производительность'!H5*(1-'Ввод данных'!H14*'Денежный поток'!$N$6)</f>
        <v>300000.0</v>
      </c>
      <c r="I12" s="48">
        <f>'Производительность'!I5*(1-'Ввод данных'!I14*'Денежный поток'!$N$6)</f>
        <v>290000.0</v>
      </c>
    </row>
    <row r="13">
      <c r="B13" s="47" t="inlineStr">
        <is>
          <t>NPV операционных затрат</t>
        </is>
      </c>
      <c r="C13" s="24" t="inlineStr">
        <is>
          <t>тыс.руб</t>
        </is>
      </c>
      <c r="D13" s="57">
        <f>D6+D7+D8+D9+D10+D11</f>
        <v>528773.6188145537</v>
      </c>
      <c r="E13" s="57">
        <f>E6+E7+E8+E9+E10+E11</f>
        <v>707933.9390035851</v>
      </c>
      <c r="F13" s="57">
        <f>F6+F7+F8+F9+F10+F11</f>
        <v>577925.9989403315</v>
      </c>
      <c r="G13" s="57">
        <f>G6+G7+G8+G9+G10+G11</f>
        <v>708181.047905066</v>
      </c>
      <c r="H13" s="57">
        <f>H6+H7+H8+H9+H10+H11</f>
        <v>594588.0602500835</v>
      </c>
      <c r="I13" s="57">
        <f>I6+I7+I8+I9+I10+I11</f>
        <v>600020.052254282</v>
      </c>
    </row>
    <row r="14">
      <c r="B14" s="38" t="inlineStr">
        <is>
          <t>NPV полной стоимости владения</t>
        </is>
      </c>
      <c r="C14" s="24" t="inlineStr">
        <is>
          <t>тыс.руб</t>
        </is>
      </c>
      <c r="D14" s="59">
        <f>D12+D13</f>
        <v>784177.6188145537</v>
      </c>
      <c r="E14" s="59">
        <f>E12+E13</f>
        <v>971269.7390035852</v>
      </c>
      <c r="F14" s="59">
        <f>F12+F13</f>
        <v>831856.9489403316</v>
      </c>
      <c r="G14" s="59">
        <f>G12+G13</f>
        <v>962111.997905066</v>
      </c>
      <c r="H14" s="59">
        <f>H12+H13</f>
        <v>894588.0602500835</v>
      </c>
      <c r="I14" s="59">
        <f>I12+I13</f>
        <v>890020.052254282</v>
      </c>
    </row>
    <row r="15">
      <c r="B15" s="22" t="inlineStr">
        <is>
          <t>Средний годовой грузооборот</t>
        </is>
      </c>
      <c r="C15" s="24" t="inlineStr">
        <is>
          <t>тыс.ткм/год</t>
        </is>
      </c>
      <c r="D15" s="48">
        <f>AVERAGE('Денежный поток'!E12:N12)</f>
        <v>11521.128375826138</v>
      </c>
      <c r="E15" s="48">
        <f>AVERAGE('Денежный поток'!E34:N34)</f>
        <v>9915.344237817004</v>
      </c>
      <c r="F15" s="48">
        <f>AVERAGE('Денежный поток'!E56:N56)</f>
        <v>10496.48653292737</v>
      </c>
      <c r="G15" s="48">
        <f>AVERAGE('Денежный поток'!E78:N78)</f>
        <v>10563.644828998633</v>
      </c>
      <c r="H15" s="48">
        <f>AVERAGE('Денежный поток'!E100:N100)</f>
        <v>11015.660960432606</v>
      </c>
      <c r="I15" s="48">
        <f>AVERAGE('Денежный поток'!E122:N122)</f>
        <v>11174.90525609742</v>
      </c>
    </row>
    <row r="16">
      <c r="B16" s="22" t="inlineStr">
        <is>
          <t>Средний годовой объём перевозки</t>
        </is>
      </c>
      <c r="C16" s="24" t="inlineStr">
        <is>
          <t>тыс.т/год</t>
        </is>
      </c>
      <c r="D16" s="48">
        <f>AVERAGE('Денежный поток'!E11:N11)</f>
        <v>3790.343589888847</v>
      </c>
      <c r="E16" s="48">
        <f>AVERAGE('Денежный поток'!E33:N33)</f>
        <v>3262.0556118624177</v>
      </c>
      <c r="F16" s="48">
        <f>AVERAGE('Денежный поток'!E55:N55)</f>
        <v>3453.245997146786</v>
      </c>
      <c r="G16" s="48">
        <f>AVERAGE('Денежный поток'!E77:N77)</f>
        <v>3475.3404490717962</v>
      </c>
      <c r="H16" s="48">
        <f>AVERAGE('Денежный поток'!E99:N99)</f>
        <v>3624.0495329755913</v>
      </c>
      <c r="I16" s="48">
        <f>AVERAGE('Денежный поток'!E121:N121)</f>
        <v>3676.43941837657</v>
      </c>
    </row>
    <row r="17">
      <c r="B17" s="5" t="inlineStr">
        <is>
          <t>УДЕЛЬНЫЙ АННУИТЕТ (руб/ткм) — ГЛАВНЫЙ КРИТЕРИЙ</t>
        </is>
      </c>
      <c r="C17" s="4" t="n"/>
      <c r="D17" s="4" t="n"/>
      <c r="E17" s="4" t="n"/>
      <c r="F17" s="4" t="n"/>
      <c r="G17" s="4" t="n"/>
      <c r="H17" s="4" t="n"/>
      <c r="I17" s="4" t="n"/>
    </row>
    <row r="18">
      <c r="B18" s="22" t="inlineStr">
        <is>
          <t>Инвестиционный</t>
        </is>
      </c>
      <c r="C18" s="24" t="inlineStr">
        <is>
          <t>руб/ткм</t>
        </is>
      </c>
      <c r="D18" s="49">
        <f>D12/'Параметры'!C45/D15</f>
        <v>3.9234406551640832</v>
      </c>
      <c r="E18" s="49">
        <f>E12/'Параметры'!C45/E15</f>
        <v>4.700418395824133</v>
      </c>
      <c r="F18" s="49">
        <f>F12/'Параметры'!C45/F15</f>
        <v>4.281600019119095</v>
      </c>
      <c r="G18" s="49">
        <f>G12/'Параметры'!C45/G15</f>
        <v>4.25437977777272</v>
      </c>
      <c r="H18" s="49">
        <f>H12/'Параметры'!C45/H15</f>
        <v>4.819978523183239</v>
      </c>
      <c r="I18" s="49">
        <f>I12/'Параметры'!C45/I15</f>
        <v>4.5929165778251075</v>
      </c>
    </row>
    <row r="19">
      <c r="B19" s="22" t="inlineStr">
        <is>
          <t>Топливо</t>
        </is>
      </c>
      <c r="C19" s="24" t="inlineStr">
        <is>
          <t>руб/ткм</t>
        </is>
      </c>
      <c r="D19" s="49">
        <f>D6/'Параметры'!C45/D15</f>
        <v>5.947648282402759</v>
      </c>
      <c r="E19" s="49">
        <f>E6/'Параметры'!C45/E15</f>
        <v>5.9833278598936355</v>
      </c>
      <c r="F19" s="49">
        <f>F6/'Параметры'!C45/F15</f>
        <v>5.970522562346143</v>
      </c>
      <c r="G19" s="49">
        <f>G6/'Параметры'!C45/G15</f>
        <v>5.932175266852498</v>
      </c>
      <c r="H19" s="49">
        <f>H6/'Параметры'!C45/H15</f>
        <v>5.971257584317311</v>
      </c>
      <c r="I19" s="49">
        <f>I6/'Параметры'!C45/I15</f>
        <v>5.988119456934904</v>
      </c>
    </row>
    <row r="20">
      <c r="B20" s="22" t="inlineStr">
        <is>
          <t>ТОиР + капремонты</t>
        </is>
      </c>
      <c r="C20" s="24" t="inlineStr">
        <is>
          <t>руб/ткм</t>
        </is>
      </c>
      <c r="D20" s="49">
        <f>D7/'Параметры'!C45/D15</f>
        <v>2.198702196228325</v>
      </c>
      <c r="E20" s="49">
        <f>E7/'Параметры'!C45/E15</f>
        <v>7.941292018426044</v>
      </c>
      <c r="F20" s="49">
        <f>F7/'Параметры'!C45/F15</f>
        <v>4.148787928884126</v>
      </c>
      <c r="G20" s="49">
        <f>G7/'Параметры'!C45/G15</f>
        <v>7.088786420786862</v>
      </c>
      <c r="H20" s="49">
        <f>H7/'Параметры'!C45/H15</f>
        <v>4.2415365564783825</v>
      </c>
      <c r="I20" s="49">
        <f>I7/'Параметры'!C45/I15</f>
        <v>4.122156477432107</v>
      </c>
    </row>
    <row r="21">
      <c r="B21" s="22" t="inlineStr">
        <is>
          <t>Шины</t>
        </is>
      </c>
      <c r="C21" s="24" t="inlineStr">
        <is>
          <t>руб/ткм</t>
        </is>
      </c>
      <c r="D21" s="49">
        <f>D8/'Параметры'!C45/D15</f>
        <v>2.0003607024229364</v>
      </c>
      <c r="E21" s="49">
        <f>E8/'Параметры'!C45/E15</f>
        <v>2.1685578328756896</v>
      </c>
      <c r="F21" s="49">
        <f>F8/'Параметры'!C45/F15</f>
        <v>2.1142099484772134</v>
      </c>
      <c r="G21" s="49">
        <f>G8/'Параметры'!C45/G15</f>
        <v>2.0472824093431807</v>
      </c>
      <c r="H21" s="49">
        <f>H8/'Параметры'!C45/H15</f>
        <v>1.980480549624313</v>
      </c>
      <c r="I21" s="49">
        <f>I8/'Параметры'!C45/I15</f>
        <v>1.9860731086921197</v>
      </c>
    </row>
    <row r="22">
      <c r="B22" s="22" t="inlineStr">
        <is>
          <t>Персонал</t>
        </is>
      </c>
      <c r="C22" s="24" t="inlineStr">
        <is>
          <t>руб/ткм</t>
        </is>
      </c>
      <c r="D22" s="49">
        <f>D9/'Параметры'!C45/D15</f>
        <v>1.603627648031929</v>
      </c>
      <c r="E22" s="49">
        <f>E9/'Параметры'!C45/E15</f>
        <v>1.8633341976705429</v>
      </c>
      <c r="F22" s="49">
        <f>F9/'Параметры'!C45/F15</f>
        <v>1.7601699332478749</v>
      </c>
      <c r="G22" s="49">
        <f>G9/'Параметры'!C45/G15</f>
        <v>1.748979665548956</v>
      </c>
      <c r="H22" s="49">
        <f>H9/'Параметры'!C45/H15</f>
        <v>1.6772121134049878</v>
      </c>
      <c r="I22" s="49">
        <f>I9/'Параметры'!C45/I15</f>
        <v>1.6533115562585243</v>
      </c>
    </row>
    <row r="23">
      <c r="B23" s="22" t="inlineStr">
        <is>
          <t>Транспортный налог</t>
        </is>
      </c>
      <c r="C23" s="24" t="inlineStr">
        <is>
          <t>руб/ткм</t>
        </is>
      </c>
      <c r="D23" s="49">
        <f>D10/'Параметры'!C45/D15</f>
        <v>0.018444373942214858</v>
      </c>
      <c r="E23" s="49">
        <f>E10/'Параметры'!C45/E15</f>
        <v>0.01597927375992773</v>
      </c>
      <c r="F23" s="49">
        <f>F10/'Параметры'!C45/F15</f>
        <v>0.02302246558807374</v>
      </c>
      <c r="G23" s="49">
        <f>G10/'Параметры'!C45/G15</f>
        <v>0.020116162881267892</v>
      </c>
      <c r="H23" s="49">
        <f>H10/'Параметры'!C45/H15</f>
        <v>0.019560787207773482</v>
      </c>
      <c r="I23" s="49">
        <f>I10/'Параметры'!C45/I15</f>
        <v>0.01928204267167537</v>
      </c>
    </row>
    <row r="24">
      <c r="B24" s="22" t="inlineStr">
        <is>
          <t>Налог на прибыль (щит)</t>
        </is>
      </c>
      <c r="C24" s="24" t="inlineStr">
        <is>
          <t>руб/ткм</t>
        </is>
      </c>
      <c r="D24" s="49">
        <f>D11/'Параметры'!C45/D15</f>
        <v>-3.64591937381932</v>
      </c>
      <c r="E24" s="49">
        <f>E11/'Параметры'!C45/E15</f>
        <v>-5.336208117730406</v>
      </c>
      <c r="F24" s="49">
        <f>F11/'Параметры'!C45/F15</f>
        <v>-4.272142638997668</v>
      </c>
      <c r="G24" s="49">
        <f>G11/'Параметры'!C45/G15</f>
        <v>-4.972417082375287</v>
      </c>
      <c r="H24" s="49">
        <f>H11/'Параметры'!C45/H15</f>
        <v>-4.337041989210817</v>
      </c>
      <c r="I24" s="49">
        <f>I11/'Параметры'!C45/I15</f>
        <v>-4.26603903845078</v>
      </c>
    </row>
    <row r="25">
      <c r="B25" s="47" t="inlineStr">
        <is>
          <t>Операционный аннуитет</t>
        </is>
      </c>
      <c r="C25" s="24" t="inlineStr">
        <is>
          <t>руб/ткм</t>
        </is>
      </c>
      <c r="D25" s="60">
        <f>D13/'Параметры'!C45/D15</f>
        <v>8.122863829208844</v>
      </c>
      <c r="E25" s="60">
        <f>E13/'Параметры'!C45/E15</f>
        <v>12.636283064895434</v>
      </c>
      <c r="F25" s="60">
        <f>F13/'Параметры'!C45/F15</f>
        <v>9.744570199545763</v>
      </c>
      <c r="G25" s="60">
        <f>G13/'Параметры'!C45/G15</f>
        <v>11.864922843037474</v>
      </c>
      <c r="H25" s="60">
        <f>H13/'Параметры'!C45/H15</f>
        <v>9.553005601821948</v>
      </c>
      <c r="I25" s="60">
        <f>I13/'Параметры'!C45/I15</f>
        <v>9.50290360353855</v>
      </c>
    </row>
    <row r="26">
      <c r="B26" s="38" t="inlineStr">
        <is>
          <t>ОБЩИЙ АННУИТЕТ</t>
        </is>
      </c>
      <c r="C26" s="24" t="inlineStr">
        <is>
          <t>руб/ткм</t>
        </is>
      </c>
      <c r="D26" s="61">
        <f>D14/'Параметры'!C45/D15</f>
        <v>12.046304484372927</v>
      </c>
      <c r="E26" s="61">
        <f>E14/'Параметры'!C45/E15</f>
        <v>17.336701460719567</v>
      </c>
      <c r="F26" s="61">
        <f>F14/'Параметры'!C45/F15</f>
        <v>14.02617021866486</v>
      </c>
      <c r="G26" s="61">
        <f>G14/'Параметры'!C45/G15</f>
        <v>16.119302620810195</v>
      </c>
      <c r="H26" s="61">
        <f>H14/'Параметры'!C45/H15</f>
        <v>14.372984125005184</v>
      </c>
      <c r="I26" s="61">
        <f>I14/'Параметры'!C45/I15</f>
        <v>14.09582018136366</v>
      </c>
    </row>
    <row r="27">
      <c r="B27" s="5" t="inlineStr">
        <is>
          <t>ДОПОЛНИТЕЛЬНЫЕ ПОКАЗАТЕЛИ</t>
        </is>
      </c>
      <c r="C27" s="4" t="n"/>
      <c r="D27" s="4" t="n"/>
      <c r="E27" s="4" t="n"/>
      <c r="F27" s="4" t="n"/>
      <c r="G27" s="4" t="n"/>
      <c r="H27" s="4" t="n"/>
      <c r="I27" s="4" t="n"/>
    </row>
    <row r="28">
      <c r="B28" s="47" t="inlineStr">
        <is>
          <t>Удельный аннуитет на тонну</t>
        </is>
      </c>
      <c r="C28" s="24" t="inlineStr">
        <is>
          <t>руб/т</t>
        </is>
      </c>
      <c r="D28" s="60">
        <f>D26*'Параметры'!C28</f>
        <v>36.61594711069995</v>
      </c>
      <c r="E28" s="60">
        <f>E26*'Параметры'!C28</f>
        <v>52.6966377600032</v>
      </c>
      <c r="F28" s="60">
        <f>F26*'Параметры'!C28</f>
        <v>42.633946996653705</v>
      </c>
      <c r="G28" s="60">
        <f>G26*'Параметры'!C28</f>
        <v>48.996232246214674</v>
      </c>
      <c r="H28" s="60">
        <f>H26*'Параметры'!C28</f>
        <v>43.688122546365754</v>
      </c>
      <c r="I28" s="60">
        <f>I26*'Параметры'!C28</f>
        <v>42.84565502327298</v>
      </c>
    </row>
    <row r="29">
      <c r="B29" s="22" t="inlineStr">
        <is>
          <t>Себестоимость (без дисконта)</t>
        </is>
      </c>
      <c r="C29" s="24" t="inlineStr">
        <is>
          <t>руб/ткм</t>
        </is>
      </c>
      <c r="D29" s="49">
        <f>AVERAGE('Денежный поток'!E19:N19)/D15</f>
        <v>11.995798291200284</v>
      </c>
      <c r="E29" s="49">
        <f>AVERAGE('Денежный поток'!E41:N41)/E15</f>
        <v>18.167994480261978</v>
      </c>
      <c r="F29" s="49">
        <f>AVERAGE('Денежный поток'!E63:N63)/F15</f>
        <v>14.350630898184937</v>
      </c>
      <c r="G29" s="49">
        <f>AVERAGE('Денежный поток'!E85:N85)/G15</f>
        <v>16.713117856368445</v>
      </c>
      <c r="H29" s="49">
        <f>AVERAGE('Денежный поток'!E107:N107)/H15</f>
        <v>14.139196326454906</v>
      </c>
      <c r="I29" s="49">
        <f>AVERAGE('Денежный поток'!E129:N129)/I15</f>
        <v>14.04888191280761</v>
      </c>
    </row>
    <row r="30">
      <c r="B30" s="22" t="inlineStr">
        <is>
          <t>Доля инвестиций в аннуитете</t>
        </is>
      </c>
      <c r="C30" s="24" t="inlineStr">
        <is>
          <t>%</t>
        </is>
      </c>
      <c r="D30" s="51">
        <f>D18/D26</f>
        <v>0.32569662009239164</v>
      </c>
      <c r="E30" s="51">
        <f>E18/E26</f>
        <v>0.27112530065041796</v>
      </c>
      <c r="F30" s="51">
        <f>F18/F26</f>
        <v>0.3052579536944089</v>
      </c>
      <c r="G30" s="51">
        <f>G18/G26</f>
        <v>0.26393075915581293</v>
      </c>
      <c r="H30" s="51">
        <f>H18/H26</f>
        <v>0.33534988150426975</v>
      </c>
      <c r="I30" s="51">
        <f>I18/I26</f>
        <v>0.32583535535573066</v>
      </c>
    </row>
  </sheetData>
  <mergeCells count="5">
    <mergeCell ref="B1:K1"/>
    <mergeCell ref="B5:I5"/>
    <mergeCell ref="B2:K2"/>
    <mergeCell ref="B27:I27"/>
    <mergeCell ref="B17:I1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K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СРАВНИТЕЛЬНЫЙ АНАЛИЗ АВТОСАМОСВАЛОВ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Ранжирование по удельному аннуитету (руб/ткм). Зелёным — лучший вариант.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str">
        <f>'Ввод данных'!D7</f>
        <v>NHL NTE 240</v>
      </c>
      <c r="E4" s="15" t="str">
        <f>'Ввод данных'!E7</f>
        <v>Estar ESDE240
(ГПБ К)</v>
      </c>
      <c r="F4" s="15" t="str">
        <f>'Ввод данных'!F7</f>
        <v>SANY SET240S</v>
      </c>
      <c r="G4" s="15" t="str">
        <f>'Ввод данных'!G7</f>
        <v>TZCO TZE240</v>
      </c>
      <c r="H4" s="15" t="str">
        <f>'Ввод данных'!H7</f>
        <v>БелАЗ 7531
(ГПФК)</v>
      </c>
      <c r="I4" s="15" t="str">
        <f>'Ввод данных'!I7</f>
        <v>БелАЗ 7531
(БТЛ)</v>
      </c>
    </row>
    <row r="5">
      <c r="B5" s="22" t="inlineStr">
        <is>
          <t>Стоимость (в рублях)</t>
        </is>
      </c>
      <c r="C5" s="24" t="inlineStr">
        <is>
          <t>тыс.руб</t>
        </is>
      </c>
      <c r="D5" s="48">
        <f>'Производительность'!D5</f>
        <v>255404.00000000003</v>
      </c>
      <c r="E5" s="48">
        <f>'Производительность'!E5</f>
        <v>263335.8</v>
      </c>
      <c r="F5" s="48">
        <f>'Производительность'!F5</f>
        <v>253930.95</v>
      </c>
      <c r="G5" s="48">
        <f>'Производительность'!G5</f>
        <v>253930.95</v>
      </c>
      <c r="H5" s="48">
        <f>'Производительность'!H5</f>
        <v>300000.0</v>
      </c>
      <c r="I5" s="48">
        <f>'Производительность'!I5</f>
        <v>290000.0</v>
      </c>
    </row>
    <row r="6">
      <c r="B6" s="22" t="inlineStr">
        <is>
          <t>Часовая производительность</t>
        </is>
      </c>
      <c r="C6" s="24" t="inlineStr">
        <is>
          <t>т/эфф.час</t>
        </is>
      </c>
      <c r="D6" s="62">
        <f>'Производительность'!D9</f>
        <v>545.6644776009367</v>
      </c>
      <c r="E6" s="62">
        <f>'Производительность'!E9</f>
        <v>506.3613048683812</v>
      </c>
      <c r="F6" s="62">
        <f>'Производительность'!F9</f>
        <v>518.2662761312286</v>
      </c>
      <c r="G6" s="62">
        <f>'Производительность'!G9</f>
        <v>531.7713521835293</v>
      </c>
      <c r="H6" s="62">
        <f>'Производительность'!H9</f>
        <v>553.3296502450237</v>
      </c>
      <c r="I6" s="62">
        <f>'Производительность'!I9</f>
        <v>553.3296502450237</v>
      </c>
    </row>
    <row r="7">
      <c r="B7" s="22" t="inlineStr">
        <is>
          <t>Средний годовой грузооборот</t>
        </is>
      </c>
      <c r="C7" s="24" t="inlineStr">
        <is>
          <t>тыс.ткм</t>
        </is>
      </c>
      <c r="D7" s="48">
        <f>'Расчёт аннуитета'!D15</f>
        <v>11521.128375826138</v>
      </c>
      <c r="E7" s="48">
        <f>'Расчёт аннуитета'!E15</f>
        <v>9915.344237817004</v>
      </c>
      <c r="F7" s="48">
        <f>'Расчёт аннуитета'!F15</f>
        <v>10496.48653292737</v>
      </c>
      <c r="G7" s="48">
        <f>'Расчёт аннуитета'!G15</f>
        <v>10563.644828998633</v>
      </c>
      <c r="H7" s="48">
        <f>'Расчёт аннуитета'!H15</f>
        <v>11015.660960432606</v>
      </c>
      <c r="I7" s="48">
        <f>'Расчёт аннуитета'!I15</f>
        <v>11174.90525609742</v>
      </c>
    </row>
    <row r="8">
      <c r="B8" s="22" t="inlineStr">
        <is>
          <t>NPV стоимости владения</t>
        </is>
      </c>
      <c r="C8" s="24" t="inlineStr">
        <is>
          <t>тыс.руб</t>
        </is>
      </c>
      <c r="D8" s="48">
        <f>'Расчёт аннуитета'!D14</f>
        <v>784177.6188145537</v>
      </c>
      <c r="E8" s="48">
        <f>'Расчёт аннуитета'!E14</f>
        <v>971269.7390035852</v>
      </c>
      <c r="F8" s="48">
        <f>'Расчёт аннуитета'!F14</f>
        <v>831856.9489403316</v>
      </c>
      <c r="G8" s="48">
        <f>'Расчёт аннуитета'!G14</f>
        <v>962111.997905066</v>
      </c>
      <c r="H8" s="48">
        <f>'Расчёт аннуитета'!H14</f>
        <v>894588.0602500835</v>
      </c>
      <c r="I8" s="48">
        <f>'Расчёт аннуитета'!I14</f>
        <v>890020.052254282</v>
      </c>
    </row>
    <row r="9">
      <c r="B9" s="22" t="inlineStr">
        <is>
          <t>Себестоимость (без дисконта)</t>
        </is>
      </c>
      <c r="C9" s="24" t="inlineStr">
        <is>
          <t>руб/ткм</t>
        </is>
      </c>
      <c r="D9" s="49">
        <f>'Расчёт аннуитета'!D29</f>
        <v>11.995798291200284</v>
      </c>
      <c r="E9" s="49">
        <f>'Расчёт аннуитета'!E29</f>
        <v>18.167994480261978</v>
      </c>
      <c r="F9" s="49">
        <f>'Расчёт аннуитета'!F29</f>
        <v>14.350630898184937</v>
      </c>
      <c r="G9" s="49">
        <f>'Расчёт аннуитета'!G29</f>
        <v>16.713117856368445</v>
      </c>
      <c r="H9" s="49">
        <f>'Расчёт аннуитета'!H29</f>
        <v>14.139196326454906</v>
      </c>
      <c r="I9" s="49">
        <f>'Расчёт аннуитета'!I29</f>
        <v>14.04888191280761</v>
      </c>
    </row>
    <row r="10">
      <c r="B10" s="22" t="inlineStr">
        <is>
          <t>Инвестиционный аннуитет</t>
        </is>
      </c>
      <c r="C10" s="24" t="inlineStr">
        <is>
          <t>руб/ткм</t>
        </is>
      </c>
      <c r="D10" s="49">
        <f>'Расчёт аннуитета'!D18</f>
        <v>3.9234406551640832</v>
      </c>
      <c r="E10" s="49">
        <f>'Расчёт аннуитета'!E18</f>
        <v>4.700418395824133</v>
      </c>
      <c r="F10" s="49">
        <f>'Расчёт аннуитета'!F18</f>
        <v>4.281600019119095</v>
      </c>
      <c r="G10" s="49">
        <f>'Расчёт аннуитета'!G18</f>
        <v>4.25437977777272</v>
      </c>
      <c r="H10" s="49">
        <f>'Расчёт аннуитета'!H18</f>
        <v>4.819978523183239</v>
      </c>
      <c r="I10" s="49">
        <f>'Расчёт аннуитета'!I18</f>
        <v>4.5929165778251075</v>
      </c>
    </row>
    <row r="11">
      <c r="B11" s="22" t="inlineStr">
        <is>
          <t>Операционный аннуитет</t>
        </is>
      </c>
      <c r="C11" s="24" t="inlineStr">
        <is>
          <t>руб/ткм</t>
        </is>
      </c>
      <c r="D11" s="49">
        <f>'Расчёт аннуитета'!D25</f>
        <v>8.122863829208844</v>
      </c>
      <c r="E11" s="49">
        <f>'Расчёт аннуитета'!E25</f>
        <v>12.636283064895434</v>
      </c>
      <c r="F11" s="49">
        <f>'Расчёт аннуитета'!F25</f>
        <v>9.744570199545763</v>
      </c>
      <c r="G11" s="49">
        <f>'Расчёт аннуитета'!G25</f>
        <v>11.864922843037474</v>
      </c>
      <c r="H11" s="49">
        <f>'Расчёт аннуитета'!H25</f>
        <v>9.553005601821948</v>
      </c>
      <c r="I11" s="49">
        <f>'Расчёт аннуитета'!I25</f>
        <v>9.50290360353855</v>
      </c>
    </row>
    <row r="12">
      <c r="B12" s="47" t="inlineStr">
        <is>
          <t>ОБЩИЙ АННУИТЕТ</t>
        </is>
      </c>
      <c r="C12" s="24" t="inlineStr">
        <is>
          <t>руб/ткм</t>
        </is>
      </c>
      <c r="D12" s="63">
        <f>'Расчёт аннуитета'!D26</f>
        <v>12.046304484372927</v>
      </c>
      <c r="E12" s="63">
        <f>'Расчёт аннуитета'!E26</f>
        <v>17.336701460719567</v>
      </c>
      <c r="F12" s="63">
        <f>'Расчёт аннуитета'!F26</f>
        <v>14.02617021866486</v>
      </c>
      <c r="G12" s="63">
        <f>'Расчёт аннуитета'!G26</f>
        <v>16.119302620810195</v>
      </c>
      <c r="H12" s="63">
        <f>'Расчёт аннуитета'!H26</f>
        <v>14.372984125005184</v>
      </c>
      <c r="I12" s="63">
        <f>'Расчёт аннуитета'!I26</f>
        <v>14.09582018136366</v>
      </c>
    </row>
    <row r="13">
      <c r="B13" s="22" t="inlineStr">
        <is>
          <t>Аннуитет на тонну</t>
        </is>
      </c>
      <c r="C13" s="24" t="inlineStr">
        <is>
          <t>руб/т</t>
        </is>
      </c>
      <c r="D13" s="49">
        <f>'Расчёт аннуитета'!D28</f>
        <v>36.61594711069995</v>
      </c>
      <c r="E13" s="49">
        <f>'Расчёт аннуитета'!E28</f>
        <v>52.6966377600032</v>
      </c>
      <c r="F13" s="49">
        <f>'Расчёт аннуитета'!F28</f>
        <v>42.633946996653705</v>
      </c>
      <c r="G13" s="49">
        <f>'Расчёт аннуитета'!G28</f>
        <v>48.996232246214674</v>
      </c>
      <c r="H13" s="49">
        <f>'Расчёт аннуитета'!H28</f>
        <v>43.688122546365754</v>
      </c>
      <c r="I13" s="49">
        <f>'Расчёт аннуитета'!I28</f>
        <v>42.84565502327298</v>
      </c>
    </row>
    <row r="14">
      <c r="B14" s="5" t="inlineStr">
        <is>
          <t>РАНЖИРОВАНИЕ (критерий: минимум аннуитета руб/ткм)</t>
        </is>
      </c>
      <c r="C14" s="4" t="n"/>
      <c r="D14" s="4" t="n"/>
      <c r="E14" s="4" t="n"/>
      <c r="F14" s="4" t="n"/>
      <c r="G14" s="4" t="n"/>
      <c r="H14" s="4" t="n"/>
      <c r="I14" s="4" t="n"/>
    </row>
    <row r="15">
      <c r="B15" s="64" t="inlineStr">
        <is>
          <t>Место в рейтинге</t>
        </is>
      </c>
      <c r="D15" s="18">
        <f>RANK(D12,D12:I12,1)</f>
        <v>1.0</v>
      </c>
      <c r="E15" s="18">
        <f>RANK(E12,D12:I12,1)</f>
        <v>6.0</v>
      </c>
      <c r="F15" s="18">
        <f>RANK(F12,D12:I12,1)</f>
        <v>2.0</v>
      </c>
      <c r="G15" s="18">
        <f>RANK(G12,D12:I12,1)</f>
        <v>5.0</v>
      </c>
      <c r="H15" s="18">
        <f>RANK(H12,D12:I12,1)</f>
        <v>4.0</v>
      </c>
      <c r="I15" s="18">
        <f>RANK(I12,D12:I12,1)</f>
        <v>3.0</v>
      </c>
    </row>
    <row r="16">
      <c r="B16" s="65" t="inlineStr">
        <is>
          <t>Отклонение от лучшего</t>
        </is>
      </c>
      <c r="D16" s="66">
        <f>D12/MIN(D12:I12)-1</f>
        <v>0.0</v>
      </c>
      <c r="E16" s="66">
        <f>E12/MIN(D12:I12)-1</f>
        <v>0.4391717794622916</v>
      </c>
      <c r="F16" s="66">
        <f>F12/MIN(D12:I12)-1</f>
        <v>0.16435461488295555</v>
      </c>
      <c r="G16" s="66">
        <f>G12/MIN(D12:I12)-1</f>
        <v>0.3381118368476379</v>
      </c>
      <c r="H16" s="66">
        <f>H12/MIN(D12:I12)-1</f>
        <v>0.19314468131289075</v>
      </c>
      <c r="I16" s="66">
        <f>I12/MIN(D12:I12)-1</f>
        <v>0.17013646796405224</v>
      </c>
    </row>
    <row r="18">
      <c r="B18" s="67" t="inlineStr">
        <is>
          <t>РЕКОМЕНДУЕМЫЙ ВАРИАНТ:</t>
        </is>
      </c>
      <c r="C18" s="68" t="str">
        <f>INDEX(D4:I4,MATCH(MIN(D12:I12),D12:I12,0))&amp;"  ("&amp;TEXT(MIN(D12:I12),"0.00")&amp;" руб/ткм)"</f>
        <v>NHL NTE 240  (12.05 руб/ткм)</v>
      </c>
      <c r="D18" s="69" t="n"/>
      <c r="E18" s="69" t="n"/>
      <c r="F18" s="69" t="n"/>
      <c r="G18" s="69" t="n"/>
      <c r="H18" s="69" t="n"/>
      <c r="I18" s="69" t="n"/>
    </row>
    <row r="20">
      <c r="B20" s="5" t="inlineStr">
        <is>
          <t>СТРУКТУРА УДЕЛЬНОГО АННУИТЕТА (руб/ткм)</t>
        </is>
      </c>
      <c r="C20" s="4" t="n"/>
      <c r="D20" s="4" t="n"/>
      <c r="E20" s="4" t="n"/>
      <c r="F20" s="4" t="n"/>
      <c r="G20" s="4" t="n"/>
      <c r="H20" s="4" t="n"/>
      <c r="I20" s="4" t="n"/>
    </row>
    <row r="21">
      <c r="B21" s="70" t="inlineStr">
        <is>
          <t>Статья</t>
        </is>
      </c>
      <c r="D21" s="15" t="str">
        <f>'Ввод данных'!D7</f>
        <v>NHL NTE 240</v>
      </c>
      <c r="E21" s="15" t="str">
        <f>'Ввод данных'!E7</f>
        <v>Estar ESDE240
(ГПБ К)</v>
      </c>
      <c r="F21" s="15" t="str">
        <f>'Ввод данных'!F7</f>
        <v>SANY SET240S</v>
      </c>
      <c r="G21" s="15" t="str">
        <f>'Ввод данных'!G7</f>
        <v>TZCO TZE240</v>
      </c>
      <c r="H21" s="15" t="str">
        <f>'Ввод данных'!H7</f>
        <v>БелАЗ 7531
(ГПФК)</v>
      </c>
      <c r="I21" s="15" t="str">
        <f>'Ввод данных'!I7</f>
        <v>БелАЗ 7531
(БТЛ)</v>
      </c>
    </row>
    <row r="22">
      <c r="B22" s="22" t="inlineStr">
        <is>
          <t>Инвестиционный</t>
        </is>
      </c>
      <c r="D22" s="49">
        <f>'Расчёт аннуитета'!D18</f>
        <v>3.9234406551640832</v>
      </c>
      <c r="E22" s="49">
        <f>'Расчёт аннуитета'!E18</f>
        <v>4.700418395824133</v>
      </c>
      <c r="F22" s="49">
        <f>'Расчёт аннуитета'!F18</f>
        <v>4.281600019119095</v>
      </c>
      <c r="G22" s="49">
        <f>'Расчёт аннуитета'!G18</f>
        <v>4.25437977777272</v>
      </c>
      <c r="H22" s="49">
        <f>'Расчёт аннуитета'!H18</f>
        <v>4.819978523183239</v>
      </c>
      <c r="I22" s="49">
        <f>'Расчёт аннуитета'!I18</f>
        <v>4.5929165778251075</v>
      </c>
    </row>
    <row r="23">
      <c r="B23" s="22" t="inlineStr">
        <is>
          <t>Топливо</t>
        </is>
      </c>
      <c r="D23" s="49">
        <f>'Расчёт аннуитета'!D19</f>
        <v>5.947648282402759</v>
      </c>
      <c r="E23" s="49">
        <f>'Расчёт аннуитета'!E19</f>
        <v>5.9833278598936355</v>
      </c>
      <c r="F23" s="49">
        <f>'Расчёт аннуитета'!F19</f>
        <v>5.970522562346143</v>
      </c>
      <c r="G23" s="49">
        <f>'Расчёт аннуитета'!G19</f>
        <v>5.932175266852498</v>
      </c>
      <c r="H23" s="49">
        <f>'Расчёт аннуитета'!H19</f>
        <v>5.971257584317311</v>
      </c>
      <c r="I23" s="49">
        <f>'Расчёт аннуитета'!I19</f>
        <v>5.988119456934904</v>
      </c>
    </row>
    <row r="24">
      <c r="B24" s="22" t="inlineStr">
        <is>
          <t>ТОиР + капремонты</t>
        </is>
      </c>
      <c r="D24" s="49">
        <f>'Расчёт аннуитета'!D20</f>
        <v>2.198702196228325</v>
      </c>
      <c r="E24" s="49">
        <f>'Расчёт аннуитета'!E20</f>
        <v>7.941292018426044</v>
      </c>
      <c r="F24" s="49">
        <f>'Расчёт аннуитета'!F20</f>
        <v>4.148787928884126</v>
      </c>
      <c r="G24" s="49">
        <f>'Расчёт аннуитета'!G20</f>
        <v>7.088786420786862</v>
      </c>
      <c r="H24" s="49">
        <f>'Расчёт аннуитета'!H20</f>
        <v>4.2415365564783825</v>
      </c>
      <c r="I24" s="49">
        <f>'Расчёт аннуитета'!I20</f>
        <v>4.122156477432107</v>
      </c>
    </row>
    <row r="25">
      <c r="B25" s="22" t="inlineStr">
        <is>
          <t>Шины</t>
        </is>
      </c>
      <c r="D25" s="49">
        <f>'Расчёт аннуитета'!D21</f>
        <v>2.0003607024229364</v>
      </c>
      <c r="E25" s="49">
        <f>'Расчёт аннуитета'!E21</f>
        <v>2.1685578328756896</v>
      </c>
      <c r="F25" s="49">
        <f>'Расчёт аннуитета'!F21</f>
        <v>2.1142099484772134</v>
      </c>
      <c r="G25" s="49">
        <f>'Расчёт аннуитета'!G21</f>
        <v>2.0472824093431807</v>
      </c>
      <c r="H25" s="49">
        <f>'Расчёт аннуитета'!H21</f>
        <v>1.980480549624313</v>
      </c>
      <c r="I25" s="49">
        <f>'Расчёт аннуитета'!I21</f>
        <v>1.9860731086921197</v>
      </c>
    </row>
    <row r="26">
      <c r="B26" s="22" t="inlineStr">
        <is>
          <t>Персонал</t>
        </is>
      </c>
      <c r="D26" s="49">
        <f>'Расчёт аннуитета'!D22</f>
        <v>1.603627648031929</v>
      </c>
      <c r="E26" s="49">
        <f>'Расчёт аннуитета'!E22</f>
        <v>1.8633341976705429</v>
      </c>
      <c r="F26" s="49">
        <f>'Расчёт аннуитета'!F22</f>
        <v>1.7601699332478749</v>
      </c>
      <c r="G26" s="49">
        <f>'Расчёт аннуитета'!G22</f>
        <v>1.748979665548956</v>
      </c>
      <c r="H26" s="49">
        <f>'Расчёт аннуитета'!H22</f>
        <v>1.6772121134049878</v>
      </c>
      <c r="I26" s="49">
        <f>'Расчёт аннуитета'!I22</f>
        <v>1.6533115562585243</v>
      </c>
    </row>
    <row r="27">
      <c r="B27" s="22" t="inlineStr">
        <is>
          <t>Транспортный налог</t>
        </is>
      </c>
      <c r="D27" s="49">
        <f>'Расчёт аннуитета'!D23</f>
        <v>0.018444373942214858</v>
      </c>
      <c r="E27" s="49">
        <f>'Расчёт аннуитета'!E23</f>
        <v>0.01597927375992773</v>
      </c>
      <c r="F27" s="49">
        <f>'Расчёт аннуитета'!F23</f>
        <v>0.02302246558807374</v>
      </c>
      <c r="G27" s="49">
        <f>'Расчёт аннуитета'!G23</f>
        <v>0.020116162881267892</v>
      </c>
      <c r="H27" s="49">
        <f>'Расчёт аннуитета'!H23</f>
        <v>0.019560787207773482</v>
      </c>
      <c r="I27" s="49">
        <f>'Расчёт аннуитета'!I23</f>
        <v>0.01928204267167537</v>
      </c>
    </row>
    <row r="28">
      <c r="B28" s="22" t="inlineStr">
        <is>
          <t>Налог (щит)</t>
        </is>
      </c>
      <c r="D28" s="49">
        <f>'Расчёт аннуитета'!D24</f>
        <v>-3.64591937381932</v>
      </c>
      <c r="E28" s="49">
        <f>'Расчёт аннуитета'!E24</f>
        <v>-5.336208117730406</v>
      </c>
      <c r="F28" s="49">
        <f>'Расчёт аннуитета'!F24</f>
        <v>-4.272142638997668</v>
      </c>
      <c r="G28" s="49">
        <f>'Расчёт аннуитета'!G24</f>
        <v>-4.972417082375287</v>
      </c>
      <c r="H28" s="49">
        <f>'Расчёт аннуитета'!H24</f>
        <v>-4.337041989210817</v>
      </c>
      <c r="I28" s="49">
        <f>'Расчёт аннуитета'!I24</f>
        <v>-4.26603903845078</v>
      </c>
    </row>
  </sheetData>
  <mergeCells count="5">
    <mergeCell ref="B1:K1"/>
    <mergeCell ref="C18:I18"/>
    <mergeCell ref="B20:I20"/>
    <mergeCell ref="B14:I14"/>
    <mergeCell ref="B2:K2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K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РАСШИРЕННАЯ АНАЛИТИКА РЕЗУЛЬТАТОВ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Многокритериальная оценка, разложение затрат, диапазон риска, эффективность.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str">
        <f>'Ввод данных'!D7</f>
        <v>NHL NTE 240</v>
      </c>
      <c r="E4" s="15" t="str">
        <f>'Ввод данных'!E7</f>
        <v>Estar ESDE240
(ГПБ К)</v>
      </c>
      <c r="F4" s="15" t="str">
        <f>'Ввод данных'!F7</f>
        <v>SANY SET240S</v>
      </c>
      <c r="G4" s="15" t="str">
        <f>'Ввод данных'!G7</f>
        <v>TZCO TZE240</v>
      </c>
      <c r="H4" s="15" t="str">
        <f>'Ввод данных'!H7</f>
        <v>БелАЗ 7531
(ГПФК)</v>
      </c>
      <c r="I4" s="15" t="str">
        <f>'Ввод данных'!I7</f>
        <v>БелАЗ 7531
(БТЛ)</v>
      </c>
    </row>
    <row r="5">
      <c r="B5" s="5" t="inlineStr">
        <is>
          <t>МНОГОКРИТЕРИАЛЬНАЯ ОЦЕНКА (levelized cost + драйверы)</t>
        </is>
      </c>
      <c r="C5" s="4" t="n"/>
      <c r="D5" s="4" t="n"/>
      <c r="E5" s="4" t="n"/>
      <c r="F5" s="4" t="n"/>
      <c r="G5" s="4" t="n"/>
      <c r="H5" s="4" t="n"/>
      <c r="I5" s="4" t="n"/>
    </row>
    <row r="6">
      <c r="B6" s="22" t="inlineStr">
        <is>
          <t>Цена (CAPEX)</t>
        </is>
      </c>
      <c r="C6" s="24" t="inlineStr">
        <is>
          <t>тыс.руб</t>
        </is>
      </c>
      <c r="D6" s="48">
        <f>'Производительность'!D5</f>
        <v>255404.00000000003</v>
      </c>
      <c r="E6" s="48">
        <f>'Производительность'!E5</f>
        <v>263335.8</v>
      </c>
      <c r="F6" s="48">
        <f>'Производительность'!F5</f>
        <v>253930.95</v>
      </c>
      <c r="G6" s="48">
        <f>'Производительность'!G5</f>
        <v>253930.95</v>
      </c>
      <c r="H6" s="48">
        <f>'Производительность'!H5</f>
        <v>300000.0</v>
      </c>
      <c r="I6" s="48">
        <f>'Производительность'!I5</f>
        <v>290000.0</v>
      </c>
    </row>
    <row r="7">
      <c r="B7" s="22" t="inlineStr">
        <is>
          <t>Средний годовой грузооборот</t>
        </is>
      </c>
      <c r="C7" s="24" t="inlineStr">
        <is>
          <t>тыс.ткм</t>
        </is>
      </c>
      <c r="D7" s="48">
        <f>'Расчёт аннуитета'!D15</f>
        <v>11521.128375826138</v>
      </c>
      <c r="E7" s="48">
        <f>'Расчёт аннуитета'!E15</f>
        <v>9915.344237817004</v>
      </c>
      <c r="F7" s="48">
        <f>'Расчёт аннуитета'!F15</f>
        <v>10496.48653292737</v>
      </c>
      <c r="G7" s="48">
        <f>'Расчёт аннуитета'!G15</f>
        <v>10563.644828998633</v>
      </c>
      <c r="H7" s="48">
        <f>'Расчёт аннуитета'!H15</f>
        <v>11015.660960432606</v>
      </c>
      <c r="I7" s="48">
        <f>'Расчёт аннуитета'!I15</f>
        <v>11174.90525609742</v>
      </c>
    </row>
    <row r="8">
      <c r="B8" s="22" t="inlineStr">
        <is>
          <t>КТГ средний</t>
        </is>
      </c>
      <c r="C8" s="24" t="inlineStr">
        <is>
          <t>коэф.</t>
        </is>
      </c>
      <c r="D8" s="51">
        <f>AVERAGE('Данные по годам'!E7:N7)</f>
        <v>0.9244</v>
      </c>
      <c r="E8" s="51">
        <f>AVERAGE('Данные по годам'!E10:N10)</f>
        <v>0.85731</v>
      </c>
      <c r="F8" s="51">
        <f>AVERAGE('Данные по годам'!E13:N13)</f>
        <v>0.8867100000000001</v>
      </c>
      <c r="G8" s="51">
        <f>AVERAGE('Данные по годам'!E16:N16)</f>
        <v>0.86972</v>
      </c>
      <c r="H8" s="51">
        <f>AVERAGE('Данные по годам'!E19:N19)</f>
        <v>0.8715999999999999</v>
      </c>
      <c r="I8" s="51">
        <f>AVERAGE('Данные по годам'!E22:N22)</f>
        <v>0.8841999999999999</v>
      </c>
    </row>
    <row r="9">
      <c r="B9" s="38" t="inlineStr">
        <is>
          <t>Аннуитет</t>
        </is>
      </c>
      <c r="C9" s="24" t="inlineStr">
        <is>
          <t>руб/ткм</t>
        </is>
      </c>
      <c r="D9" s="61">
        <f>'Расчёт аннуитета'!D26</f>
        <v>12.046304484372927</v>
      </c>
      <c r="E9" s="61">
        <f>'Расчёт аннуитета'!E26</f>
        <v>17.336701460719567</v>
      </c>
      <c r="F9" s="61">
        <f>'Расчёт аннуитета'!F26</f>
        <v>14.02617021866486</v>
      </c>
      <c r="G9" s="61">
        <f>'Расчёт аннуитета'!G26</f>
        <v>16.119302620810195</v>
      </c>
      <c r="H9" s="61">
        <f>'Расчёт аннуитета'!H26</f>
        <v>14.372984125005184</v>
      </c>
      <c r="I9" s="61">
        <f>'Расчёт аннуитета'!I26</f>
        <v>14.09582018136366</v>
      </c>
    </row>
    <row r="10">
      <c r="B10" s="22" t="inlineStr">
        <is>
          <t>Аннуитет</t>
        </is>
      </c>
      <c r="C10" s="24" t="inlineStr">
        <is>
          <t>руб/т</t>
        </is>
      </c>
      <c r="D10" s="49">
        <f>'Расчёт аннуитета'!D28</f>
        <v>36.61594711069995</v>
      </c>
      <c r="E10" s="49">
        <f>'Расчёт аннуитета'!E28</f>
        <v>52.6966377600032</v>
      </c>
      <c r="F10" s="49">
        <f>'Расчёт аннуитета'!F28</f>
        <v>42.633946996653705</v>
      </c>
      <c r="G10" s="49">
        <f>'Расчёт аннуитета'!G28</f>
        <v>48.996232246214674</v>
      </c>
      <c r="H10" s="49">
        <f>'Расчёт аннуитета'!H28</f>
        <v>43.688122546365754</v>
      </c>
      <c r="I10" s="49">
        <f>'Расчёт аннуитета'!I28</f>
        <v>42.84565502327298</v>
      </c>
    </row>
    <row r="11">
      <c r="B11" s="22" t="inlineStr">
        <is>
          <t>NPV стоимости владения</t>
        </is>
      </c>
      <c r="C11" s="24" t="inlineStr">
        <is>
          <t>тыс.руб</t>
        </is>
      </c>
      <c r="D11" s="48">
        <f>'Расчёт аннуитета'!D14</f>
        <v>784177.6188145537</v>
      </c>
      <c r="E11" s="48">
        <f>'Расчёт аннуитета'!E14</f>
        <v>971269.7390035852</v>
      </c>
      <c r="F11" s="48">
        <f>'Расчёт аннуитета'!F14</f>
        <v>831856.9489403316</v>
      </c>
      <c r="G11" s="48">
        <f>'Расчёт аннуитета'!G14</f>
        <v>962111.997905066</v>
      </c>
      <c r="H11" s="48">
        <f>'Расчёт аннуитета'!H14</f>
        <v>894588.0602500835</v>
      </c>
      <c r="I11" s="48">
        <f>'Расчёт аннуитета'!I14</f>
        <v>890020.052254282</v>
      </c>
    </row>
    <row r="12">
      <c r="B12" s="22" t="inlineStr">
        <is>
          <t>Доля CAPEX</t>
        </is>
      </c>
      <c r="C12" s="24" t="inlineStr">
        <is>
          <t>%</t>
        </is>
      </c>
      <c r="D12" s="51">
        <f>'Расчёт аннуитета'!D18/'Расчёт аннуитета'!D26</f>
        <v>0.32569662009239164</v>
      </c>
      <c r="E12" s="51">
        <f>'Расчёт аннуитета'!E18/'Расчёт аннуитета'!E26</f>
        <v>0.27112530065041796</v>
      </c>
      <c r="F12" s="51">
        <f>'Расчёт аннуитета'!F18/'Расчёт аннуитета'!F26</f>
        <v>0.3052579536944089</v>
      </c>
      <c r="G12" s="51">
        <f>'Расчёт аннуитета'!G18/'Расчёт аннуитета'!G26</f>
        <v>0.26393075915581293</v>
      </c>
      <c r="H12" s="51">
        <f>'Расчёт аннуитета'!H18/'Расчёт аннуитета'!H26</f>
        <v>0.33534988150426975</v>
      </c>
      <c r="I12" s="51">
        <f>'Расчёт аннуитета'!I18/'Расчёт аннуитета'!I26</f>
        <v>0.32583535535573066</v>
      </c>
    </row>
    <row r="13">
      <c r="B13" s="22" t="inlineStr">
        <is>
          <t>Доля топлива</t>
        </is>
      </c>
      <c r="C13" s="24" t="inlineStr">
        <is>
          <t>%</t>
        </is>
      </c>
      <c r="D13" s="51">
        <f>'Расчёт аннуитета'!D19/'Расчёт аннуитета'!D26</f>
        <v>0.49373218899774185</v>
      </c>
      <c r="E13" s="51">
        <f>'Расчёт аннуитета'!E19/'Расчёт аннуитета'!E26</f>
        <v>0.34512492895204383</v>
      </c>
      <c r="F13" s="51">
        <f>'Расчёт аннуитета'!F19/'Расчёт аннуитета'!F26</f>
        <v>0.42567019145404844</v>
      </c>
      <c r="G13" s="51">
        <f>'Расчёт аннуитета'!G19/'Расчёт аннуитета'!G26</f>
        <v>0.3680168681239345</v>
      </c>
      <c r="H13" s="51">
        <f>'Расчёт аннуитета'!H19/'Расчёт аннуитета'!H26</f>
        <v>0.41545009250576603</v>
      </c>
      <c r="I13" s="51">
        <f>'Расчёт аннуитета'!I19/'Расчёт аннуитета'!I26</f>
        <v>0.42481525586229496</v>
      </c>
    </row>
    <row r="14">
      <c r="B14" s="22" t="inlineStr">
        <is>
          <t>Доля ТОиР</t>
        </is>
      </c>
      <c r="C14" s="24" t="inlineStr">
        <is>
          <t>%</t>
        </is>
      </c>
      <c r="D14" s="51">
        <f>'Расчёт аннуитета'!D20/'Расчёт аннуитета'!D26</f>
        <v>0.18252088838370242</v>
      </c>
      <c r="E14" s="51">
        <f>'Расчёт аннуитета'!E20/'Расчёт аннуитета'!E26</f>
        <v>0.4580624541767034</v>
      </c>
      <c r="F14" s="51">
        <f>'Расчёт аннуитета'!F20/'Расчёт аннуитета'!F26</f>
        <v>0.2957890760061691</v>
      </c>
      <c r="G14" s="51">
        <f>'Расчёт аннуитета'!G20/'Расчёт аннуитета'!G26</f>
        <v>0.4397700438749231</v>
      </c>
      <c r="H14" s="51">
        <f>'Расчёт аннуитета'!H20/'Расчёт аннуитета'!H26</f>
        <v>0.2951047965814721</v>
      </c>
      <c r="I14" s="51">
        <f>'Расчёт аннуитета'!I20/'Расчёт аннуитета'!I26</f>
        <v>0.2924382139098287</v>
      </c>
    </row>
    <row r="15">
      <c r="B15" s="38" t="inlineStr">
        <is>
          <t>Место в рейтинге</t>
        </is>
      </c>
      <c r="C15" s="24" t="inlineStr"/>
      <c r="D15" s="59">
        <f>RANK(D9,D9:I9,1)</f>
        <v>1.0</v>
      </c>
      <c r="E15" s="59">
        <f>RANK(E9,D9:I9,1)</f>
        <v>6.0</v>
      </c>
      <c r="F15" s="59">
        <f>RANK(F9,D9:I9,1)</f>
        <v>2.0</v>
      </c>
      <c r="G15" s="59">
        <f>RANK(G9,D9:I9,1)</f>
        <v>5.0</v>
      </c>
      <c r="H15" s="59">
        <f>RANK(H9,D9:I9,1)</f>
        <v>4.0</v>
      </c>
      <c r="I15" s="59">
        <f>RANK(I9,D9:I9,1)</f>
        <v>3.0</v>
      </c>
    </row>
    <row r="16">
      <c r="B16" s="5" t="inlineStr">
        <is>
          <t>РАЗЛОЖЕНИЕ ПРЕВЫШЕНИЯ АННУИТЕТА НАД ЛУЧШИМ (руб/ткм)</t>
        </is>
      </c>
      <c r="C16" s="4" t="n"/>
      <c r="D16" s="4" t="n"/>
      <c r="E16" s="4" t="n"/>
      <c r="F16" s="4" t="n"/>
      <c r="G16" s="4" t="n"/>
      <c r="H16" s="4" t="n"/>
      <c r="I16" s="4" t="n"/>
    </row>
    <row r="17">
      <c r="B17" s="22" t="inlineStr">
        <is>
          <t>Δ инвестиции</t>
        </is>
      </c>
      <c r="C17" s="24" t="inlineStr">
        <is>
          <t>руб/ткм</t>
        </is>
      </c>
      <c r="D17" s="49">
        <f>'Расчёт аннуитета'!D18-MIN(D18:I18)</f>
        <v>-0.18688531705247424</v>
      </c>
      <c r="E17" s="49">
        <f>'Расчёт аннуитета'!E18-MIN(D18:I18)</f>
        <v>0.5900924236075751</v>
      </c>
      <c r="F17" s="49">
        <f>'Расчёт аннуитета'!F18-MIN(D18:I18)</f>
        <v>0.17127404690253734</v>
      </c>
      <c r="G17" s="49">
        <f>'Расчёт аннуитета'!G18-MIN(D18:I18)</f>
        <v>0.14405380555616265</v>
      </c>
      <c r="H17" s="49">
        <f>'Расчёт аннуитета'!H18-MIN(D18:I18)</f>
        <v>0.7096525509666813</v>
      </c>
      <c r="I17" s="49">
        <f>'Расчёт аннуитета'!I18-MIN(D18:I18)</f>
        <v>0.48259060560855005</v>
      </c>
    </row>
    <row r="18">
      <c r="B18" s="22" t="inlineStr">
        <is>
          <t>Δ топливо</t>
        </is>
      </c>
      <c r="C18" s="24" t="inlineStr">
        <is>
          <t>руб/ткм</t>
        </is>
      </c>
      <c r="D18" s="49">
        <f>'Расчёт аннуитета'!D19-MIN(D19:I19)</f>
        <v>4.125798987766818</v>
      </c>
      <c r="E18" s="49">
        <f>'Расчёт аннуитета'!E19-MIN(D19:I19)</f>
        <v>4.161478565257695</v>
      </c>
      <c r="F18" s="49">
        <f>'Расчёт аннуитета'!F19-MIN(D19:I19)</f>
        <v>4.148673267710202</v>
      </c>
      <c r="G18" s="49">
        <f>'Расчёт аннуитета'!G19-MIN(D19:I19)</f>
        <v>4.1103259722165575</v>
      </c>
      <c r="H18" s="49">
        <f>'Расчёт аннуитета'!H19-MIN(D19:I19)</f>
        <v>4.14940828968137</v>
      </c>
      <c r="I18" s="49">
        <f>'Расчёт аннуитета'!I19-MIN(D19:I19)</f>
        <v>4.1662701622989635</v>
      </c>
    </row>
    <row r="19">
      <c r="B19" s="22" t="inlineStr">
        <is>
          <t>Δ ТОиР</t>
        </is>
      </c>
      <c r="C19" s="24" t="inlineStr">
        <is>
          <t>руб/ткм</t>
        </is>
      </c>
      <c r="D19" s="49">
        <f>'Расчёт аннуитета'!D20-MIN(D20:I20)</f>
        <v>1.821849294635941</v>
      </c>
      <c r="E19" s="49">
        <f>'Расчёт аннуитета'!E20-MIN(D20:I20)</f>
        <v>7.564439116833659</v>
      </c>
      <c r="F19" s="49">
        <f>'Расчёт аннуитета'!F20-MIN(D20:I20)</f>
        <v>3.7719350272917413</v>
      </c>
      <c r="G19" s="49">
        <f>'Расчёт аннуитета'!G20-MIN(D20:I20)</f>
        <v>6.711933519194478</v>
      </c>
      <c r="H19" s="49">
        <f>'Расчёт аннуитета'!H20-MIN(D20:I20)</f>
        <v>3.864683654885998</v>
      </c>
      <c r="I19" s="49">
        <f>'Расчёт аннуитета'!I20-MIN(D20:I20)</f>
        <v>3.7453035758397224</v>
      </c>
    </row>
    <row r="20">
      <c r="B20" s="22" t="inlineStr">
        <is>
          <t>Δ шины</t>
        </is>
      </c>
      <c r="C20" s="24" t="inlineStr">
        <is>
          <t>руб/ткм</t>
        </is>
      </c>
      <c r="D20" s="49">
        <f>'Расчёт аннуитета'!D21-MIN(D21:I21)</f>
        <v>0.3967330543910075</v>
      </c>
      <c r="E20" s="49">
        <f>'Расчёт аннуитета'!E21-MIN(D21:I21)</f>
        <v>0.5649301848437607</v>
      </c>
      <c r="F20" s="49">
        <f>'Расчёт аннуитета'!F21-MIN(D21:I21)</f>
        <v>0.5105823004452845</v>
      </c>
      <c r="G20" s="49">
        <f>'Расчёт аннуитета'!G21-MIN(D21:I21)</f>
        <v>0.4436547613112518</v>
      </c>
      <c r="H20" s="49">
        <f>'Расчёт аннуитета'!H21-MIN(D21:I21)</f>
        <v>0.37685290159238405</v>
      </c>
      <c r="I20" s="49">
        <f>'Расчёт аннуитета'!I21-MIN(D21:I21)</f>
        <v>0.3824454606601908</v>
      </c>
    </row>
    <row r="21">
      <c r="B21" s="22" t="inlineStr">
        <is>
          <t>Δ персонал</t>
        </is>
      </c>
      <c r="C21" s="24" t="inlineStr">
        <is>
          <t>руб/ткм</t>
        </is>
      </c>
      <c r="D21" s="49">
        <f>'Расчёт аннуитета'!D22-MIN(D22:I22)</f>
        <v>1.603627648031929</v>
      </c>
      <c r="E21" s="49">
        <f>'Расчёт аннуитета'!E22-MIN(D22:I22)</f>
        <v>1.8633341976705429</v>
      </c>
      <c r="F21" s="49">
        <f>'Расчёт аннуитета'!F22-MIN(D22:I22)</f>
        <v>1.7601699332478749</v>
      </c>
      <c r="G21" s="49">
        <f>'Расчёт аннуитета'!G22-MIN(D22:I22)</f>
        <v>1.748979665548956</v>
      </c>
      <c r="H21" s="49">
        <f>'Расчёт аннуитета'!H22-MIN(D22:I22)</f>
        <v>1.6772121134049878</v>
      </c>
      <c r="I21" s="49">
        <f>'Расчёт аннуитета'!I22-MIN(D22:I22)</f>
        <v>1.6533115562585243</v>
      </c>
    </row>
    <row r="22">
      <c r="B22" s="38" t="inlineStr">
        <is>
          <t>ИТОГО превышение над лучшим</t>
        </is>
      </c>
      <c r="C22" s="24" t="inlineStr">
        <is>
          <t>руб/ткм</t>
        </is>
      </c>
      <c r="D22" s="61">
        <f>D9-MIN(D9:I9)</f>
        <v>0.0</v>
      </c>
      <c r="E22" s="61">
        <f>E9-MIN(D9:I9)</f>
        <v>5.29039697634664</v>
      </c>
      <c r="F22" s="61">
        <f>F9-MIN(D9:I9)</f>
        <v>1.9798657342919324</v>
      </c>
      <c r="G22" s="61">
        <f>G9-MIN(D9:I9)</f>
        <v>4.072998136437269</v>
      </c>
      <c r="H22" s="61">
        <f>H9-MIN(D9:I9)</f>
        <v>2.326679640632257</v>
      </c>
      <c r="I22" s="61">
        <f>I9-MIN(D9:I9)</f>
        <v>2.049515696990733</v>
      </c>
    </row>
    <row r="23">
      <c r="B23" s="5" t="inlineStr">
        <is>
          <t>ДИАПАЗОН РИСКА АННУИТЕТА (руб/ткм)</t>
        </is>
      </c>
      <c r="C23" s="4" t="n"/>
      <c r="D23" s="4" t="n"/>
      <c r="E23" s="4" t="n"/>
      <c r="F23" s="4" t="n"/>
      <c r="G23" s="4" t="n"/>
      <c r="H23" s="4" t="n"/>
      <c r="I23" s="4" t="n"/>
    </row>
    <row r="24">
      <c r="B24" s="22" t="inlineStr">
        <is>
          <t>Оптимистичный (КТГ +10%, ДТ −20%)</t>
        </is>
      </c>
      <c r="C24" s="24" t="inlineStr">
        <is>
          <t>руб/ткм</t>
        </is>
      </c>
      <c r="D24" s="49">
        <f>('Расчёт аннуитета'!D18+'Расчёт аннуитета'!D20+'Расчёт аннуитета'!D22+'Расчёт аннуитета'!D23+'Расчёт аннуитета'!D24)/1.1+('Расчёт аннуитета'!D19+'Расчёт аннуитета'!D21)-0.2*'Расчёт аннуитета'!D19</f>
        <v>10.484202509751718</v>
      </c>
      <c r="E24" s="49">
        <f>('Расчёт аннуитета'!E18+'Расчёт аннуитета'!E20+'Расчёт аннуитета'!E22+'Расчёт аннуитета'!E23+'Расчёт аннуитета'!E24)/1.1+('Расчёт аннуитета'!E19+'Расчёт аннуитета'!E21)-0.2*'Расчёт аннуитета'!E19</f>
        <v>15.305052637109</v>
      </c>
      <c r="F24" s="49">
        <f>('Расчёт аннуитета'!F18+'Расчёт аннуитета'!F20+'Расчёт аннуитета'!F22+'Расчёт аннуитета'!F23+'Расчёт аннуитета'!F24)/1.1+('Расчёт аннуитета'!F19+'Расчёт аннуитета'!F21)-0.2*'Расчёт аннуитета'!F19</f>
        <v>12.291935005482765</v>
      </c>
      <c r="G24" s="49">
        <f>('Расчёт аннуитета'!G18+'Расчёт аннуитета'!G20+'Расчёт аннуитета'!G22+'Расчёт аннуитета'!G23+'Расчёт аннуитета'!G24)/1.1+('Расчёт аннуитета'!G19+'Расчёт аннуитета'!G21)-0.2*'Расчёт аннуитета'!G19</f>
        <v>14.192881663383833</v>
      </c>
      <c r="H24" s="49">
        <f>('Расчёт аннуитета'!H18+'Расчёт аннуитета'!H20+'Расчёт аннуитета'!H22+'Расчёт аннуитета'!H23+'Расчёт аннуитета'!H24)/1.1+('Расчёт аннуитета'!H19+'Расчёт аннуитета'!H21)-0.2*'Расчёт аннуитета'!H19</f>
        <v>12.594982972590492</v>
      </c>
      <c r="I24" s="49">
        <f>('Расчёт аннуитета'!I18+'Расчёт аннуитета'!I20+'Расчёт аннуитета'!I22+'Расчёт аннуитета'!I23+'Расчёт аннуитета'!I24)/1.1+('Расчёт аннуитета'!I19+'Расчёт аннуитета'!I21)-0.2*'Расчёт аннуитета'!I19</f>
        <v>12.341684688546072</v>
      </c>
    </row>
    <row r="25">
      <c r="B25" s="38" t="inlineStr">
        <is>
          <t>Базовый</t>
        </is>
      </c>
      <c r="C25" s="24" t="inlineStr">
        <is>
          <t>руб/ткм</t>
        </is>
      </c>
      <c r="D25" s="61">
        <f>'Расчёт аннуитета'!D26</f>
        <v>12.046304484372927</v>
      </c>
      <c r="E25" s="61">
        <f>'Расчёт аннуитета'!E26</f>
        <v>17.336701460719567</v>
      </c>
      <c r="F25" s="61">
        <f>'Расчёт аннуитета'!F26</f>
        <v>14.02617021866486</v>
      </c>
      <c r="G25" s="61">
        <f>'Расчёт аннуитета'!G26</f>
        <v>16.119302620810195</v>
      </c>
      <c r="H25" s="61">
        <f>'Расчёт аннуитета'!H26</f>
        <v>14.372984125005184</v>
      </c>
      <c r="I25" s="61">
        <f>'Расчёт аннуитета'!I26</f>
        <v>14.09582018136366</v>
      </c>
    </row>
    <row r="26">
      <c r="B26" s="22" t="inlineStr">
        <is>
          <t>Пессимистичный (КТГ −10%, ДТ +20%)</t>
        </is>
      </c>
      <c r="C26" s="24" t="inlineStr">
        <is>
          <t>руб/ткм</t>
        </is>
      </c>
      <c r="D26" s="49">
        <f>('Расчёт аннуитета'!D18+'Расчёт аннуитета'!D20+'Расчёт аннуитета'!D22+'Расчёт аннуитета'!D23+'Расчёт аннуитета'!D24)/0.9+('Расчёт аннуитета'!D19+'Расчёт аннуитета'!D21)+0.2*'Расчёт аннуитета'!D19</f>
        <v>13.691200307469838</v>
      </c>
      <c r="E26" s="49">
        <f>('Расчёт аннуитета'!E18+'Расчёт аннуитета'!E20+'Расчёт аннуитета'!E22+'Расчёт аннуитета'!E23+'Расчёт аннуитета'!E24)/0.9+('Расчёт аннуитета'!E19+'Расчёт аннуитета'!E21)+0.2*'Расчёт аннуитета'!E19</f>
        <v>19.553902118026098</v>
      </c>
      <c r="F26" s="49">
        <f>('Расчёт аннуитета'!F18+'Расчёт аннуитета'!F20+'Расчёт аннуитета'!F22+'Расчёт аннуитета'!F23+'Расчёт аннуитета'!F24)/0.9+('Расчёт аннуитета'!F19+'Расчёт аннуитета'!F21)+0.2*'Расчёт аннуитета'!F19</f>
        <v>15.880434476449809</v>
      </c>
      <c r="G26" s="49">
        <f>('Расчёт аннуитета'!G18+'Расчёт аннуитета'!G20+'Расчёт аннуитета'!G22+'Расчёт аннуитета'!G23+'Расчёт аннуитета'!G24)/0.9+('Расчёт аннуитета'!G19+'Расчёт аннуитета'!G21)+0.2*'Расчёт аннуитета'!G19</f>
        <v>18.21016489024898</v>
      </c>
      <c r="H26" s="49">
        <f>('Расчёт аннуитета'!H18+'Расчёт аннуитета'!H20+'Расчёт аннуитета'!H22+'Расчёт аннуитета'!H23+'Расчёт аннуитета'!H24)/0.9+('Расчёт аннуитета'!H19+'Расчёт аннуитета'!H21)+0.2*'Расчёт аннуитета'!H19</f>
        <v>16.280707418653492</v>
      </c>
      <c r="I26" s="49">
        <f>('Расчёт аннуитета'!I18+'Расчёт аннуитета'!I20+'Расчёт аннуитета'!I22+'Расчёт аннуитета'!I23+'Расчёт аннуитета'!I24)/0.9+('Расчёт аннуитета'!I19+'Расчёт аннуитета'!I21)+0.2*'Расчёт аннуитета'!I19</f>
        <v>15.973624918943598</v>
      </c>
    </row>
    <row r="27">
      <c r="B27" s="22" t="inlineStr">
        <is>
          <t>Ширина диапазона (риск)</t>
        </is>
      </c>
      <c r="C27" s="24" t="inlineStr">
        <is>
          <t>руб/ткм</t>
        </is>
      </c>
      <c r="D27" s="49">
        <f>D26-D24</f>
        <v>3.2069977977181203</v>
      </c>
      <c r="E27" s="49">
        <f>E26-E24</f>
        <v>4.248849480917098</v>
      </c>
      <c r="F27" s="49">
        <f>F26-F24</f>
        <v>3.5884994709670437</v>
      </c>
      <c r="G27" s="49">
        <f>G26-G24</f>
        <v>4.017283226865146</v>
      </c>
      <c r="H27" s="49">
        <f>H26-H24</f>
        <v>3.6857244460630003</v>
      </c>
      <c r="I27" s="49">
        <f>I26-I24</f>
        <v>3.6319402303975252</v>
      </c>
    </row>
    <row r="28">
      <c r="B28" s="5" t="inlineStr">
        <is>
          <t>ЭФФЕКТИВНОСТЬ И ЦЕННОСТЬ ГОТОВНОСТИ</t>
        </is>
      </c>
      <c r="C28" s="4" t="n"/>
      <c r="D28" s="4" t="n"/>
      <c r="E28" s="4" t="n"/>
      <c r="F28" s="4" t="n"/>
      <c r="G28" s="4" t="n"/>
      <c r="H28" s="4" t="n"/>
      <c r="I28" s="4" t="n"/>
    </row>
    <row r="29">
      <c r="B29" s="22" t="inlineStr">
        <is>
          <t>Эффект +1 п.п. КТГ на аннуитет</t>
        </is>
      </c>
      <c r="C29" s="24" t="inlineStr">
        <is>
          <t>руб/ткм</t>
        </is>
      </c>
      <c r="D29" s="49">
        <f>-('Расчёт аннуитета'!D18+'Расчёт аннуитета'!D20+'Расчёт аннуитета'!D22+'Расчёт аннуитета'!D23+'Расчёт аннуитета'!D24)*0.01/AVERAGE('Данные по годам'!E7:N7)</f>
        <v>-0.04433465490639585</v>
      </c>
      <c r="E29" s="49">
        <f>-('Расчёт аннуитета'!E18+'Расчёт аннуитета'!E20+'Расчёт аннуитета'!E22+'Расчёт аннуитета'!E23+'Расчёт аннуитета'!E24)*0.01/AVERAGE('Данные по годам'!E10:N10)</f>
        <v>-0.10713529257736691</v>
      </c>
      <c r="F29" s="49">
        <f>-('Расчёт аннуитета'!F18+'Расчёт аннуитета'!F20+'Расчёт аннуитета'!F22+'Расчёт аннуитета'!F23+'Расчёт аннуитета'!F24)*0.01/AVERAGE('Данные по годам'!E13:N13)</f>
        <v>-0.06700542125206099</v>
      </c>
      <c r="G29" s="49">
        <f>-('Расчёт аннуитета'!G18+'Расчёт аннуитета'!G20+'Расчёт аннуитета'!G22+'Расчёт аннуитета'!G23+'Расчёт аннуитета'!G24)*0.01/AVERAGE('Данные по годам'!E16:N16)</f>
        <v>-0.09359155756582026</v>
      </c>
      <c r="H29" s="49">
        <f>-('Расчёт аннуитета'!H18+'Расчёт аннуитета'!H20+'Расчёт аннуитета'!H22+'Расчёт аннуитета'!H23+'Расчёт аннуитета'!H24)*0.01/AVERAGE('Данные по годам'!E19:N19)</f>
        <v>-0.07367193656566734</v>
      </c>
      <c r="I29" s="49">
        <f>-('Расчёт аннуитета'!I18+'Расчёт аннуитета'!I20+'Расчёт аннуитета'!I22+'Расчёт аннуитета'!I23+'Расчёт аннуитета'!I24)*0.01/AVERAGE('Данные по годам'!E22:N22)</f>
        <v>-0.06923351748175338</v>
      </c>
    </row>
    <row r="31">
      <c r="B31" s="67" t="inlineStr">
        <is>
          <t>ВЫВОД:</t>
        </is>
      </c>
      <c r="C31" s="71" t="str">
        <f>"Лучший по удельному TCO: "&amp;INDEX(D4:I4,MATCH(MIN(D9:I9),D9:I9,0))&amp;" ("&amp;TEXT(MIN(D9:I9),"0.00")&amp;" руб/ткм, "&amp;TEXT(MIN(D10:I10),"0.00")&amp;" руб/т). "&amp;"Отрыв от худшего: "&amp;TEXT(MAX(D9:I9)-MIN(D9:I9),"0.00")&amp;" руб/ткм."</f>
        <v>Лучший по удельному TCO: NHL NTE 240 (12.05 руб/ткм, 36.62 руб/т). Отрыв от худшего: 5.29 руб/ткм.</v>
      </c>
      <c r="D31" s="72" t="n"/>
      <c r="E31" s="72" t="n"/>
      <c r="F31" s="72" t="n"/>
      <c r="G31" s="72" t="n"/>
      <c r="H31" s="72" t="n"/>
    </row>
    <row r="33">
      <c r="B33" s="7" t="inlineStr">
        <is>
          <t>Метод (лучшие практики):</t>
        </is>
      </c>
    </row>
    <row r="34">
      <c r="B34" s="55" t="inlineStr">
        <is>
          <t>•  Levelized cost — приведённые затраты на единицу транспортной работы (руб/ткм, руб/т) уравнивают самосвалы с разной ценой, грузоподъёмностью и производительностью.</t>
        </is>
      </c>
    </row>
    <row r="35">
      <c r="B35" s="55" t="inlineStr">
        <is>
          <t>•  Многокритериальная оценка — не только цена, но и структура затрат, КТГ, доля топлива.</t>
        </is>
      </c>
    </row>
    <row r="36">
      <c r="B36" s="55" t="inlineStr">
        <is>
          <t>•  Разложение над лучшим — показывает, за счёт каких статей вариант дороже (управляемость).</t>
        </is>
      </c>
    </row>
    <row r="37">
      <c r="B37" s="55" t="inlineStr">
        <is>
          <t>•  Диапазон риска — устойчивость выбора к колебаниям КТГ и цены топлива.</t>
        </is>
      </c>
    </row>
    <row r="38">
      <c r="B38" s="55" t="inlineStr">
        <is>
          <t>•  Ценность готовности — сколько руб/ткм даёт рост КТГ на 1 п.п. (обоснование сервисного контракта).</t>
        </is>
      </c>
    </row>
  </sheetData>
  <mergeCells count="12">
    <mergeCell ref="C31:I31"/>
    <mergeCell ref="B1:K1"/>
    <mergeCell ref="B34:K34"/>
    <mergeCell ref="B16:I16"/>
    <mergeCell ref="B35:K35"/>
    <mergeCell ref="B28:I28"/>
    <mergeCell ref="B5:I5"/>
    <mergeCell ref="B38:K38"/>
    <mergeCell ref="B2:K2"/>
    <mergeCell ref="B23:I23"/>
    <mergeCell ref="B36:K36"/>
    <mergeCell ref="B37:K37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K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B1" s="1" t="inlineStr">
        <is>
          <t>АНАЛИЗ ЧУВСТВИТЕЛЬНОСТИ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Торнадо драйверов, влияние КТГ и ставки дисконтирования на аннуитет.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7" t="inlineStr">
        <is>
          <t>Анализируемый самосвал (1–6):</t>
        </is>
      </c>
      <c r="C4" s="37" t="n">
        <v>1</v>
      </c>
      <c r="D4" s="73" t="str">
        <f>INDEX('Ввод данных'!D7:I7,$C$4)</f>
        <v>NHL NTE 240</v>
      </c>
    </row>
    <row r="6">
      <c r="B6" s="5" t="inlineStr">
        <is>
          <t>БАЗОВЫЕ ВЕЛИЧИНЫ ВЫБРАННОГО ВАРИАНТА</t>
        </is>
      </c>
      <c r="C6" s="4" t="n"/>
      <c r="D6" s="4" t="n"/>
      <c r="E6" s="4" t="n"/>
      <c r="F6" s="4" t="n"/>
      <c r="G6" s="4" t="n"/>
      <c r="H6" s="4" t="n"/>
    </row>
    <row r="7">
      <c r="B7" s="22" t="inlineStr">
        <is>
          <t>Общий аннуитет</t>
        </is>
      </c>
      <c r="C7" s="24" t="inlineStr">
        <is>
          <t>руб/ткм</t>
        </is>
      </c>
      <c r="D7" s="49">
        <f>INDEX('Расчёт аннуитета'!D26:I26,$C$4)</f>
        <v>12.046304484372927</v>
      </c>
    </row>
    <row r="8">
      <c r="B8" s="22" t="inlineStr">
        <is>
          <t>— инвестиционный</t>
        </is>
      </c>
      <c r="C8" s="24" t="inlineStr">
        <is>
          <t>руб/ткм</t>
        </is>
      </c>
      <c r="D8" s="49">
        <f>INDEX('Расчёт аннуитета'!D18:I18,$C$4)</f>
        <v>3.9234406551640832</v>
      </c>
    </row>
    <row r="9">
      <c r="B9" s="22" t="inlineStr">
        <is>
          <t>— топливо</t>
        </is>
      </c>
      <c r="C9" s="24" t="inlineStr">
        <is>
          <t>руб/ткм</t>
        </is>
      </c>
      <c r="D9" s="49">
        <f>INDEX('Расчёт аннуитета'!D19:I19,$C$4)</f>
        <v>5.947648282402759</v>
      </c>
    </row>
    <row r="10">
      <c r="B10" s="22" t="inlineStr">
        <is>
          <t>— ТОиР + капремонты</t>
        </is>
      </c>
      <c r="C10" s="24" t="inlineStr">
        <is>
          <t>руб/ткм</t>
        </is>
      </c>
      <c r="D10" s="49">
        <f>INDEX('Расчёт аннуитета'!D20:I20,$C$4)</f>
        <v>2.198702196228325</v>
      </c>
    </row>
    <row r="11">
      <c r="B11" s="22" t="inlineStr">
        <is>
          <t>— персонал</t>
        </is>
      </c>
      <c r="C11" s="24" t="inlineStr">
        <is>
          <t>руб/ткм</t>
        </is>
      </c>
      <c r="D11" s="49">
        <f>INDEX('Расчёт аннуитета'!D22:I22,$C$4)</f>
        <v>1.603627648031929</v>
      </c>
    </row>
    <row r="12">
      <c r="B12" s="22" t="inlineStr">
        <is>
          <t>Средний годовой грузооборот</t>
        </is>
      </c>
      <c r="C12" s="24" t="inlineStr">
        <is>
          <t>тыс.ткм</t>
        </is>
      </c>
      <c r="D12" s="48">
        <f>INDEX('Расчёт аннуитета'!D15:I15,$C$4)</f>
        <v>11521.128375826138</v>
      </c>
    </row>
    <row r="13">
      <c r="B13" s="22" t="inlineStr">
        <is>
          <t>Стоимость (руб)</t>
        </is>
      </c>
      <c r="C13" s="24" t="inlineStr">
        <is>
          <t>тыс.руб</t>
        </is>
      </c>
      <c r="D13" s="48">
        <f>INDEX('Производительность'!D5:I5,$C$4)</f>
        <v>255404.00000000003</v>
      </c>
    </row>
    <row r="14">
      <c r="B14" s="22" t="inlineStr">
        <is>
          <t>Постоянные (инв+ТОиР+перс+налоги)</t>
        </is>
      </c>
      <c r="C14" s="24" t="inlineStr">
        <is>
          <t>руб/ткм</t>
        </is>
      </c>
      <c r="D14" s="49">
        <f>INDEX('Расчёт аннуитета'!D18:I18,$C$4)+INDEX('Расчёт аннуитета'!D20:I20,$C$4)+INDEX('Расчёт аннуитета'!D22:I22,$C$4)+INDEX('Расчёт аннуитета'!D23:I23,$C$4)+INDEX('Расчёт аннуитета'!D24:I24,$C$4)</f>
        <v>4.098295499547232</v>
      </c>
    </row>
    <row r="15">
      <c r="B15" s="22" t="inlineStr">
        <is>
          <t>Переменные (топливо+шины)</t>
        </is>
      </c>
      <c r="C15" s="24" t="inlineStr">
        <is>
          <t>руб/ткм</t>
        </is>
      </c>
      <c r="D15" s="49">
        <f>INDEX('Расчёт аннуитета'!D19:I19,$C$4)+INDEX('Расчёт аннуитета'!D21:I21,$C$4)</f>
        <v>7.948008984825695</v>
      </c>
    </row>
    <row r="17">
      <c r="B17" s="5" t="inlineStr">
        <is>
          <t>ТОРНАДО: ВЛИЯНИЕ ДРАЙВЕРОВ НА ОБЩИЙ АННУИТЕТ (руб/ткм)</t>
        </is>
      </c>
      <c r="C17" s="4" t="n"/>
      <c r="D17" s="4" t="n"/>
      <c r="E17" s="4" t="n"/>
      <c r="F17" s="4" t="n"/>
      <c r="G17" s="4" t="n"/>
      <c r="H17" s="4" t="n"/>
    </row>
    <row r="18">
      <c r="B18" s="15" t="inlineStr">
        <is>
          <t>Драйвер</t>
        </is>
      </c>
      <c r="C18" s="15" t="inlineStr">
        <is>
          <t>Диапазон</t>
        </is>
      </c>
      <c r="D18" s="15" t="inlineStr">
        <is>
          <t>При снижении</t>
        </is>
      </c>
      <c r="E18" s="15" t="inlineStr">
        <is>
          <t>При росте</t>
        </is>
      </c>
      <c r="F18" s="15" t="inlineStr">
        <is>
          <t>Размах</t>
        </is>
      </c>
      <c r="I18" s="74" t="inlineStr">
        <is>
          <t>низкое</t>
        </is>
      </c>
      <c r="J18" s="74" t="inlineStr">
        <is>
          <t>высокое</t>
        </is>
      </c>
    </row>
    <row r="19">
      <c r="B19" s="22" t="inlineStr">
        <is>
          <t>Расход / цена ДТ</t>
        </is>
      </c>
      <c r="C19" s="75" t="inlineStr">
        <is>
          <t>±20%</t>
        </is>
      </c>
      <c r="D19" s="49">
        <f>$D$7-0.2*($D$9*(1-'Параметры'!C7))</f>
        <v>11.154157242012513</v>
      </c>
      <c r="E19" s="49">
        <f>$D$7+0.2*($D$9*(1-'Параметры'!C7))</f>
        <v>12.93845172673334</v>
      </c>
      <c r="F19" s="49">
        <f>E19-D19</f>
        <v>1.784294484720828</v>
      </c>
      <c r="I19" s="76">
        <f>D19-$D$7</f>
        <v>-0.892147242360414</v>
      </c>
      <c r="J19" s="76">
        <f>E19-$D$7</f>
        <v>0.892147242360414</v>
      </c>
    </row>
    <row r="20">
      <c r="B20" s="22" t="inlineStr">
        <is>
          <t>Затраты на ТОиР/ремонты</t>
        </is>
      </c>
      <c r="C20" s="75" t="inlineStr">
        <is>
          <t>±25%</t>
        </is>
      </c>
      <c r="D20" s="49">
        <f>$D$7-0.25*($D$10*(1-'Параметры'!C7))</f>
        <v>11.634047822580115</v>
      </c>
      <c r="E20" s="49">
        <f>$D$7+0.25*($D$10*(1-'Параметры'!C7))</f>
        <v>12.458561146165739</v>
      </c>
      <c r="F20" s="49">
        <f>E20-D20</f>
        <v>0.8245133235856237</v>
      </c>
      <c r="I20" s="76">
        <f>D20-$D$7</f>
        <v>-0.41225666179281184</v>
      </c>
      <c r="J20" s="76">
        <f>E20-$D$7</f>
        <v>0.41225666179281184</v>
      </c>
    </row>
    <row r="21">
      <c r="B21" s="22" t="inlineStr">
        <is>
          <t>Цена приобретения</t>
        </is>
      </c>
      <c r="C21" s="75" t="inlineStr">
        <is>
          <t>±15%</t>
        </is>
      </c>
      <c r="D21" s="49">
        <f>$D$7-0.15*($D$8*(1-'Параметры'!C7*'Параметры'!C46))</f>
        <v>11.563346922057656</v>
      </c>
      <c r="E21" s="49">
        <f>$D$7+0.15*($D$8*(1-'Параметры'!C7*'Параметры'!C46))</f>
        <v>12.529262046688197</v>
      </c>
      <c r="F21" s="49">
        <f>E21-D21</f>
        <v>0.9659151246305413</v>
      </c>
      <c r="I21" s="76">
        <f>D21-$D$7</f>
        <v>-0.48295756231527065</v>
      </c>
      <c r="J21" s="76">
        <f>E21-$D$7</f>
        <v>0.48295756231527065</v>
      </c>
    </row>
    <row r="22">
      <c r="B22" s="22" t="inlineStr">
        <is>
          <t>Расходы на персонал</t>
        </is>
      </c>
      <c r="C22" s="75" t="inlineStr">
        <is>
          <t>±15%</t>
        </is>
      </c>
      <c r="D22" s="49">
        <f>$D$7-0.15*($D$11*(1-'Параметры'!C7))</f>
        <v>11.865896373969335</v>
      </c>
      <c r="E22" s="49">
        <f>$D$7+0.15*($D$11*(1-'Параметры'!C7))</f>
        <v>12.226712594776519</v>
      </c>
      <c r="F22" s="49">
        <f>E22-D22</f>
        <v>0.3608162208071839</v>
      </c>
      <c r="I22" s="76">
        <f>D22-$D$7</f>
        <v>-0.18040811040359195</v>
      </c>
      <c r="J22" s="76">
        <f>E22-$D$7</f>
        <v>0.18040811040359195</v>
      </c>
    </row>
    <row r="25">
      <c r="B25" s="5" t="inlineStr">
        <is>
          <t>ВЛИЯНИЕ ПРОИЗВОДИТЕЛЬНОСТИ (КТГ / УТИЛИЗАЦИИ)</t>
        </is>
      </c>
      <c r="C25" s="4" t="n"/>
      <c r="D25" s="4" t="n"/>
      <c r="E25" s="4" t="n"/>
      <c r="F25" s="4" t="n"/>
      <c r="G25" s="4" t="n"/>
      <c r="H25" s="4" t="n"/>
    </row>
    <row r="26">
      <c r="B26" s="15" t="inlineStr">
        <is>
          <t>Изменение производительности</t>
        </is>
      </c>
      <c r="C26" s="15" t="inlineStr">
        <is>
          <t>-15%</t>
        </is>
      </c>
      <c r="D26" s="15" t="inlineStr">
        <is>
          <t>-10%</t>
        </is>
      </c>
      <c r="E26" s="15" t="inlineStr">
        <is>
          <t>0%</t>
        </is>
      </c>
      <c r="F26" s="15" t="inlineStr">
        <is>
          <t>+10%</t>
        </is>
      </c>
      <c r="G26" s="15" t="inlineStr">
        <is>
          <t>+15%</t>
        </is>
      </c>
    </row>
    <row r="27">
      <c r="B27" s="47" t="inlineStr">
        <is>
          <t>Общий аннуитет, руб/ткм</t>
        </is>
      </c>
      <c r="C27" s="60">
        <f>$D$14/(1+-0.15)+$D$15</f>
        <v>12.769533101940088</v>
      </c>
      <c r="D27" s="60">
        <f>$D$14/(1+-0.1)+$D$15</f>
        <v>12.501670650989286</v>
      </c>
      <c r="E27" s="63">
        <f>$D$14/(1+0.0)+$D$15</f>
        <v>12.046304484372929</v>
      </c>
      <c r="F27" s="60">
        <f>$D$14/(1+0.1)+$D$15</f>
        <v>11.67373216623227</v>
      </c>
      <c r="G27" s="60">
        <f>$D$14/(1+0.15)+$D$15</f>
        <v>11.511744201823289</v>
      </c>
    </row>
    <row r="29">
      <c r="B29" s="5" t="inlineStr">
        <is>
          <t>ВЛИЯНИЕ СТАВКИ ДИСКОНТИРОВАНИЯ</t>
        </is>
      </c>
      <c r="C29" s="4" t="n"/>
      <c r="D29" s="4" t="n"/>
      <c r="E29" s="4" t="n"/>
      <c r="F29" s="4" t="n"/>
      <c r="G29" s="4" t="n"/>
      <c r="H29" s="4" t="n"/>
    </row>
    <row r="30">
      <c r="B30" s="15" t="inlineStr">
        <is>
          <t>Ставка дисконтирования</t>
        </is>
      </c>
      <c r="C30" s="77" t="n">
        <v>0.08</v>
      </c>
      <c r="D30" s="77" t="n">
        <v>0.1</v>
      </c>
      <c r="E30" s="77" t="n">
        <v>0.12</v>
      </c>
      <c r="F30" s="77" t="n">
        <v>0.14</v>
      </c>
      <c r="G30" s="77" t="n">
        <v>0.16</v>
      </c>
    </row>
    <row r="31">
      <c r="B31" s="47" t="inlineStr">
        <is>
          <t>Общий аннуитет, руб/ткм (оценка)</t>
        </is>
      </c>
      <c r="C31" s="60">
        <f>$D$13*(1-INDEX('Ввод данных'!D14:I14,$C$4)/(1+C30)^'Параметры'!C8)/((1-(1+C30)^-'Параметры'!C8)/C30)/$D$12+$D$7-$D$8</f>
        <v>11.426596440248211</v>
      </c>
      <c r="D31" s="60">
        <f>$D$13*(1-INDEX('Ввод данных'!D14:I14,$C$4)/(1+D30)^'Параметры'!C8)/((1-(1+D30)^-'Параметры'!C8)/D30)/$D$12+$D$7-$D$8</f>
        <v>11.73065496551692</v>
      </c>
      <c r="E31" s="63">
        <f>$D$13*(1-INDEX('Ввод данных'!D14:I14,$C$4)/(1+E30)^'Параметры'!C8)/((1-(1+E30)^-'Параметры'!C8)/E30)/$D$12+$D$7-$D$8</f>
        <v>12.046304484372929</v>
      </c>
      <c r="F31" s="60">
        <f>$D$13*(1-INDEX('Ввод данных'!D14:I14,$C$4)/(1+F30)^'Параметры'!C8)/((1-(1+F30)^-'Параметры'!C8)/F30)/$D$12+$D$7-$D$8</f>
        <v>12.372829942625764</v>
      </c>
      <c r="G31" s="60">
        <f>$D$13*(1-INDEX('Ввод данных'!D14:I14,$C$4)/(1+G30)^'Параметры'!C8)/((1-(1+G30)^-'Параметры'!C8)/G30)/$D$12+$D$7-$D$8</f>
        <v>12.709512158760791</v>
      </c>
    </row>
    <row r="33">
      <c r="B33" s="55" t="inlineStr">
        <is>
          <t>Оценка по ставке: инвестиционный аннуитет пересчитан точно, операционный принят постоянным (аннуитет равномерного потока ≈ инвариантен к ставке).</t>
        </is>
      </c>
    </row>
  </sheetData>
  <mergeCells count="8">
    <mergeCell ref="B1:K1"/>
    <mergeCell ref="B17:H17"/>
    <mergeCell ref="B6:H6"/>
    <mergeCell ref="B25:H25"/>
    <mergeCell ref="B29:H29"/>
    <mergeCell ref="B2:K2"/>
    <mergeCell ref="D4:H4"/>
    <mergeCell ref="B33:H33"/>
  </mergeCells>
  <dataValidations count="1">
    <dataValidation sqref="C4" showDropDown="0" showInputMessage="0" showErrorMessage="0" allowBlank="0" type="whole" operator="between">
      <formula1>1</formula1>
      <formula2>6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I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B1" s="1" t="inlineStr">
        <is>
          <t>СПРАВОЧНИК ОРИЕНТИРОВОЧНЫХ ЗНАЧЕНИЙ</t>
        </is>
      </c>
      <c r="C1" s="2" t="n"/>
      <c r="D1" s="2" t="n"/>
      <c r="E1" s="2" t="n"/>
      <c r="F1" s="2" t="n"/>
      <c r="G1" s="2" t="n"/>
      <c r="H1" s="2" t="n"/>
      <c r="I1" s="2" t="n"/>
    </row>
    <row r="2">
      <c r="B2" s="3" t="inlineStr">
        <is>
          <t>Диапазоны для проверки исходных данных. Требуют уточнения по данным поставщика.</t>
        </is>
      </c>
      <c r="C2" s="2" t="n"/>
      <c r="D2" s="2" t="n"/>
      <c r="E2" s="2" t="n"/>
      <c r="F2" s="2" t="n"/>
      <c r="G2" s="2" t="n"/>
      <c r="H2" s="2" t="n"/>
      <c r="I2" s="2" t="n"/>
    </row>
    <row r="4">
      <c r="B4" s="15" t="inlineStr">
        <is>
          <t>Показатель</t>
        </is>
      </c>
      <c r="C4" s="15" t="inlineStr">
        <is>
          <t>Класс 220–240 т</t>
        </is>
      </c>
      <c r="D4" s="15" t="inlineStr">
        <is>
          <t>Диапазон</t>
        </is>
      </c>
      <c r="E4" s="15" t="inlineStr">
        <is>
          <t>Комментарий</t>
        </is>
      </c>
    </row>
    <row r="5">
      <c r="B5" s="22" t="inlineStr">
        <is>
          <t>Ставка дисконтирования (WACC)</t>
        </is>
      </c>
      <c r="C5" s="75" t="inlineStr">
        <is>
          <t>12%</t>
        </is>
      </c>
      <c r="D5" s="75" t="inlineStr">
        <is>
          <t>8–16%</t>
        </is>
      </c>
      <c r="E5" s="22" t="inlineStr">
        <is>
          <t>Согласуется с эскалацией</t>
        </is>
      </c>
    </row>
    <row r="6">
      <c r="B6" s="78" t="inlineStr">
        <is>
          <t>Налог на прибыль</t>
        </is>
      </c>
      <c r="C6" s="79" t="inlineStr">
        <is>
          <t>25%</t>
        </is>
      </c>
      <c r="D6" s="79" t="inlineStr">
        <is>
          <t>20–25%</t>
        </is>
      </c>
      <c r="E6" s="78" t="inlineStr">
        <is>
          <t>Действующая ставка РФ</t>
        </is>
      </c>
    </row>
    <row r="7">
      <c r="B7" s="22" t="inlineStr">
        <is>
          <t>КТГ (техготовность)</t>
        </is>
      </c>
      <c r="C7" s="75" t="inlineStr">
        <is>
          <t>0,85–0,94</t>
        </is>
      </c>
      <c r="D7" s="75" t="inlineStr">
        <is>
          <t>0,80–0,95</t>
        </is>
      </c>
      <c r="E7" s="22" t="inlineStr">
        <is>
          <t>Зависит от бренда и сервиса</t>
        </is>
      </c>
    </row>
    <row r="8">
      <c r="B8" s="78" t="inlineStr">
        <is>
          <t>КИО (использование)</t>
        </is>
      </c>
      <c r="C8" s="79" t="inlineStr">
        <is>
          <t>0,78–0,80</t>
        </is>
      </c>
      <c r="D8" s="79" t="inlineStr">
        <is>
          <t>0,72–0,85</t>
        </is>
      </c>
      <c r="E8" s="78" t="inlineStr">
        <is>
          <t>Доля рабочего времени в КФВ</t>
        </is>
      </c>
    </row>
    <row r="9">
      <c r="B9" s="22" t="inlineStr">
        <is>
          <t>КИГ (использование г/п)</t>
        </is>
      </c>
      <c r="C9" s="75" t="inlineStr">
        <is>
          <t>0,98</t>
        </is>
      </c>
      <c r="D9" s="75" t="inlineStr">
        <is>
          <t>0,90–1,00</t>
        </is>
      </c>
      <c r="E9" s="22" t="inlineStr">
        <is>
          <t>Доля номинальной грузоподъёмности</t>
        </is>
      </c>
    </row>
    <row r="10">
      <c r="B10" s="78" t="inlineStr">
        <is>
          <t>Грузоподъёмность</t>
        </is>
      </c>
      <c r="C10" s="79" t="inlineStr">
        <is>
          <t>211–231</t>
        </is>
      </c>
      <c r="D10" s="79" t="inlineStr">
        <is>
          <t>200–240 т</t>
        </is>
      </c>
      <c r="E10" s="78" t="inlineStr">
        <is>
          <t>Класс 220–240 т</t>
        </is>
      </c>
    </row>
    <row r="11">
      <c r="B11" s="22" t="inlineStr">
        <is>
          <t>Средняя тех. скорость</t>
        </is>
      </c>
      <c r="C11" s="75" t="inlineStr">
        <is>
          <t>22,5</t>
        </is>
      </c>
      <c r="D11" s="75" t="inlineStr">
        <is>
          <t>18–28 км/ч</t>
        </is>
      </c>
      <c r="E11" s="22" t="inlineStr">
        <is>
          <t>Профиль трассы, плечо</t>
        </is>
      </c>
    </row>
    <row r="12">
      <c r="B12" s="78" t="inlineStr">
        <is>
          <t>Расход топлива</t>
        </is>
      </c>
      <c r="C12" s="79" t="inlineStr">
        <is>
          <t>90</t>
        </is>
      </c>
      <c r="D12" s="79" t="inlineStr">
        <is>
          <t>80–110 г/ткм</t>
        </is>
      </c>
      <c r="E12" s="78" t="inlineStr">
        <is>
          <t>Двигатель, плечо, уклоны</t>
        </is>
      </c>
    </row>
    <row r="13">
      <c r="B13" s="22" t="inlineStr">
        <is>
          <t>Шины (удельный расход)</t>
        </is>
      </c>
      <c r="C13" s="75" t="inlineStr">
        <is>
          <t>0,075</t>
        </is>
      </c>
      <c r="D13" s="75" t="inlineStr">
        <is>
          <t>0,05–0,10 шт/тыс.км</t>
        </is>
      </c>
      <c r="E13" s="22" t="inlineStr">
        <is>
          <t>Тип, трасса, давление</t>
        </is>
      </c>
    </row>
    <row r="14">
      <c r="B14" s="78" t="inlineStr">
        <is>
          <t>Срок амортизации (НУ)</t>
        </is>
      </c>
      <c r="C14" s="79" t="inlineStr">
        <is>
          <t>61 мес</t>
        </is>
      </c>
      <c r="D14" s="79" t="inlineStr">
        <is>
          <t>5–7 лет</t>
        </is>
      </c>
      <c r="E14" s="78" t="inlineStr">
        <is>
          <t>Линейная амортизация</t>
        </is>
      </c>
    </row>
    <row r="15">
      <c r="B15" s="22" t="inlineStr">
        <is>
          <t>Остаточная стоимость</t>
        </is>
      </c>
      <c r="C15" s="75" t="inlineStr">
        <is>
          <t>0–10%</t>
        </is>
      </c>
      <c r="D15" s="75" t="inlineStr">
        <is>
          <t>0–20%</t>
        </is>
      </c>
      <c r="E15" s="22" t="inlineStr">
        <is>
          <t>Реализация в конце срока</t>
        </is>
      </c>
    </row>
    <row r="17">
      <c r="B17" s="7" t="inlineStr">
        <is>
          <t>Методические примечания:</t>
        </is>
      </c>
    </row>
    <row r="18">
      <c r="B18" s="80" t="inlineStr">
        <is>
          <t>•  Производительность считается по транспортному циклу (методика листа «Производительность» исходного файла): время рейса = фикс. операции + движение (2·плечо/скорость); объём = рейсы × грузоподъёмность × КИГ.</t>
        </is>
      </c>
    </row>
    <row r="19">
      <c r="B19" s="80" t="inlineStr">
        <is>
          <t>•  ТОиР задаётся по годам (ТО, текущие и капитальные ремонты, сервис) — «рваный» график капремонтов учитывается дисконтированием.</t>
        </is>
      </c>
    </row>
    <row r="20">
      <c r="B20" s="80" t="inlineStr">
        <is>
          <t>•  Цена самосвалов в исходном файле не заполнена — в модель подставлена ОЦЕНКА; замените жёлтые ячейки данными ТКП.</t>
        </is>
      </c>
    </row>
    <row r="21">
      <c r="B21" s="80" t="inlineStr">
        <is>
          <t>•  Значения таблицы — ориентир порядка величин, а не норматив.</t>
        </is>
      </c>
    </row>
  </sheetData>
  <mergeCells count="6">
    <mergeCell ref="B18:I18"/>
    <mergeCell ref="B21:I21"/>
    <mergeCell ref="B2:I2"/>
    <mergeCell ref="B20:I20"/>
    <mergeCell ref="B19:I19"/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2026-07-30T09:21:08Z</dcterms:created>
  <dcterms:modified xsi:type="dcterms:W3CDTF">2026-07-30T09:21:08Z</dcterms:modified>
</cp:coreProperties>
</file>