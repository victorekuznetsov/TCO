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orbunov\Desktop\ДГ\___D___\Рабочий\Рабочий\Клиенты\ЗАО ПОЛЮС\АО «Полюс Красноярск»\2026 12м3\"/>
    </mc:Choice>
  </mc:AlternateContent>
  <xr:revisionPtr revIDLastSave="0" documentId="8_{F5183CB1-A3E1-4DC4-AD81-26B6B84C340B}" xr6:coauthVersionLast="47" xr6:coauthVersionMax="47" xr10:uidLastSave="{00000000-0000-0000-0000-000000000000}"/>
  <bookViews>
    <workbookView xWindow="-28920" yWindow="-11580" windowWidth="29040" windowHeight="15840" tabRatio="701" xr2:uid="{00000000-000D-0000-FFFF-FFFF00000000}"/>
  </bookViews>
  <sheets>
    <sheet name="Данные_Экскаватор" sheetId="1" r:id="rId1"/>
    <sheet name="ТО" sheetId="4" r:id="rId2"/>
    <sheet name="Ремонты" sheetId="3" r:id="rId3"/>
    <sheet name="Время цикла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1_2003">#REF!</definedName>
    <definedName name="_1_2003">#REF!</definedName>
    <definedName name="_1Excel_BuiltIn_Print_Area_1_1">#REF!</definedName>
    <definedName name="_500_LD">#REF!</definedName>
    <definedName name="_A" localSheetId="0" hidden="1">#REF!</definedName>
    <definedName name="_A" localSheetId="1" hidden="1">#REF!</definedName>
    <definedName name="_A" hidden="1">#REF!</definedName>
    <definedName name="_ALT_">[1]EGATの実績!#REF!</definedName>
    <definedName name="_Fill" localSheetId="0" hidden="1">#REF!</definedName>
    <definedName name="_Fill" localSheetId="1" hidden="1">#REF!</definedName>
    <definedName name="_Fill" hidden="1">#REF!</definedName>
    <definedName name="_ID_">[1]EGATの実績!#REF!</definedName>
    <definedName name="_IDX_MK_OUTPUT_RAWDATA">'[2]FC_RawData (2)'!#REF!</definedName>
    <definedName name="_IDX_SQL_RAWDATA">[1]EGATの実績!#REF!</definedName>
    <definedName name="_INT_">[1]EGATの実績!#REF!</definedName>
    <definedName name="_Key1" hidden="1">[3]ENG_APL!#REF!</definedName>
    <definedName name="_LNS_MK_OUTPUT_RAWDATA">'[2]FC_RawData (2)'!#REF!</definedName>
    <definedName name="_LNS_SQL_RAWDATA">[1]EGATの実績!#REF!</definedName>
    <definedName name="_NID_">[1]EGATの実績!#REF!</definedName>
    <definedName name="_Order1" hidden="1">0</definedName>
    <definedName name="_Order2" hidden="1">0</definedName>
    <definedName name="_PWD_">[1]EGATの実績!#REF!</definedName>
    <definedName name="_REC_MK_OUTPUT_RAWDATA">'[2]FC_RawData (2)'!#REF!</definedName>
    <definedName name="_REC_SQL_RAWDATA">[1]EGATの実績!#REF!</definedName>
    <definedName name="_Regression_Int" hidden="1">1</definedName>
    <definedName name="_Regression_X" hidden="1">#REF!</definedName>
    <definedName name="_S201">#REF!</definedName>
    <definedName name="_S202">#REF!</definedName>
    <definedName name="_S203">#REF!</definedName>
    <definedName name="_S204">#REF!</definedName>
    <definedName name="_S205">#REF!</definedName>
    <definedName name="_S206">#REF!</definedName>
    <definedName name="_S301">#REF!</definedName>
    <definedName name="_S302">#REF!</definedName>
    <definedName name="_S303">#REF!</definedName>
    <definedName name="_S304">#REF!</definedName>
    <definedName name="_S305">#REF!</definedName>
    <definedName name="_S306">#REF!</definedName>
    <definedName name="_S307">#REF!</definedName>
    <definedName name="_S308">#REF!</definedName>
    <definedName name="_S309">#REF!</definedName>
    <definedName name="_S310">#REF!</definedName>
    <definedName name="_S311">#REF!</definedName>
    <definedName name="_S312">#REF!</definedName>
    <definedName name="_SDAY_">[1]EGATの実績!#REF!</definedName>
    <definedName name="_SID_">[1]EGATの実績!#REF!</definedName>
    <definedName name="_SMIN_">[1]EGATの実績!#REF!</definedName>
    <definedName name="_Sort" localSheetId="1" hidden="1">#REF!</definedName>
    <definedName name="_Sort" hidden="1">#REF!</definedName>
    <definedName name="_xlnm._FilterDatabase" hidden="1">'[4]4'!$B$3:$E$5</definedName>
    <definedName name="a">#REF!</definedName>
    <definedName name="A_BeforeOutput">#REF!</definedName>
    <definedName name="AAA">#N/A</definedName>
    <definedName name="aadfasdfasdf">#REF!</definedName>
    <definedName name="AccessDatabase" hidden="1">"C:\Documents and Settings\mutygullin\Рабочий стол\Волокитин\Предприятия СУЭК.mdb"</definedName>
    <definedName name="ADEJAD">#REF!</definedName>
    <definedName name="adfha">#REF!</definedName>
    <definedName name="ADJADGJ">#REF!</definedName>
    <definedName name="afag">#REF!</definedName>
    <definedName name="AGAH">#REF!</definedName>
    <definedName name="AHDH">#REF!</definedName>
    <definedName name="ahmed">'[5]Ahmed prices'!$A$1:$C$7002</definedName>
    <definedName name="AplBH" hidden="1">#REF!</definedName>
    <definedName name="APLlist">[6]APLpriceOLD!$E$5:$E$2563</definedName>
    <definedName name="apr" hidden="1">{"'РП (2)'!$A$5:$S$150"}</definedName>
    <definedName name="APRIL">[7]EQIPHR97!#REF!</definedName>
    <definedName name="AS2DocOpenMode" hidden="1">"AS2DocumentBrowse"</definedName>
    <definedName name="asdfg" hidden="1">{"'РП (2)'!$A$5:$S$150"}</definedName>
    <definedName name="asdfghashj">#REF!</definedName>
    <definedName name="asf">#REF!</definedName>
    <definedName name="ASH">#REF!</definedName>
    <definedName name="ASHAD">#REF!</definedName>
    <definedName name="AUG">[7]EQIPHR97!#REF!</definedName>
    <definedName name="AUGUST">[7]EQIPHR97!#REF!</definedName>
    <definedName name="Base_Capital">#REF!</definedName>
    <definedName name="Beg_Bal">#REF!</definedName>
    <definedName name="Centreline_クエリ1">#REF!</definedName>
    <definedName name="Control" hidden="1">{"'РП (2)'!$A$5:$S$150"}</definedName>
    <definedName name="COOLANT">'[8]MARC Input &amp; Summary'!$J$17</definedName>
    <definedName name="COPYRANGEP1">#REF!</definedName>
    <definedName name="COPYRANGEP2">#REF!</definedName>
    <definedName name="COPYRIEKIP1">#REF!</definedName>
    <definedName name="COPYRIEKIP2">#REF!</definedName>
    <definedName name="CRTBL_ODIR">#REF!</definedName>
    <definedName name="CRTBL_OFILE">#REF!</definedName>
    <definedName name="Cum_Int">#REF!</definedName>
    <definedName name="curr">#REF!</definedName>
    <definedName name="CURRENCYSYMBOL">'[8]MARC Input &amp; Summary'!$J$4</definedName>
    <definedName name="d">#REF!</definedName>
    <definedName name="Data">#REF!</definedName>
    <definedName name="ddd">#REF!</definedName>
    <definedName name="ddfdas">#REF!</definedName>
    <definedName name="DEC">[7]EQIPHR97!#REF!</definedName>
    <definedName name="DFH">#REF!</definedName>
    <definedName name="DFHA">#REF!</definedName>
    <definedName name="DHDH">#REF!</definedName>
    <definedName name="DIFFERENTIAL_AND_PLANETARY_OIL">'[8]MARC Input &amp; Summary'!$J$16</definedName>
    <definedName name="DN_PRICE_MULT">'[8]MARC Input &amp; Summary'!$O$16</definedName>
    <definedName name="DRTBL_OFILE">#REF!</definedName>
    <definedName name="DUTY_AND_FREIGHT_MULT">'[8]MARC Input &amp; Summary'!$J$5</definedName>
    <definedName name="e" hidden="1">{"'РП (2)'!$A$5:$S$150"}</definedName>
    <definedName name="ebelp">#REF!</definedName>
    <definedName name="ee">#REF!</definedName>
    <definedName name="eee">#REF!</definedName>
    <definedName name="EH3500AC２損益計算表">[0]!EH3500AC２損益計算表</definedName>
    <definedName name="End_Bal">#REF!</definedName>
    <definedName name="Engine_Duty_Cycle">'[8]Engine Load Factor Tbl'!$A$2:$C$42</definedName>
    <definedName name="ENGINE_OIL">'[8]MARC Input &amp; Summary'!$J$13</definedName>
    <definedName name="Engine_Selection">'[8]Engine Load Factor Tbl'!$J$1</definedName>
    <definedName name="EngPrice">#REF!</definedName>
    <definedName name="ewew">#REF!</definedName>
    <definedName name="EX1100_3_LD_98_Parts_Cost">#REF!</definedName>
    <definedName name="EX18000_3_LD_98_Parts_Cost">#REF!</definedName>
    <definedName name="EX2500_LD_98_PARTS_COST">#REF!</definedName>
    <definedName name="EX3500_3_LD_98">#REF!</definedName>
    <definedName name="Excel_BuiltIn_Print_Area_1_1">#REF!</definedName>
    <definedName name="EXCHANGE_RATE">'[8]MARC Input &amp; Summary'!$J$3</definedName>
    <definedName name="Extra_Pay">#REF!</definedName>
    <definedName name="fd">#REF!</definedName>
    <definedName name="fdsa">#REF!</definedName>
    <definedName name="fdsafa">#REF!</definedName>
    <definedName name="FEB">[7]EQIPHR97!#REF!</definedName>
    <definedName name="fewq">#REF!</definedName>
    <definedName name="fffff">#REF!</definedName>
    <definedName name="FGJSAJ">#REF!</definedName>
    <definedName name="FHA">#REF!</definedName>
    <definedName name="FHADFHA">#REF!</definedName>
    <definedName name="FHDF">#REF!</definedName>
    <definedName name="FHGAD">#REF!</definedName>
    <definedName name="FinalYearCostsOption">'[8]Engine Load Factor Tbl'!$J$15</definedName>
    <definedName name="FirstColumn">#REF!</definedName>
    <definedName name="fleet_type">[9]Overview!$B$13:$B$15</definedName>
    <definedName name="FOB_Guelp">'[10]EH5000 less tires-liners'!$G$54</definedName>
    <definedName name="FOOTER_LINE">#REF!</definedName>
    <definedName name="FRONT_WHEEL_BEARINGS">'[8]MARC Input &amp; Summary'!$J$14</definedName>
    <definedName name="fsa">#REF!</definedName>
    <definedName name="fsafsafafafa">#REF!</definedName>
    <definedName name="fsafsafsa">#REF!</definedName>
    <definedName name="Full_Print">#REF!</definedName>
    <definedName name="GA">#REF!</definedName>
    <definedName name="GAHF">#REF!</definedName>
    <definedName name="GFA">#REF!</definedName>
    <definedName name="GFASD">#REF!</definedName>
    <definedName name="GFDSG">#REF!</definedName>
    <definedName name="GFSDG">#REF!</definedName>
    <definedName name="ghadfjf">#REF!</definedName>
    <definedName name="ghhf">#REF!</definedName>
    <definedName name="GREASE">'[8]MARC Input &amp; Summary'!$J$12</definedName>
    <definedName name="Gsdfh">#REF!</definedName>
    <definedName name="GSFADG">#REF!</definedName>
    <definedName name="GSG">#REF!</definedName>
    <definedName name="gSGH">#REF!</definedName>
    <definedName name="Gsw">#REF!</definedName>
    <definedName name="ＧＷメッセージ一覧" hidden="1">#REF!</definedName>
    <definedName name="H">#REF!</definedName>
    <definedName name="hadfh">#REF!</definedName>
    <definedName name="HADFHDA">#REF!</definedName>
    <definedName name="hadfhj">#REF!</definedName>
    <definedName name="hadh">#REF!</definedName>
    <definedName name="HAHDA">#REF!</definedName>
    <definedName name="hasdh">#REF!</definedName>
    <definedName name="hdafh">#REF!</definedName>
    <definedName name="hdehjofw">#REF!</definedName>
    <definedName name="HDFA">#REF!</definedName>
    <definedName name="HDFH">#REF!</definedName>
    <definedName name="HDHD">#REF!</definedName>
    <definedName name="HEAD3">#REF!</definedName>
    <definedName name="HEADER_LINE">#REF!</definedName>
    <definedName name="Header_Row">ROW(#REF!)</definedName>
    <definedName name="hgSH">#REF!</definedName>
    <definedName name="HJDFJ">#REF!</definedName>
    <definedName name="HKFS">#REF!</definedName>
    <definedName name="HRFH">#REF!</definedName>
    <definedName name="HRSTO">#REF!</definedName>
    <definedName name="HSGJ">#REF!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nclude_Engine_Filters">'[8]Engine Load Factor Tbl'!$J$11</definedName>
    <definedName name="Int">#REF!</definedName>
    <definedName name="Interest_Rate">#REF!</definedName>
    <definedName name="iQShowHideColumns" hidden="1">"iQShowAll"</definedName>
    <definedName name="IV?amount1">#REF!</definedName>
    <definedName name="IV?amount10">#REF!</definedName>
    <definedName name="IV?amount11">#REF!</definedName>
    <definedName name="IV?amount12">#REF!</definedName>
    <definedName name="IV?amount13">#REF!</definedName>
    <definedName name="IV?amount14">#REF!</definedName>
    <definedName name="IV?amount15">#REF!</definedName>
    <definedName name="IV?amount2">#REF!</definedName>
    <definedName name="IV?amount3">#REF!</definedName>
    <definedName name="IV?amount4">#REF!</definedName>
    <definedName name="IV?amount5">#REF!</definedName>
    <definedName name="IV?amount6">#REF!</definedName>
    <definedName name="IV?amount7">#REF!</definedName>
    <definedName name="IV?amount8">#REF!</definedName>
    <definedName name="IV?amount9">#REF!</definedName>
    <definedName name="IV?countryOfOrigin">#REF!</definedName>
    <definedName name="IV?daihyohin1">#REF!</definedName>
    <definedName name="IV?daihyohin2">#REF!</definedName>
    <definedName name="IV?dateOfIsuue">#REF!</definedName>
    <definedName name="IV?discription1">#REF!</definedName>
    <definedName name="IV?discription10">#REF!</definedName>
    <definedName name="IV?discription11">#REF!</definedName>
    <definedName name="IV?discription12">#REF!</definedName>
    <definedName name="IV?discription13">#REF!</definedName>
    <definedName name="IV?discription14">#REF!</definedName>
    <definedName name="IV?discription15">#REF!</definedName>
    <definedName name="IV?discription2">#REF!</definedName>
    <definedName name="IV?discription3">#REF!</definedName>
    <definedName name="IV?discription4">#REF!</definedName>
    <definedName name="IV?discription5">#REF!</definedName>
    <definedName name="IV?discription6">#REF!</definedName>
    <definedName name="IV?discription7">#REF!</definedName>
    <definedName name="IV?discription8">#REF!</definedName>
    <definedName name="IV?discription9">#REF!</definedName>
    <definedName name="IV?from">#REF!</definedName>
    <definedName name="IV?hsCd1">#REF!</definedName>
    <definedName name="IV?hsCd10">#REF!</definedName>
    <definedName name="IV?hsCd11">#REF!</definedName>
    <definedName name="IV?hsCd12">#REF!</definedName>
    <definedName name="IV?hsCd13">#REF!</definedName>
    <definedName name="IV?hsCd14">#REF!</definedName>
    <definedName name="IV?hsCd15">#REF!</definedName>
    <definedName name="IV?hsCd2">#REF!</definedName>
    <definedName name="IV?hsCd3">#REF!</definedName>
    <definedName name="IV?hsCd4">#REF!</definedName>
    <definedName name="IV?hsCd5">#REF!</definedName>
    <definedName name="IV?hsCd6">#REF!</definedName>
    <definedName name="IV?hsCd7">#REF!</definedName>
    <definedName name="IV?hsCd8">#REF!</definedName>
    <definedName name="IV?hsCd9">#REF!</definedName>
    <definedName name="IV?invoiceNo">#REF!</definedName>
    <definedName name="IV?issuedBy1">#REF!</definedName>
    <definedName name="IV?issuedBy2">#REF!</definedName>
    <definedName name="IV?ivBikou1">#REF!</definedName>
    <definedName name="IV?ivBikou10">#REF!</definedName>
    <definedName name="IV?ivBikou2">#REF!</definedName>
    <definedName name="IV?ivBikou3">#REF!</definedName>
    <definedName name="IV?ivBikou4">#REF!</definedName>
    <definedName name="IV?ivBikou5">#REF!</definedName>
    <definedName name="IV?ivBikou6">#REF!</definedName>
    <definedName name="IV?ivBikou7">#REF!</definedName>
    <definedName name="IV?ivBikou8">#REF!</definedName>
    <definedName name="IV?ivBikou9">#REF!</definedName>
    <definedName name="IV?ivDate">#REF!</definedName>
    <definedName name="IV?ivFreight">#REF!</definedName>
    <definedName name="IV?ivMessrs1">#REF!</definedName>
    <definedName name="IV?ivMessrs2">#REF!</definedName>
    <definedName name="IV?ivMessrs3">#REF!</definedName>
    <definedName name="IV?ivMessrs4">#REF!</definedName>
    <definedName name="IV?ivMessrs5">#REF!</definedName>
    <definedName name="IV?ivMessrs6">#REF!</definedName>
    <definedName name="IV?ivMessrs7">#REF!</definedName>
    <definedName name="IV?lcNo">#REF!</definedName>
    <definedName name="IV?onOrAbout">#REF!</definedName>
    <definedName name="IV?orderNo">#REF!</definedName>
    <definedName name="IV?paymentTerms1">#REF!</definedName>
    <definedName name="IV?paymentTerms2">#REF!</definedName>
    <definedName name="IV?qty1">#REF!</definedName>
    <definedName name="IV?qty10">#REF!</definedName>
    <definedName name="IV?qty11">#REF!</definedName>
    <definedName name="IV?qty12">#REF!</definedName>
    <definedName name="IV?qty13">#REF!</definedName>
    <definedName name="IV?qty14">#REF!</definedName>
    <definedName name="IV?qty15">#REF!</definedName>
    <definedName name="IV?qty2">#REF!</definedName>
    <definedName name="IV?qty3">#REF!</definedName>
    <definedName name="IV?qty4">#REF!</definedName>
    <definedName name="IV?qty5">#REF!</definedName>
    <definedName name="IV?qty6">#REF!</definedName>
    <definedName name="IV?qty7">#REF!</definedName>
    <definedName name="IV?qty8">#REF!</definedName>
    <definedName name="IV?qty9">#REF!</definedName>
    <definedName name="IV?qtyTani1">#REF!</definedName>
    <definedName name="IV?qtyTani10">#REF!</definedName>
    <definedName name="IV?qtyTani11">#REF!</definedName>
    <definedName name="IV?qtyTani12">#REF!</definedName>
    <definedName name="IV?qtyTani13">#REF!</definedName>
    <definedName name="IV?qtyTani14">#REF!</definedName>
    <definedName name="IV?qtyTani15">#REF!</definedName>
    <definedName name="IV?qtyTani2">#REF!</definedName>
    <definedName name="IV?qtyTani3">#REF!</definedName>
    <definedName name="IV?qtyTani4">#REF!</definedName>
    <definedName name="IV?qtyTani5">#REF!</definedName>
    <definedName name="IV?qtyTani6">#REF!</definedName>
    <definedName name="IV?qtyTani7">#REF!</definedName>
    <definedName name="IV?qtyTani8">#REF!</definedName>
    <definedName name="IV?qtyTani9">#REF!</definedName>
    <definedName name="IV?salesNoteNo">#REF!</definedName>
    <definedName name="IV?shippedPer">#REF!</definedName>
    <definedName name="IV?shipperAddress1">#REF!</definedName>
    <definedName name="IV?shipperAddress2">#REF!</definedName>
    <definedName name="IV?shipperAddress3">#REF!</definedName>
    <definedName name="IV?shipperAddress4">#REF!</definedName>
    <definedName name="IV?shipperFax">#REF!</definedName>
    <definedName name="IV?shipperNm">#REF!</definedName>
    <definedName name="IV?shipperTel">#REF!</definedName>
    <definedName name="IV?sm1">#REF!</definedName>
    <definedName name="IV?sm10">#REF!</definedName>
    <definedName name="IV?sm11">#REF!</definedName>
    <definedName name="IV?sm12">#REF!</definedName>
    <definedName name="IV?sm13">#REF!</definedName>
    <definedName name="IV?sm14">#REF!</definedName>
    <definedName name="IV?sm15">#REF!</definedName>
    <definedName name="IV?sm2">#REF!</definedName>
    <definedName name="IV?sm3">#REF!</definedName>
    <definedName name="IV?sm4">#REF!</definedName>
    <definedName name="IV?sm5">#REF!</definedName>
    <definedName name="IV?sm6">#REF!</definedName>
    <definedName name="IV?sm7">#REF!</definedName>
    <definedName name="IV?sm8">#REF!</definedName>
    <definedName name="IV?sm9">#REF!</definedName>
    <definedName name="IV?sumAmount1">#REF!</definedName>
    <definedName name="IV?sumAmount2">#REF!</definedName>
    <definedName name="IV?sumAmount3">#REF!</definedName>
    <definedName name="IV?sumAmountTsuuka1">#REF!</definedName>
    <definedName name="IV?sumAmountTsuuka2">#REF!</definedName>
    <definedName name="IV?sumAmountTsuuka3">#REF!</definedName>
    <definedName name="IV?sumQty">#REF!</definedName>
    <definedName name="IV?sumQtyTani">#REF!</definedName>
    <definedName name="IV?tatene">#REF!</definedName>
    <definedName name="IV?to">#REF!</definedName>
    <definedName name="IV?unitPrice1">#REF!</definedName>
    <definedName name="IV?unitPrice10">#REF!</definedName>
    <definedName name="IV?unitPrice11">#REF!</definedName>
    <definedName name="IV?unitPrice12">#REF!</definedName>
    <definedName name="IV?unitPrice13">#REF!</definedName>
    <definedName name="IV?unitPrice14">#REF!</definedName>
    <definedName name="IV?unitPrice15">#REF!</definedName>
    <definedName name="IV?unitPrice2">#REF!</definedName>
    <definedName name="IV?unitPrice3">#REF!</definedName>
    <definedName name="IV?unitPrice4">#REF!</definedName>
    <definedName name="IV?unitPrice5">#REF!</definedName>
    <definedName name="IV?unitPrice6">#REF!</definedName>
    <definedName name="IV?unitPrice7">#REF!</definedName>
    <definedName name="IV?unitPrice8">#REF!</definedName>
    <definedName name="IV?unitPrice9">#REF!</definedName>
    <definedName name="IV?unitPriceTsuuka1">#REF!</definedName>
    <definedName name="IV?unitPriceTsuuka1?0">#REF!</definedName>
    <definedName name="IV?unitPriceTsuuka1?1">#REF!</definedName>
    <definedName name="IV?unitPriceTsuuka10">#REF!</definedName>
    <definedName name="IV?unitPriceTsuuka10?0">#REF!</definedName>
    <definedName name="IV?unitPriceTsuuka10?1">#REF!</definedName>
    <definedName name="IV?unitPriceTsuuka11">#REF!</definedName>
    <definedName name="IV?unitPriceTsuuka11?0">#REF!</definedName>
    <definedName name="IV?unitPriceTsuuka11?1">#REF!</definedName>
    <definedName name="IV?unitPriceTsuuka12">#REF!</definedName>
    <definedName name="IV?unitPriceTsuuka12?0">#REF!</definedName>
    <definedName name="IV?unitPriceTsuuka12?1">#REF!</definedName>
    <definedName name="IV?unitPriceTsuuka13">#REF!</definedName>
    <definedName name="IV?unitPriceTsuuka13?0">#REF!</definedName>
    <definedName name="IV?unitPriceTsuuka13?1">#REF!</definedName>
    <definedName name="IV?unitPriceTsuuka14">#REF!</definedName>
    <definedName name="IV?unitPriceTsuuka14?0">#REF!</definedName>
    <definedName name="IV?unitPriceTsuuka14?1">#REF!</definedName>
    <definedName name="IV?unitPriceTsuuka15">#REF!</definedName>
    <definedName name="IV?unitPriceTsuuka15?0">#REF!</definedName>
    <definedName name="IV?unitPriceTsuuka15?1">#REF!</definedName>
    <definedName name="IV?unitPriceTsuuka2">#REF!</definedName>
    <definedName name="IV?unitPriceTsuuka2?0">#REF!</definedName>
    <definedName name="IV?unitPriceTsuuka2?1">#REF!</definedName>
    <definedName name="IV?unitPriceTsuuka3">#REF!</definedName>
    <definedName name="IV?unitPriceTsuuka3?0">#REF!</definedName>
    <definedName name="IV?unitPriceTsuuka3?1">#REF!</definedName>
    <definedName name="IV?unitPriceTsuuka4">#REF!</definedName>
    <definedName name="IV?unitPriceTsuuka4?0">#REF!</definedName>
    <definedName name="IV?unitPriceTsuuka4?1">#REF!</definedName>
    <definedName name="IV?unitPriceTsuuka5">#REF!</definedName>
    <definedName name="IV?unitPriceTsuuka5?0">#REF!</definedName>
    <definedName name="IV?unitPriceTsuuka5?1">#REF!</definedName>
    <definedName name="IV?unitPriceTsuuka6">#REF!</definedName>
    <definedName name="IV?unitPriceTsuuka6?0">#REF!</definedName>
    <definedName name="IV?unitPriceTsuuka6?1">#REF!</definedName>
    <definedName name="IV?unitPriceTsuuka7">#REF!</definedName>
    <definedName name="IV?unitPriceTsuuka7?0">#REF!</definedName>
    <definedName name="IV?unitPriceTsuuka7?1">#REF!</definedName>
    <definedName name="IV?unitPriceTsuuka8">#REF!</definedName>
    <definedName name="IV?unitPriceTsuuka8?0">#REF!</definedName>
    <definedName name="IV?unitPriceTsuuka8?1">#REF!</definedName>
    <definedName name="IV?unitPriceTsuuka9">#REF!</definedName>
    <definedName name="IV?unitPriceTsuuka9?0">#REF!</definedName>
    <definedName name="IV?unitPriceTsuuka9?1">#REF!</definedName>
    <definedName name="IV?via">#REF!</definedName>
    <definedName name="IV_ATT?amount">#REF!</definedName>
    <definedName name="IV_ATT?caseNo">#REF!</definedName>
    <definedName name="IV_ATT?containerNo">#REF!</definedName>
    <definedName name="IV_ATT?displayFactoryNo">#REF!</definedName>
    <definedName name="IV_ATT?displayNewSalesNoteNo">#REF!</definedName>
    <definedName name="IV_ATT?displayOrderNo">#REF!</definedName>
    <definedName name="IV_ATT?displayRenban">#REF!</definedName>
    <definedName name="IV_ATT?displaySalesNoteNo">#REF!</definedName>
    <definedName name="IV_ATT?displayTsuuka">#REF!</definedName>
    <definedName name="IV_ATT?factoryNo?1">#REF!</definedName>
    <definedName name="IV_ATT?hozeiDaichoNo">#REF!</definedName>
    <definedName name="IV_ATT?hsCode">#REF!</definedName>
    <definedName name="IV_ATT?invoiceNo">#REF!</definedName>
    <definedName name="IV_ATT?localPartNo">#REF!</definedName>
    <definedName name="IV_ATT?netKakakuAmt">#REF!</definedName>
    <definedName name="IV_ATT?newFactoryNo">#REF!</definedName>
    <definedName name="IV_ATT?orderNo?1">#REF!</definedName>
    <definedName name="IV_ATT?partName">#REF!</definedName>
    <definedName name="IV_ATT?partNo">#REF!</definedName>
    <definedName name="IV_ATT?qty">#REF!</definedName>
    <definedName name="IV_ATT?rows">#REF!</definedName>
    <definedName name="IV_ATT?salesNoteNo?1">#REF!</definedName>
    <definedName name="IV_ATT?tankaFumeiMark">#REF!</definedName>
    <definedName name="IV_ATT?total?getTotalAmount">#REF!</definedName>
    <definedName name="IV_ATT?total?getTotalQty">#REF!</definedName>
    <definedName name="IV_ATT?unitPrice">#REF!</definedName>
    <definedName name="IV_ATT_UNKNOWN?amount">#REF!</definedName>
    <definedName name="IV_ATT_UNKNOWN?caseNo">#REF!</definedName>
    <definedName name="IV_ATT_UNKNOWN?containerNo">#REF!</definedName>
    <definedName name="IV_ATT_UNKNOWN?displayFactoryNo">#REF!</definedName>
    <definedName name="IV_ATT_UNKNOWN?displayNewSalesNoteNo">#REF!</definedName>
    <definedName name="IV_ATT_UNKNOWN?displayOrderNo">#REF!</definedName>
    <definedName name="IV_ATT_UNKNOWN?displayRenban">#REF!</definedName>
    <definedName name="IV_ATT_UNKNOWN?displaySalesNoteNo">#REF!</definedName>
    <definedName name="IV_ATT_UNKNOWN?displayTsuuka">#REF!</definedName>
    <definedName name="IV_ATT_UNKNOWN?factoryNo?1">#REF!</definedName>
    <definedName name="IV_ATT_UNKNOWN?hozeiDaichoNo">#REF!</definedName>
    <definedName name="IV_ATT_UNKNOWN?hsCode">#REF!</definedName>
    <definedName name="IV_ATT_UNKNOWN?invoiceNo">#REF!</definedName>
    <definedName name="IV_ATT_UNKNOWN?localPartNo">#REF!</definedName>
    <definedName name="IV_ATT_UNKNOWN?netKakakuAmt">#REF!</definedName>
    <definedName name="IV_ATT_UNKNOWN?newFactoryNo">#REF!</definedName>
    <definedName name="IV_ATT_UNKNOWN?orderNo?1">#REF!</definedName>
    <definedName name="IV_ATT_UNKNOWN?partName">#REF!</definedName>
    <definedName name="IV_ATT_UNKNOWN?partNo">#REF!</definedName>
    <definedName name="IV_ATT_UNKNOWN?qty">#REF!</definedName>
    <definedName name="IV_ATT_UNKNOWN?rows">#REF!</definedName>
    <definedName name="IV_ATT_UNKNOWN?salesNoteNo?1">#REF!</definedName>
    <definedName name="IV_ATT_UNKNOWN?tankaFumeiMark">#REF!</definedName>
    <definedName name="IV_ATT_UNKNOWN?total?getTotalAmount">#REF!</definedName>
    <definedName name="IV_ATT_UNKNOWN?total?getTotalQty">#REF!</definedName>
    <definedName name="IV_ATT_UNKNOWN?unitPrice">#REF!</definedName>
    <definedName name="IV_ATT1?amount">#REF!</definedName>
    <definedName name="IV_ATT1?description">#REF!</definedName>
    <definedName name="IV_ATT1?displayTsuuka">#REF!</definedName>
    <definedName name="IV_ATT1?engine1No">#REF!</definedName>
    <definedName name="IV_ATT1?engine2No">#REF!</definedName>
    <definedName name="IV_ATT1?factoryNo">#REF!</definedName>
    <definedName name="IV_ATT1?gpattern">#REF!</definedName>
    <definedName name="IV_ATT1?hsCode">#REF!</definedName>
    <definedName name="IV_ATT1?invoiceNo">#REF!</definedName>
    <definedName name="IV_ATT1?orderNo">#REF!</definedName>
    <definedName name="IV_ATT1?pin">#REF!</definedName>
    <definedName name="IV_ATT1?qty">#REF!</definedName>
    <definedName name="IV_ATT1?renban">#REF!</definedName>
    <definedName name="IV_ATT1?rows">#REF!</definedName>
    <definedName name="IV_ATT1?salesNoteNo">#REF!</definedName>
    <definedName name="IV_ATT1?serialNo">#REF!</definedName>
    <definedName name="IV_ATT1?specification">#REF!</definedName>
    <definedName name="IV_ATT1?total?getTotalAmount">#REF!</definedName>
    <definedName name="IV_ATT1?total?getTotalQty">#REF!</definedName>
    <definedName name="IV_ATT1?unitPrice">#REF!</definedName>
    <definedName name="JAN">[7]EQIPHR97!#REF!</definedName>
    <definedName name="JSDGJAD">#REF!</definedName>
    <definedName name="JSDTJ">#REF!</definedName>
    <definedName name="JSGJS">#REF!</definedName>
    <definedName name="JULY">[7]EQIPHR97!#REF!</definedName>
    <definedName name="JUNE">[7]EQIPHR97!#REF!</definedName>
    <definedName name="kBNT" hidden="1">{"'РП (2)'!$A$5:$S$150"}</definedName>
    <definedName name="kdsajdafhwe">#REF!</definedName>
    <definedName name="key" hidden="1">[11]ENG_APL!#REF!</definedName>
    <definedName name="KonpoMeisai?caseKanriNo">#REF!</definedName>
    <definedName name="KonpoMeisai?caseNoCutZero">#REF!</definedName>
    <definedName name="KonpoMeisai?containerNo">#REF!</definedName>
    <definedName name="KonpoMeisai?grossWt">#REF!</definedName>
    <definedName name="KonpoMeisai?head1">#REF!</definedName>
    <definedName name="KonpoMeisai?hinmokuCd">#REF!</definedName>
    <definedName name="KonpoMeisai?hinmokuEnm">#REF!</definedName>
    <definedName name="KonpoMeisai?juchuNo">#REF!</definedName>
    <definedName name="KonpoMeisai?masterPoNo">#REF!</definedName>
    <definedName name="KonpoMeisai?nisugataType">#REF!</definedName>
    <definedName name="KonpoMeisai?poNo">#REF!</definedName>
    <definedName name="KonpoMeisai?rows">#REF!</definedName>
    <definedName name="KonpoMeisai?sagyoNo">#REF!</definedName>
    <definedName name="KonpoMeisai?shukkaShijiQty">#REF!</definedName>
    <definedName name="KonpoMeisai?sunpoH">#REF!</definedName>
    <definedName name="KonpoMeisai?sunpoL">#REF!</definedName>
    <definedName name="KonpoMeisai?sunpoW">#REF!</definedName>
    <definedName name="KOUMOKU">#REF!</definedName>
    <definedName name="KOUMOKU?">#REF!</definedName>
    <definedName name="KOUMOKU2">#REF!</definedName>
    <definedName name="KOUMOKU2?">#REF!</definedName>
    <definedName name="KOUMOKU3">#REF!</definedName>
    <definedName name="KOUMOKU3?">#REF!</definedName>
    <definedName name="ksja">#REF!</definedName>
    <definedName name="Last_Row">IF(Values_Entered,Header_Row+Number_of_Payments,Header_Row)</definedName>
    <definedName name="LIFNR">#REF!</definedName>
    <definedName name="LIST">#REF!</definedName>
    <definedName name="LIST_PRICE_MULT">'[8]MARC Input &amp; Summary'!$O$15</definedName>
    <definedName name="LIST1">#REF!</definedName>
    <definedName name="LIST2">#REF!</definedName>
    <definedName name="LIST3">#REF!</definedName>
    <definedName name="LIST3N">#REF!</definedName>
    <definedName name="Loan_Amount">#REF!</definedName>
    <definedName name="Loan_Start">#REF!</definedName>
    <definedName name="Loan_Years">#REF!</definedName>
    <definedName name="MANPOWERFORPM">#REF!</definedName>
    <definedName name="MAR">[7]EQIPHR97!#REF!</definedName>
    <definedName name="MARCH">[7]EQIPHR97!#REF!</definedName>
    <definedName name="MARK1?rows">#REF!</definedName>
    <definedName name="MARK1?shippingMark">#REF!</definedName>
    <definedName name="MARK2?line1">#REF!</definedName>
    <definedName name="MARK2?line10">#REF!</definedName>
    <definedName name="MARK2?line11">#REF!</definedName>
    <definedName name="MARK2?line12">#REF!</definedName>
    <definedName name="MARK2?line13">#REF!</definedName>
    <definedName name="MARK2?line14">#REF!</definedName>
    <definedName name="MARK2?line15">#REF!</definedName>
    <definedName name="MARK2?line2">#REF!</definedName>
    <definedName name="MARK2?line3">#REF!</definedName>
    <definedName name="MARK2?line4">#REF!</definedName>
    <definedName name="MARK2?line5">#REF!</definedName>
    <definedName name="MARK2?line6">#REF!</definedName>
    <definedName name="MARK2?line7">#REF!</definedName>
    <definedName name="MARK2?line8">#REF!</definedName>
    <definedName name="MARK2?line9">#REF!</definedName>
    <definedName name="MARK2?parameter1">#REF!</definedName>
    <definedName name="MARK2?parameter10">#REF!</definedName>
    <definedName name="MARK2?parameter11">#REF!</definedName>
    <definedName name="MARK2?parameter12">#REF!</definedName>
    <definedName name="MARK2?parameter13">#REF!</definedName>
    <definedName name="MARK2?parameter14">#REF!</definedName>
    <definedName name="MARK2?parameter15">#REF!</definedName>
    <definedName name="MARK2?parameter16">#REF!</definedName>
    <definedName name="MARK2?parameter17">#REF!</definedName>
    <definedName name="MARK2?parameter18">#REF!</definedName>
    <definedName name="MARK2?parameter19">#REF!</definedName>
    <definedName name="MARK2?parameter2">#REF!</definedName>
    <definedName name="MARK2?parameter20">#REF!</definedName>
    <definedName name="MARK2?parameter21">#REF!</definedName>
    <definedName name="MARK2?parameter22">#REF!</definedName>
    <definedName name="MARK2?parameter23">#REF!</definedName>
    <definedName name="MARK2?parameter24">#REF!</definedName>
    <definedName name="MARK2?parameter25">#REF!</definedName>
    <definedName name="MARK2?parameter3">#REF!</definedName>
    <definedName name="MARK2?parameter4">#REF!</definedName>
    <definedName name="MARK2?parameter5">#REF!</definedName>
    <definedName name="MARK2?parameter6">#REF!</definedName>
    <definedName name="MARK2?parameter7">#REF!</definedName>
    <definedName name="MARK2?parameter8">#REF!</definedName>
    <definedName name="MARK2?parameter9">#REF!</definedName>
    <definedName name="MARK2?rows">#REF!</definedName>
    <definedName name="MAY">[7]EQIPHR97!#REF!</definedName>
    <definedName name="MAY_">[7]EQIPHR97!#REF!</definedName>
    <definedName name="MEASURE?airFlagKbn">#REF!</definedName>
    <definedName name="MEASURE?casekanriNoFill">#REF!</definedName>
    <definedName name="MEASURE?caseNo">#REF!</definedName>
    <definedName name="MEASURE?caseNoFill">#REF!</definedName>
    <definedName name="MEASURE?caseQtyDec">#REF!</definedName>
    <definedName name="MEASURE?caseQtyDecTotal">#REF!</definedName>
    <definedName name="MEASURE?daihyoSagyoNo">#REF!</definedName>
    <definedName name="MEASURE?funazumiYmd">#REF!</definedName>
    <definedName name="MEASURE?grosswtDec">#REF!</definedName>
    <definedName name="MEASURE?hozeiDaichoNo">#REF!</definedName>
    <definedName name="MEASURE?juchuNo">#REF!</definedName>
    <definedName name="MEASURE?juchuNoFill">#REF!</definedName>
    <definedName name="MEASURE?kishuNm">#REF!</definedName>
    <definedName name="MEASURE?kishuNmFill">#REF!</definedName>
    <definedName name="MEASURE?netwtDec">#REF!</definedName>
    <definedName name="MEASURE?package">#REF!</definedName>
    <definedName name="MEASURE?pinNo">#REF!</definedName>
    <definedName name="MEASURE?poNo">#REF!</definedName>
    <definedName name="MEASURE?poNoFill">#REF!</definedName>
    <definedName name="MEASURE?renban">#REF!</definedName>
    <definedName name="MEASURE?rows">#REF!</definedName>
    <definedName name="MEASURE?sagyoNo">#REF!</definedName>
    <definedName name="MEASURE?sagyoNoFill">#REF!</definedName>
    <definedName name="MEASURE?shimukechiCd">#REF!</definedName>
    <definedName name="MEASURE?sunpohDec">#REF!</definedName>
    <definedName name="MEASURE?sunpolDec">#REF!</definedName>
    <definedName name="MEASURE?sunpom3Dec">#REF!</definedName>
    <definedName name="MEASURE?sunpowDec">#REF!</definedName>
    <definedName name="MEASURE?total?getGrossWtTotal">#REF!</definedName>
    <definedName name="MEASURE?total?getM3Total">#REF!</definedName>
    <definedName name="MEASURE?total?getNetWtTotal">#REF!</definedName>
    <definedName name="MEASURE?total?getPackageTotal">#REF!</definedName>
    <definedName name="MEASURE?total?getQtyTotal?0">#REF!</definedName>
    <definedName name="MEASURE?total?getQtyTotal?1">#REF!</definedName>
    <definedName name="MEASURE?total?getYousekiTotal">#REF!</definedName>
    <definedName name="MEASURE?yousekiDec">#REF!</definedName>
    <definedName name="NOV">[7]EQIPHR97!#REF!</definedName>
    <definedName name="Num_Pmt_Per_Year">#REF!</definedName>
    <definedName name="Number_of_Payments">MATCH(0.01,End_Bal,-1)+1</definedName>
    <definedName name="OCBase">#REF!</definedName>
    <definedName name="OCBaseAverage">#REF!</definedName>
    <definedName name="OCBaseEasy">#REF!</definedName>
    <definedName name="OCBaseSevere">#REF!</definedName>
    <definedName name="OCT">[7]EQIPHR97!#REF!</definedName>
    <definedName name="OCTOBER">[7]EQIPHR97!#REF!</definedName>
    <definedName name="OH18LD">#REF!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RDER_NO?details">#REF!</definedName>
    <definedName name="ORDER_NO?head">#REF!</definedName>
    <definedName name="ORDER_NO?rows">#REF!</definedName>
    <definedName name="PartsEscalator">'[8]MARC Input &amp; Summary'!$O$12</definedName>
    <definedName name="Pay_Date">#REF!</definedName>
    <definedName name="Pay_Num">#REF!</definedName>
    <definedName name="Payment_Date">DATE(YEAR(Loan_Start),MONTH(Loan_Start)+Payment_Number,DAY(Loan_Start))</definedName>
    <definedName name="PL?caseNo1">#REF!</definedName>
    <definedName name="PL?caseNo10">#REF!</definedName>
    <definedName name="PL?caseNo11">#REF!</definedName>
    <definedName name="PL?caseNo12">#REF!</definedName>
    <definedName name="PL?caseNo13">#REF!</definedName>
    <definedName name="PL?caseNo14">#REF!</definedName>
    <definedName name="PL?caseNo15">#REF!</definedName>
    <definedName name="PL?caseNo16">#REF!</definedName>
    <definedName name="PL?caseNo17">#REF!</definedName>
    <definedName name="PL?caseNo18">#REF!</definedName>
    <definedName name="PL?caseNo19">#REF!</definedName>
    <definedName name="PL?caseNo2">#REF!</definedName>
    <definedName name="PL?caseNo20">#REF!</definedName>
    <definedName name="PL?caseNo3">#REF!</definedName>
    <definedName name="PL?caseNo4">#REF!</definedName>
    <definedName name="PL?caseNo5">#REF!</definedName>
    <definedName name="PL?caseNo6">#REF!</definedName>
    <definedName name="PL?caseNo7">#REF!</definedName>
    <definedName name="PL?caseNo8">#REF!</definedName>
    <definedName name="PL?caseNo9">#REF!</definedName>
    <definedName name="PL?daihyohin1Nm">#REF!</definedName>
    <definedName name="PL?daihyohin2Nm">#REF!</definedName>
    <definedName name="PL?daiQty1">#REF!</definedName>
    <definedName name="PL?daiQty10">#REF!</definedName>
    <definedName name="PL?daiQty11">#REF!</definedName>
    <definedName name="PL?daiQty12">#REF!</definedName>
    <definedName name="PL?daiQty13">#REF!</definedName>
    <definedName name="PL?daiQty14">#REF!</definedName>
    <definedName name="PL?daiQty15">#REF!</definedName>
    <definedName name="PL?daiQty16">#REF!</definedName>
    <definedName name="PL?daiQty17">#REF!</definedName>
    <definedName name="PL?daiQty18">#REF!</definedName>
    <definedName name="PL?daiQty19">#REF!</definedName>
    <definedName name="PL?daiQty2">#REF!</definedName>
    <definedName name="PL?daiQty20">#REF!</definedName>
    <definedName name="PL?daiQty3">#REF!</definedName>
    <definedName name="PL?daiQty4">#REF!</definedName>
    <definedName name="PL?daiQty5">#REF!</definedName>
    <definedName name="PL?daiQty6">#REF!</definedName>
    <definedName name="PL?daiQty7">#REF!</definedName>
    <definedName name="PL?daiQty8">#REF!</definedName>
    <definedName name="PL?daiQty9">#REF!</definedName>
    <definedName name="PL?eigyoJuchuNo">#REF!</definedName>
    <definedName name="PL?funeNm">#REF!</definedName>
    <definedName name="PL?grossWt1">#REF!</definedName>
    <definedName name="PL?grossWt10">#REF!</definedName>
    <definedName name="PL?grossWt11">#REF!</definedName>
    <definedName name="PL?grossWt12">#REF!</definedName>
    <definedName name="PL?grossWt13">#REF!</definedName>
    <definedName name="PL?grossWt14">#REF!</definedName>
    <definedName name="PL?grossWt15">#REF!</definedName>
    <definedName name="PL?grossWt16">#REF!</definedName>
    <definedName name="PL?grossWt17">#REF!</definedName>
    <definedName name="PL?grossWt18">#REF!</definedName>
    <definedName name="PL?grossWt19">#REF!</definedName>
    <definedName name="PL?grossWt2">#REF!</definedName>
    <definedName name="PL?grossWt20">#REF!</definedName>
    <definedName name="PL?grossWt3">#REF!</definedName>
    <definedName name="PL?grossWt4">#REF!</definedName>
    <definedName name="PL?grossWt5">#REF!</definedName>
    <definedName name="PL?grossWt6">#REF!</definedName>
    <definedName name="PL?grossWt7">#REF!</definedName>
    <definedName name="PL?grossWt8">#REF!</definedName>
    <definedName name="PL?grossWt9">#REF!</definedName>
    <definedName name="PL?hinmokuEnm1">#REF!</definedName>
    <definedName name="PL?hinmokuEnm10">#REF!</definedName>
    <definedName name="PL?hinmokuEnm11">#REF!</definedName>
    <definedName name="PL?hinmokuEnm12">#REF!</definedName>
    <definedName name="PL?hinmokuEnm13">#REF!</definedName>
    <definedName name="PL?hinmokuEnm14">#REF!</definedName>
    <definedName name="PL?hinmokuEnm15">#REF!</definedName>
    <definedName name="PL?hinmokuEnm16">#REF!</definedName>
    <definedName name="PL?hinmokuEnm17">#REF!</definedName>
    <definedName name="PL?hinmokuEnm18">#REF!</definedName>
    <definedName name="PL?hinmokuEnm19">#REF!</definedName>
    <definedName name="PL?hinmokuEnm2">#REF!</definedName>
    <definedName name="PL?hinmokuEnm20">#REF!</definedName>
    <definedName name="PL?hinmokuEnm3">#REF!</definedName>
    <definedName name="PL?hinmokuEnm4">#REF!</definedName>
    <definedName name="PL?hinmokuEnm5">#REF!</definedName>
    <definedName name="PL?hinmokuEnm6">#REF!</definedName>
    <definedName name="PL?hinmokuEnm7">#REF!</definedName>
    <definedName name="PL?hinmokuEnm8">#REF!</definedName>
    <definedName name="PL?hinmokuEnm9">#REF!</definedName>
    <definedName name="PL?invoiceNo">#REF!</definedName>
    <definedName name="PL?ivYmd">#REF!</definedName>
    <definedName name="PL?kessaiJoken1Inf">#REF!</definedName>
    <definedName name="PL?kessaiJoken2Inf">#REF!</definedName>
    <definedName name="PL?lcHakkouGinkou1Nm">#REF!</definedName>
    <definedName name="PL?lcHakkouGinkou2Nm">#REF!</definedName>
    <definedName name="PL?lcHakkoYmd">#REF!</definedName>
    <definedName name="PL?lcNo">#REF!</definedName>
    <definedName name="PL?minatoEnm1">#REF!</definedName>
    <definedName name="PL?minatoEnm2">#REF!</definedName>
    <definedName name="PL?minatoEnm3">#REF!</definedName>
    <definedName name="PL?netWt1">#REF!</definedName>
    <definedName name="PL?netWt10">#REF!</definedName>
    <definedName name="PL?netWt11">#REF!</definedName>
    <definedName name="PL?netWt12">#REF!</definedName>
    <definedName name="PL?netWt13">#REF!</definedName>
    <definedName name="PL?netWt14">#REF!</definedName>
    <definedName name="PL?netWt15">#REF!</definedName>
    <definedName name="PL?netWt16">#REF!</definedName>
    <definedName name="PL?netWt17">#REF!</definedName>
    <definedName name="PL?netWt18">#REF!</definedName>
    <definedName name="PL?netWt19">#REF!</definedName>
    <definedName name="PL?netWt2">#REF!</definedName>
    <definedName name="PL?netWt20">#REF!</definedName>
    <definedName name="PL?netWt3">#REF!</definedName>
    <definedName name="PL?netWt4">#REF!</definedName>
    <definedName name="PL?netWt5">#REF!</definedName>
    <definedName name="PL?netWt6">#REF!</definedName>
    <definedName name="PL?netWt7">#REF!</definedName>
    <definedName name="PL?netWt8">#REF!</definedName>
    <definedName name="PL?netWt9">#REF!</definedName>
    <definedName name="PL?nisugataType1">#REF!</definedName>
    <definedName name="PL?nisugataType10">#REF!</definedName>
    <definedName name="PL?nisugataType11">#REF!</definedName>
    <definedName name="PL?nisugataType12">#REF!</definedName>
    <definedName name="PL?nisugataType13">#REF!</definedName>
    <definedName name="PL?nisugataType14">#REF!</definedName>
    <definedName name="PL?nisugataType15">#REF!</definedName>
    <definedName name="PL?nisugataType16">#REF!</definedName>
    <definedName name="PL?nisugataType17">#REF!</definedName>
    <definedName name="PL?nisugataType18">#REF!</definedName>
    <definedName name="PL?nisugataType19">#REF!</definedName>
    <definedName name="PL?nisugataType2">#REF!</definedName>
    <definedName name="PL?nisugataType20">#REF!</definedName>
    <definedName name="PL?nisugataType3">#REF!</definedName>
    <definedName name="PL?nisugataType4">#REF!</definedName>
    <definedName name="PL?nisugataType5">#REF!</definedName>
    <definedName name="PL?nisugataType6">#REF!</definedName>
    <definedName name="PL?nisugataType7">#REF!</definedName>
    <definedName name="PL?nisugataType8">#REF!</definedName>
    <definedName name="PL?nisugataType9">#REF!</definedName>
    <definedName name="PL?plBikou1">#REF!</definedName>
    <definedName name="PL?plBikou10">#REF!</definedName>
    <definedName name="PL?plBikou2">#REF!</definedName>
    <definedName name="PL?plBikou3">#REF!</definedName>
    <definedName name="PL?plBikou4">#REF!</definedName>
    <definedName name="PL?plBikou5">#REF!</definedName>
    <definedName name="PL?plBikou6">#REF!</definedName>
    <definedName name="PL?plBikou7">#REF!</definedName>
    <definedName name="PL?plBikou8">#REF!</definedName>
    <definedName name="PL?plBikou9">#REF!</definedName>
    <definedName name="PL?poNo">#REF!</definedName>
    <definedName name="PL?shukkouYoteiYmd">#REF!</definedName>
    <definedName name="PL?sm1">#REF!</definedName>
    <definedName name="PL?sm10">#REF!</definedName>
    <definedName name="PL?sm11">#REF!</definedName>
    <definedName name="PL?sm12">#REF!</definedName>
    <definedName name="PL?sm13">#REF!</definedName>
    <definedName name="PL?sm14">#REF!</definedName>
    <definedName name="PL?sm15">#REF!</definedName>
    <definedName name="PL?sm2">#REF!</definedName>
    <definedName name="PL?sm3">#REF!</definedName>
    <definedName name="PL?sm4">#REF!</definedName>
    <definedName name="PL?sm5">#REF!</definedName>
    <definedName name="PL?sm6">#REF!</definedName>
    <definedName name="PL?sm7">#REF!</definedName>
    <definedName name="PL?sm8">#REF!</definedName>
    <definedName name="PL?sm9">#REF!</definedName>
    <definedName name="PL?sumDaiQty">#REF!</definedName>
    <definedName name="PL?sumGrossWtStr">#REF!</definedName>
    <definedName name="PL?sumNetWtStr">#REF!</definedName>
    <definedName name="PL?sumPackages1">#REF!</definedName>
    <definedName name="PL?sumPackages10">#REF!</definedName>
    <definedName name="PL?sumPackages11">#REF!</definedName>
    <definedName name="PL?sumPackages12">#REF!</definedName>
    <definedName name="PL?sumPackages13">#REF!</definedName>
    <definedName name="PL?sumPackages14">#REF!</definedName>
    <definedName name="PL?sumPackages15">#REF!</definedName>
    <definedName name="PL?sumPackages16">#REF!</definedName>
    <definedName name="PL?sumPackages17">#REF!</definedName>
    <definedName name="PL?sumPackages18">#REF!</definedName>
    <definedName name="PL?sumPackages19">#REF!</definedName>
    <definedName name="PL?sumPackages2">#REF!</definedName>
    <definedName name="PL?sumPackages20">#REF!</definedName>
    <definedName name="PL?sumPackages21">#REF!</definedName>
    <definedName name="PL?sumPackages3">#REF!</definedName>
    <definedName name="PL?sumPackages4">#REF!</definedName>
    <definedName name="PL?sumPackages5">#REF!</definedName>
    <definedName name="PL?sumPackages6">#REF!</definedName>
    <definedName name="PL?sumPackages7">#REF!</definedName>
    <definedName name="PL?sumPackages8">#REF!</definedName>
    <definedName name="PL?sumPackages9">#REF!</definedName>
    <definedName name="PL?sumSunpoM3">#REF!</definedName>
    <definedName name="PL?sunpoM31">#REF!</definedName>
    <definedName name="PL?sunpoM310">#REF!</definedName>
    <definedName name="PL?sunpoM311">#REF!</definedName>
    <definedName name="PL?sunpoM312">#REF!</definedName>
    <definedName name="PL?sunpoM313">#REF!</definedName>
    <definedName name="PL?sunpoM314">#REF!</definedName>
    <definedName name="PL?sunpoM315">#REF!</definedName>
    <definedName name="PL?sunpoM316">#REF!</definedName>
    <definedName name="PL?sunpoM317">#REF!</definedName>
    <definedName name="PL?sunpoM318">#REF!</definedName>
    <definedName name="PL?sunpoM319">#REF!</definedName>
    <definedName name="PL?sunpoM32">#REF!</definedName>
    <definedName name="PL?sunpoM320">#REF!</definedName>
    <definedName name="PL?sunpoM33">#REF!</definedName>
    <definedName name="PL?sunpoM34">#REF!</definedName>
    <definedName name="PL?sunpoM35">#REF!</definedName>
    <definedName name="PL?sunpoM36">#REF!</definedName>
    <definedName name="PL?sunpoM37">#REF!</definedName>
    <definedName name="PL?sunpoM38">#REF!</definedName>
    <definedName name="PL?sunpoM39">#REF!</definedName>
    <definedName name="PL?tokuiAddress1Enm1">#REF!</definedName>
    <definedName name="PL?tokuiAddress1Enm2">#REF!</definedName>
    <definedName name="PL?tokuiAddress2Enm1">#REF!</definedName>
    <definedName name="PL?tokuiAddress2Enm2">#REF!</definedName>
    <definedName name="PL?tokuiAddress3Enm1">#REF!</definedName>
    <definedName name="PL?tokuiAddress3Enm2">#REF!</definedName>
    <definedName name="PL?tokuiAddress4Enm1">#REF!</definedName>
    <definedName name="PL?tokuiAddress4Enm2">#REF!</definedName>
    <definedName name="PL?tokuiEnm1">#REF!</definedName>
    <definedName name="PL?tokuiEnm2">#REF!</definedName>
    <definedName name="PL?tokuiFaxNo1">#REF!</definedName>
    <definedName name="PL?tokuiRenrakusaki2">#REF!</definedName>
    <definedName name="PL?tokuiTantoEnm2">#REF!</definedName>
    <definedName name="PL?tokuiTelNo1">#REF!</definedName>
    <definedName name="pln" hidden="1">{"'РП (2)'!$A$5:$S$150"}</definedName>
    <definedName name="PMLABOR">'[8]MARC Input &amp; Summary'!$J$9</definedName>
    <definedName name="PPT">'[5]Original list pcs + MC and cons'!$A$5:$H$267</definedName>
    <definedName name="PPTB">'[5]Original list pcs + MC and cons'!$B$6:$H$268</definedName>
    <definedName name="PriceLatest">[12]PriceLatest!#REF!</definedName>
    <definedName name="Princ">#REF!</definedName>
    <definedName name="Print_Area_MI">#REF!</definedName>
    <definedName name="Print_Area_Reset">OFFSET(Full_Print,0,0,Last_Row)</definedName>
    <definedName name="Print_Titles_MI">[13]一覧!$1:$1,[13]一覧!$A:$A</definedName>
    <definedName name="Printrep">#N/A</definedName>
    <definedName name="qwerty" hidden="1">{"'РП (2)'!$A$5:$S$150"}</definedName>
    <definedName name="R_1">#REF!</definedName>
    <definedName name="R_2">#REF!</definedName>
    <definedName name="R_3">#REF!</definedName>
    <definedName name="RHADFHA">#REF!</definedName>
    <definedName name="rjgbz" hidden="1">{"'РП (2)'!$A$5:$S$150"}</definedName>
    <definedName name="rotables1">#REF!</definedName>
    <definedName name="rotables2">#REF!</definedName>
    <definedName name="RPTTD00303_1?aitekokuZumenNo">#REF!</definedName>
    <definedName name="RPTTD00303_1?caseDaihyoSagyoNo">#REF!</definedName>
    <definedName name="RPTTD00303_1?caseKanriNo">#REF!</definedName>
    <definedName name="RPTTD00303_1?caseNo">#REF!</definedName>
    <definedName name="RPTTD00303_1?cnt">#REF!</definedName>
    <definedName name="RPTTD00303_1?crtYmd">#REF!</definedName>
    <definedName name="RPTTD00303_1?displaySumPackage">#REF!</definedName>
    <definedName name="RPTTD00303_1?displayTotal">#REF!</definedName>
    <definedName name="RPTTD00303_1?engineMfgNo1">#REF!</definedName>
    <definedName name="RPTTD00303_1?engineMfgNo2">#REF!</definedName>
    <definedName name="RPTTD00303_1?grossWtStr">#REF!</definedName>
    <definedName name="RPTTD00303_1?hinmokuCd">#REF!</definedName>
    <definedName name="RPTTD00303_1?hinmokuEnm">#REF!</definedName>
    <definedName name="RPTTD00303_1?innerCaseNo">#REF!</definedName>
    <definedName name="RPTTD00303_1?juchuNo">#REF!</definedName>
    <definedName name="RPTTD00303_1?koban">#REF!</definedName>
    <definedName name="RPTTD00303_1?netWtStr">#REF!</definedName>
    <definedName name="RPTTD00303_1?nisugataType">#REF!</definedName>
    <definedName name="RPTTD00303_1?one">#REF!</definedName>
    <definedName name="RPTTD00303_1?pinNo">#REF!</definedName>
    <definedName name="RPTTD00303_1?plSeihinNm">#REF!</definedName>
    <definedName name="RPTTD00303_1?poNo">#REF!</definedName>
    <definedName name="RPTTD00303_1?rows">#REF!</definedName>
    <definedName name="RPTTD00303_1?sagyoNo">#REF!</definedName>
    <definedName name="RPTTD00303_1?shukkaKanriNo">#REF!</definedName>
    <definedName name="RPTTD00303_1?shukkaShijiQty">#REF!</definedName>
    <definedName name="RPTTD00303_1?sunpoH">#REF!</definedName>
    <definedName name="RPTTD00303_1?sunpoL">#REF!</definedName>
    <definedName name="RPTTD00303_1?sunpoM3">#REF!</definedName>
    <definedName name="RPTTD00303_1?sunpoW">#REF!</definedName>
    <definedName name="RPTTD00303_1?tokkiJiko2">#REF!</definedName>
    <definedName name="RPTTD00303_1?tokuiEnm">#REF!</definedName>
    <definedName name="RPTWH03002?aitekokuZumenNo">#REF!</definedName>
    <definedName name="RPTWH03002?caseKanriNo">#REF!</definedName>
    <definedName name="RPTWH03002?caseMeisaiQty">#REF!</definedName>
    <definedName name="RPTWH03002?caseNo">#REF!</definedName>
    <definedName name="RPTWH03002?cnt">#REF!</definedName>
    <definedName name="RPTWH03002?crtYmd">#REF!</definedName>
    <definedName name="RPTWH03002?daihyoSagyoNo">#REF!</definedName>
    <definedName name="RPTWH03002?displayGrossWt">#REF!</definedName>
    <definedName name="RPTWH03002?displayNetWt">#REF!</definedName>
    <definedName name="RPTWH03002?displaySumPackage">#REF!</definedName>
    <definedName name="RPTWH03002?displayTotal">#REF!</definedName>
    <definedName name="RPTWH03002?engine1">#REF!</definedName>
    <definedName name="RPTWH03002?engine2">#REF!</definedName>
    <definedName name="RPTWH03002?hinmokuCd">#REF!</definedName>
    <definedName name="RPTWH03002?hinmokuEnm">#REF!</definedName>
    <definedName name="RPTWH03002?innerCaseNo">#REF!</definedName>
    <definedName name="RPTWH03002?juchuNo">#REF!</definedName>
    <definedName name="RPTWH03002?koban">#REF!</definedName>
    <definedName name="RPTWH03002?nisugataType">#REF!</definedName>
    <definedName name="RPTWH03002?one">#REF!</definedName>
    <definedName name="RPTWH03002?pinNo">#REF!</definedName>
    <definedName name="RPTWH03002?plSeihinNm">#REF!</definedName>
    <definedName name="RPTWH03002?poNo">#REF!</definedName>
    <definedName name="RPTWH03002?rows">#REF!</definedName>
    <definedName name="RPTWH03002?sagyoNo">#REF!</definedName>
    <definedName name="RPTWH03002?shukkaKanriNo">#REF!</definedName>
    <definedName name="RPTWH03002?sunpoH">#REF!</definedName>
    <definedName name="RPTWH03002?sunpoL">#REF!</definedName>
    <definedName name="RPTWH03002?sunpoM3">#REF!</definedName>
    <definedName name="RPTWH03002?sunpoW">#REF!</definedName>
    <definedName name="RPTWH03002?tokkiJiko2">#REF!</definedName>
    <definedName name="RRLABOR">#REF!</definedName>
    <definedName name="S">#REF!</definedName>
    <definedName name="S12R">[14]Recmd!#REF!</definedName>
    <definedName name="S16R">[14]Recmd!#REF!</definedName>
    <definedName name="S6R">[14]Recmd!#REF!</definedName>
    <definedName name="sahuhdssa">#REF!</definedName>
    <definedName name="sajdj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PT">[7]EQIPHR97!#REF!</definedName>
    <definedName name="SGShg">#REF!</definedName>
    <definedName name="SHG">#REF!</definedName>
    <definedName name="ShippingData?airFlg">#REF!</definedName>
    <definedName name="ShippingData?bunkatsu">#REF!</definedName>
    <definedName name="ShippingData?caseNo">#REF!</definedName>
    <definedName name="ShippingData?containerNo">#REF!</definedName>
    <definedName name="ShippingData?funeNm">#REF!</definedName>
    <definedName name="ShippingData?gaisoCaseNoZeroPadding">#REF!</definedName>
    <definedName name="ShippingData?gokiNo">#REF!</definedName>
    <definedName name="ShippingData?hinmokuCd">#REF!</definedName>
    <definedName name="ShippingData?invoiceNo">#REF!</definedName>
    <definedName name="ShippingData?nifudaBarCd">#REF!</definedName>
    <definedName name="ShippingData?ouCode">#REF!</definedName>
    <definedName name="ShippingData?poNo">#REF!</definedName>
    <definedName name="ShippingData?rows">#REF!</definedName>
    <definedName name="ShippingData?shukkaShijiQty">#REF!</definedName>
    <definedName name="ShippingData?tochakuYoteiYmd">#REF!</definedName>
    <definedName name="shiroma">[0]!shiroma</definedName>
    <definedName name="SI?agent">#REF!</definedName>
    <definedName name="SI?blShubetsu">#REF!</definedName>
    <definedName name="SI?bookingNo">#REF!</definedName>
    <definedName name="SI?cargoReady">#REF!</definedName>
    <definedName name="SI?carrier">#REF!</definedName>
    <definedName name="SI?consignee1">#REF!</definedName>
    <definedName name="SI?consignee2">#REF!</definedName>
    <definedName name="SI?consignee3">#REF!</definedName>
    <definedName name="SI?consignee4">#REF!</definedName>
    <definedName name="SI?consignee5">#REF!</definedName>
    <definedName name="SI?consignee6">#REF!</definedName>
    <definedName name="SI?consignee7">#REF!</definedName>
    <definedName name="SI?container">#REF!</definedName>
    <definedName name="SI?copyQty">#REF!</definedName>
    <definedName name="SI?cutMdy">#REF!</definedName>
    <definedName name="SI?daihyohin1Nm">#REF!</definedName>
    <definedName name="SI?daihyohin2Nm">#REF!</definedName>
    <definedName name="SI?deliveryPlace">#REF!</definedName>
    <definedName name="SI?deliveryType">#REF!</definedName>
    <definedName name="SI?freight">#REF!</definedName>
    <definedName name="SI?hklRefarenceNo">#REF!</definedName>
    <definedName name="SI?invoiceNo?0">#REF!</definedName>
    <definedName name="SI?invoiceNo?1">#REF!</definedName>
    <definedName name="SI?kamotsuQtyRp">#REF!</definedName>
    <definedName name="SI?kamotsuSunpo">#REF!</definedName>
    <definedName name="SI?kamotsuTani">#REF!</definedName>
    <definedName name="SI?messrs">#REF!</definedName>
    <definedName name="SI?mlYouhi">#REF!</definedName>
    <definedName name="SI?notify1">#REF!</definedName>
    <definedName name="SI?notify10">#REF!</definedName>
    <definedName name="SI?notify11">#REF!</definedName>
    <definedName name="SI?notify12">#REF!</definedName>
    <definedName name="SI?notify2">#REF!</definedName>
    <definedName name="SI?notify3">#REF!</definedName>
    <definedName name="SI?notify4">#REF!</definedName>
    <definedName name="SI?notify5">#REF!</definedName>
    <definedName name="SI?notify6">#REF!</definedName>
    <definedName name="SI?notify7">#REF!</definedName>
    <definedName name="SI?notify8">#REF!</definedName>
    <definedName name="SI?notify9">#REF!</definedName>
    <definedName name="SI?onOrAbout">#REF!</definedName>
    <definedName name="SI?placeOfReceipt">#REF!</definedName>
    <definedName name="SI?portOfDelivery">#REF!</definedName>
    <definedName name="SI?portOfDischarge">#REF!</definedName>
    <definedName name="SI?portOfLoading">#REF!</definedName>
    <definedName name="SI?sakuseiMdy">#REF!</definedName>
    <definedName name="SI?sakuseishaKaishaNm">#REF!</definedName>
    <definedName name="SI?sakuseishaNm">#REF!</definedName>
    <definedName name="SI?sakuseishaRenrakusaki">#REF!</definedName>
    <definedName name="SI?shipper1">#REF!</definedName>
    <definedName name="SI?shipper2">#REF!</definedName>
    <definedName name="SI?shipper3">#REF!</definedName>
    <definedName name="SI?shipper4">#REF!</definedName>
    <definedName name="SI?shipper5">#REF!</definedName>
    <definedName name="SI?siBikou1">#REF!</definedName>
    <definedName name="SI?siBikou10">#REF!</definedName>
    <definedName name="SI?siBikou2">#REF!</definedName>
    <definedName name="SI?siBikou3">#REF!</definedName>
    <definedName name="SI?siBikou4">#REF!</definedName>
    <definedName name="SI?siBikou5">#REF!</definedName>
    <definedName name="SI?siBikou6">#REF!</definedName>
    <definedName name="SI?siBikou7">#REF!</definedName>
    <definedName name="SI?siBikou8">#REF!</definedName>
    <definedName name="SI?siBikou9">#REF!</definedName>
    <definedName name="SI?siRemarks1">#REF!</definedName>
    <definedName name="SI?siRemarks2">#REF!</definedName>
    <definedName name="SI?siRemarks3">#REF!</definedName>
    <definedName name="SI?siRemarks4">#REF!</definedName>
    <definedName name="SI?siRemarks5">#REF!</definedName>
    <definedName name="SI?sm1">#REF!</definedName>
    <definedName name="SI?sm10">#REF!</definedName>
    <definedName name="SI?sm11">#REF!</definedName>
    <definedName name="SI?sm12">#REF!</definedName>
    <definedName name="SI?sm13">#REF!</definedName>
    <definedName name="SI?sm14">#REF!</definedName>
    <definedName name="SI?sm15">#REF!</definedName>
    <definedName name="SI?sm2">#REF!</definedName>
    <definedName name="SI?sm3">#REF!</definedName>
    <definedName name="SI?sm4">#REF!</definedName>
    <definedName name="SI?sm5">#REF!</definedName>
    <definedName name="SI?sm6">#REF!</definedName>
    <definedName name="SI?sm7">#REF!</definedName>
    <definedName name="SI?sm8">#REF!</definedName>
    <definedName name="SI?sm9">#REF!</definedName>
    <definedName name="SI?vesselName">#REF!</definedName>
    <definedName name="SI?voyNo">#REF!</definedName>
    <definedName name="SI_ATT?details">#REF!</definedName>
    <definedName name="SI_ATT?head">#REF!</definedName>
    <definedName name="SI_ATT?rows">#REF!</definedName>
    <definedName name="sss" hidden="1">{"'РП (2)'!$A$5:$S$150"}</definedName>
    <definedName name="STEER_AND_HOIST_SYSTEM_OIL">'[8]MARC Input &amp; Summary'!$J$15</definedName>
    <definedName name="suga" hidden="1">[11]ENG_APL!#REF!</definedName>
    <definedName name="sugawara" hidden="1">[15]ENG_APL!#REF!</definedName>
    <definedName name="SUMMARY?caseCount">#REF!</definedName>
    <definedName name="SUMMARY?cw">#REF!</definedName>
    <definedName name="SUMMARY?daihyoSagyoNo">#REF!</definedName>
    <definedName name="SUMMARY?grossWt">#REF!</definedName>
    <definedName name="SUMMARY?netWt">#REF!</definedName>
    <definedName name="SUMMARY?qty">#REF!</definedName>
    <definedName name="SUMMARY?renban">#REF!</definedName>
    <definedName name="SUMMARY?rows">#REF!</definedName>
    <definedName name="SUMMARY?rt">#REF!</definedName>
    <definedName name="SUMMARY?sunpoM3">#REF!</definedName>
    <definedName name="SUMMARY?total?getCaseCountTotal">#REF!</definedName>
    <definedName name="SUMMARY?total?getCwTotal">#REF!</definedName>
    <definedName name="SUMMARY?total?getGrossWtTotal">#REF!</definedName>
    <definedName name="SUMMARY?total?getM3Total">#REF!</definedName>
    <definedName name="SUMMARY?total?getNetWtTotal">#REF!</definedName>
    <definedName name="SUMMARY?total?getQtyTotal">#REF!</definedName>
    <definedName name="SUMMARY?total?getRtTotal">#REF!</definedName>
    <definedName name="SystemName">"四角形 21"</definedName>
    <definedName name="T_1">#REF!</definedName>
    <definedName name="T_2">#REF!</definedName>
    <definedName name="T_3">#REF!</definedName>
    <definedName name="T_4">#REF!</definedName>
    <definedName name="T_5">#REF!</definedName>
    <definedName name="T5_2_払出最終">#REF!</definedName>
    <definedName name="TAB_LINE">#REF!</definedName>
    <definedName name="TAB_LINE2">#REF!</definedName>
    <definedName name="Table_1">#REF!</definedName>
    <definedName name="TABLE_DTL">#REF!</definedName>
    <definedName name="TextRefCopyRangeCount" hidden="1">45</definedName>
    <definedName name="Total">Scheduled_Payment+Extra_Payment</definedName>
    <definedName name="Total_Interest">#REF!</definedName>
    <definedName name="Total_Pay">#REF!</definedName>
    <definedName name="Total_Payment">Scheduled_Payment+Extra_Payment</definedName>
    <definedName name="TRANSMISSION_CONVERTER_OIL">'[8]MARC Input &amp; Summary'!$J$18</definedName>
    <definedName name="Transmission_Fluid_Type">'[8]Engine Load Factor Tbl'!$J$22</definedName>
    <definedName name="twtwq">#REF!</definedName>
    <definedName name="tyres2">#REF!</definedName>
    <definedName name="UNITCOST">[16]APLratio!$A$5:$F$168</definedName>
    <definedName name="UNSCHEDULEDPARSTCOST">#REF!</definedName>
    <definedName name="Values_Entered">IF(Loan_Amount*Interest_Rate*Loan_Years*Loan_Start&gt;0,1,0)</definedName>
    <definedName name="VendorComp">#REF!</definedName>
    <definedName name="waers">#REF!</definedName>
    <definedName name="WELDING">#REF!</definedName>
    <definedName name="wrn.4a01." hidden="1">{"all1",#N/A,FALSE,"Header";"all1",#N/A,FALSE,"4a101";"all1",#N/A,FALSE,"4a201";"all1",#N/A,FALSE,"4a301";"all1",#N/A,FALSE,"4a401";"all1",#N/A,FALSE,"4a501"}</definedName>
    <definedName name="wrn.4a10.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wrn.6a10." hidden="1">{"all1",#N/A,FALSE,"Header";"all1",#N/A,FALSE,"6a108";"all1",#N/A,FALSE,"6a103";"all1",#N/A,FALSE,"6a104";"all1",#N/A,FALSE,"6a105";"all1",#N/A,FALSE,"6a106";"all1",#N/A,FALSE,"6a107";"all1",#N/A,FALSE,"6a102"}</definedName>
    <definedName name="wrn.all1." hidden="1">{"all1",#N/A,FALSE,"Header";"all1",#N/A,FALSE,"CAF";"all1",#N/A,FALSE,"MCOSTM 2b";"all1",#N/A,FALSE,"MCOSTM 5a";"all1",#N/A,FALSE,"Block Limits";"all1",#N/A,FALSE,"Summary";"all1",#N/A,FALSE,"Fixed Costs  &amp; Optim Capital";"all1",#N/A,FALSE,"Contract Rates";"all1",#N/A,FALSE,"Equipment Hourly Hire";"all1",#N/A,FALSE,"FS Prod Schedule";"all1",#N/A,FALSE,"Shifts &amp; Constants";"all1",#N/A,FALSE,"RH200";"all1",#N/A,FALSE,"L&amp;H_Prod";"all1",#N/A,FALSE,"Labour";"all1",#N/A,FALSE,"Labour Cost";"all1",#N/A,FALSE,"Trucks";"all1",#N/A,FALSE,"Blast";"all1",#N/A,FALSE,"Drill";"all1",#N/A,FALSE,"Service_Eq.";"all1",#N/A,FALSE,"Dewater";"all1",#N/A,FALSE,"Haul road profiles";"all1",#N/A,FALSE,"Process Original";"all1",#N/A,FALSE,"Process Capital";"all1",#N/A,FALSE,"Process opex_check";"all1",#N/A,FALSE,"Process opex_detail"}</definedName>
    <definedName name="wrn.all1a." hidden="1">{"all1",#N/A,FALSE,"Header";"ALL1",#N/A,FALSE,"CAF";"all1",#N/A,FALSE,"slopes";"all1",#N/A,FALSE,"MCOSTM 2b";"all1",#N/A,FALSE,"MCOSTM 5a";"all1",#N/A,FALSE,"Block Limits";"all1",#N/A,FALSE,"Summary";"all1",#N/A,FALSE,"Fixed Costs  &amp; Optim Capital";"all1",#N/A,FALSE,"Contract Rates";"all1",#N/A,FALSE,"FS Prod Schedule";"all1",#N/A,FALSE,"Shifts &amp; Constants";"all1",#N/A,FALSE,"Shovel 400 t";"all1",#N/A,FALSE,"L&amp;H_Prod";"all1",#N/A,FALSE,"Labour";"all1",#N/A,FALSE,"Trucks";"all1",#N/A,FALSE,"Blast";"all1",#N/A,FALSE,"Drill";"all1",#N/A,FALSE,"Service_Eq.";"all1",#N/A,FALSE,"Dewater";"all1",#N/A,FALSE,"Haul road profiles"}</definedName>
    <definedName name="wrn.all1data." hidden="1">{"tab321",#N/A,FALSE,"CAF";"all1",#N/A,FALSE,"Header";"all1",#N/A,FALSE,"WMC DATA";"all1",#N/A,FALSE,"Slopes";"all1",#N/A,FALSE,"CAF";"all1",#N/A,FALSE,"MCOSTM 1A"}</definedName>
    <definedName name="wrn.Coded._.IAS._.FS." hidden="1">{"IASTrail",#N/A,FALSE,"IAS"}</definedName>
    <definedName name="wrn.cost07." hidden="1">{"header",#N/A,FALSE,"Header";#N/A,#N/A,FALSE,"Road Map";"costHPS",#N/A,FALSE,"Cost_HP Summary";"drillcost",#N/A,FALSE,"Drill";"drillprod",#N/A,FALSE,"Drill";"blastpara",#N/A,FALSE,"Blast";"4100xpb7000US",#N/A,FALSE,"4100xpb7000US$";"fuelcon",#N/A,FALSE,"FuelCon";"gradecon",#N/A,FALSE,"Grade Control ";"equipfreight",#N/A,FALSE,"Equipfreight";"Kamcatmaint",#N/A,FALSE,"KomCat maint";"labourrates",#N/A,FALSE,"Labour Cost";"labour1",#N/A,FALSE,"Labour";"labour2",#N/A,FALSE,"Labour";"labour3",#N/A,FALSE,"Labour";#N/A,#N/A,FALSE,"MCOG";#N/A,#N/A,FALSE,"Shovel";"costsumdet",#N/A,FALSE,"Cost Summary";"costsumapp",#N/A,FALSE,"Cost Summary";"equsched1",#N/A,FALSE,"Equipment Schedule";"equsched2",#N/A,FALSE,"Equipment Schedule";"equsched3",#N/A,FALSE,"Equipment Schedule";"equsched4",#N/A,FALSE,"Equipment Schedule";"shftcnst",#N/A,FALSE,"Shifts &amp; Constants";"serveq1",#N/A,FALSE,"Service_Eq.";"serveq2",#N/A,FALSE,"Service_Eq.";"O&amp;Kshovel",#N/A,FALSE,"RH200";"truck1",#N/A,FALSE,"Trucks";"truckgraf",#N/A,FALSE,"Trucks";"dewater",#N/A,FALSE,"Dewater";"aasumdes",#N/A,FALSE,"Summary Design 1a";"aasumdes",#N/A,FALSE,"Summary Design 2a";"aasumdes",#N/A,FALSE,"Summary Design 3a";"aasumdes",#N/A,FALSE,"Summary Design 4a";"aasumdes",#N/A,FALSE,"Summary Design 5a";"aasumdes",#N/A,FALSE,"Summary Design 6a";"l&amp;Hall",#N/A,FALSE,"L&amp;H_Pit 1a4100";"l&amp;Hall",#N/A,FALSE,"L&amp;H_Pit 2a4100";"l&amp;Hall",#N/A,FALSE,"L&amp;H_Pit 3a4100";"l&amp;Hall",#N/A,FALSE,"L&amp;H_Pit 4a4100";"l&amp;Hall",#N/A,FALSE,"L&amp;H_Pit 5a4100";"l&amp;Hall",#N/A,FALSE,"L&amp;H_Pit 6a4100";"l&amp;Hall",#N/A,FALSE,"L&amp;H_Pit 1a994";"l&amp;Hall",#N/A,FALSE,"L&amp;H_Pit 2a994";"l&amp;Hall",#N/A,FALSE,"L&amp;H_Pit 3a994";"l&amp;Hall",#N/A,FALSE,"L&amp;H_Pit 4a994";"l&amp;Hall",#N/A,FALSE,"L&amp;H_Pit 5a994";"l&amp;Hall",#N/A,FALSE,"L&amp;H_Pit 6a994";"l&amp;Hall",#N/A,FALSE,"L&amp;H_Pit 1aRH200";"summdes1",#N/A,FALSE,"Summary Design 1a";"sumdesx",#N/A,FALSE,"Summary Design 2a";"sumdesx",#N/A,FALSE,"Summary Design 3a";"sumdesx",#N/A,FALSE,"Summary Design 4a";"sumdesx",#N/A,FALSE,"Summary Design 5a";"sumdesx",#N/A,FALSE,"Summary Design 6a"}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Inputdata." hidden="1">{"Header",#N/A,FALSE,"Header";"CAF",#N/A,FALSE,"CAF";"mcostm",#N/A,FALSE,"MCOSTM 1A";"slopes",#N/A,FALSE,"Slopes";"blocksA4",#N/A,FALSE,"Block Limits";"data",#N/A,FALSE,"WMC DATA";"csvoutput",#N/A,FALSE,"DOM100.csv"}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run10." hidden="1">{"all1",#N/A,FALSE,"Header";"all1",#N/A,FALSE,"110";"all1",#N/A,FALSE,"210";"all1",#N/A,FALSE,"310";"all1",#N/A,FALSE,"410";"all1",#N/A,FALSE,"510"}</definedName>
    <definedName name="wrn.run1415." hidden="1">{"all1",#N/A,FALSE,"Header";"all1",#N/A,FALSE,"113";"all1",#N/A,FALSE,"213";"all1",#N/A,FALSE,"313";"all1",#N/A,FALSE,"413";"all1",#N/A,FALSE,"513";"all1",#N/A,FALSE,"215"}</definedName>
    <definedName name="wrn.run17." hidden="1">{"all1",#N/A,FALSE,"Header";"all1",#N/A,FALSE,"117";"all1",#N/A,FALSE,"217";"all1",#N/A,FALSE,"317";"all1",#N/A,FALSE,"417";"all1",#N/A,FALSE,"517";"all1",#N/A,FALSE,"114";"all1",#N/A,FALSE,"214";"all1",#N/A,FALSE,"314";"all1",#N/A,FALSE,"414";"all1",#N/A,FALSE,"514";"all1",#N/A,FALSE,"Summary"}</definedName>
    <definedName name="wrn.run19." hidden="1">{"all1",#N/A,FALSE,"Header";"all1",#N/A,FALSE,"Summary 19 20 loa";"all1",#N/A,FALSE,"218";#N/A,#N/A,FALSE,"119";"all1",#N/A,FALSE,"119";"all1",#N/A,FALSE,"219";"all1",#N/A,FALSE,"319";"all1",#N/A,FALSE,"419";"all1",#N/A,FALSE,"519"}</definedName>
    <definedName name="wrn.run25." hidden="1">{"all1",#N/A,FALSE,"Header";"all1",#N/A,FALSE,"125";"all1",#N/A,FALSE,"225";"all1",#N/A,FALSE,"325";"all1",#N/A,FALSE,"425";"all1",#N/A,FALSE,"525"}</definedName>
    <definedName name="wrn.SRDBLASTDRILL." hidden="1">{"BLASTCOST",#N/A,FALSE,"Blast";"DRILLPRODUCTIVITY",#N/A,FALSE,"Drill"}</definedName>
    <definedName name="wrn.SRDCOSTSUMMARYANDPITQUANTITIES." hidden="1">{"COST_HPSUMMARY",#N/A,FALSE,"Cost_HP Summary";"COSTSUMMARY",#N/A,FALSE,"Cost Summary";"PITMOVEMENTSUMMARY",#N/A,FALSE,"Equipment Schedule Original"}</definedName>
    <definedName name="wrn.SRDCYCLETIMES." hidden="1">{"TRUCKCYCLETIMES",#N/A,FALSE,"Cycle Times";"TRUCKPRODUCTIVITY",#N/A,FALSE,"Cycle Times"}</definedName>
    <definedName name="wrn.SRDEQUIPMENT." hidden="1">{"EQUIPHRSREQINSERVICE",#N/A,FALSE,"Equipment Schedule Original";"EQUIPSERVLIFEREMAININGPURCHASE",#N/A,FALSE,"Equipment Schedule Original";"EQUIPUPTOFUELUSAGE",#N/A,FALSE,"Equipment Schedule Original"}</definedName>
    <definedName name="wrn.SRDEQUIPMENTNEW." hidden="1">{"TABLES111NEWHOURS",#N/A,FALSE,"Equipment Schedule new";"TABLES112NEWEQUIPMENTREQ",#N/A,FALSE,"Equipment Schedule new";"TABLES113NEWEQUIPMENTINSERVICE",#N/A,FALSE,"Equipment Schedule new";"TABLES114NEWEQUIPOPEX",#N/A,FALSE,"Equipment Schedule new";"TABLES115NEWLIFEREMAINING",#N/A,FALSE,"Equipment Schedule new";"TABLES116EQUIPMENTPURCHASE",#N/A,FALSE,"Equipment Schedule new";"TABLES117MINECAPITAL",#N/A,FALSE,"Equipment Schedule new";"TABLES118MINESERVICES",#N/A,FALSE,"Equipment Schedule new";"TABLES119NEWMINEADMIN",#N/A,FALSE,"Equipment Schedule new";"TABLES1110NEWFUEL",#N/A,FALSE,"Equipment Schedule new";"TABLES1111NEWPOWER",#N/A,FALSE,"Equipment Schedule new"}</definedName>
    <definedName name="wrn.SRDLABOUR." hidden="1">{"LABOURMANNING",#N/A,FALSE,"Labour";"LABOURMANNEDCOST",#N/A,FALSE,"Labour";"LABOURUNITCOST",#N/A,FALSE,"Labour"}</definedName>
    <definedName name="wrn.SRDLOADHAUL." hidden="1">{"LHPIT1ORE",#N/A,FALSE,"L&amp;H_Pit 1a4100";"LHPIT1ROM",#N/A,FALSE,"L&amp;H_Pit 1a4100";"LHPIT1WASTELEACH",#N/A,FALSE,"L&amp;H_Pit 1a4100";"LHPIT1WASTEFRESH",#N/A,FALSE,"L&amp;H_Pit 1a4100";"LHPIT2ORE",#N/A,FALSE,"L&amp;H_Pit 2a4100";"LHPIT2ROM",#N/A,FALSE,"L&amp;H_Pit 2a4100";"LHPIT2WASTELEACH",#N/A,FALSE,"L&amp;H_Pit 2a4100";"LHPIT2WASTEFRESH",#N/A,FALSE,"L&amp;H_Pit 2a4100";"LHPIT3ORE",#N/A,FALSE,"L&amp;H_Pit 3a4100";"LHPIT3ROM",#N/A,FALSE,"L&amp;H_Pit 3a4100";"LHPIT3WASTELEACH",#N/A,FALSE,"L&amp;H_Pit 3a4100";"LHPIT3WASTEFRESH",#N/A,FALSE,"L&amp;H_Pit 3a4100";"LHPIT4ORE",#N/A,FALSE,"L&amp;H_Pit 4a4100";"LHPIT4ROM",#N/A,FALSE,"L&amp;H_Pit 4a4100";"LHPIT4WASTELEACH",#N/A,FALSE,"L&amp;H_Pit 4a4100";"LHPIT4WASTEFRESH",#N/A,FALSE,"L&amp;H_Pit 4a4100";"LHPIT5ORE",#N/A,FALSE,"L&amp;H_Pit 5a4100";"LHPIT5ROM",#N/A,FALSE,"L&amp;H_Pit 5a4100";"LHPIT5WASTELEACH",#N/A,FALSE,"L&amp;H_Pit 5a4100";"LHPIT5WASTEFRESH",#N/A,FALSE,"L&amp;H_Pit 5a4100";"LHPIT6ORE",#N/A,FALSE,"L&amp;H_Pit 6a4100";"LHPIT6ROM",#N/A,FALSE,"L&amp;H_Pit 6a4100";"LHPIT6WASTELEACH",#N/A,FALSE,"L&amp;H_Pit 6a4100";"LHPIT6WASTEFRESH",#N/A,FALSE,"L&amp;H_Pit 6a4100";"LHPIT1994ORE",#N/A,FALSE,"L&amp;H_Pit 1a994";"LHPIT1994ROM",#N/A,FALSE,"L&amp;H_Pit 1a994";"LHPIT1994WASTELEACH",#N/A,FALSE,"L&amp;H_Pit 1a994";"LHPIT1994WASTEFRESH",#N/A,FALSE,"L&amp;H_Pit 1a994";"LHPIT2994ORE",#N/A,FALSE,"L&amp;H_Pit 2a994";"LHPIT2994ROM",#N/A,FALSE,"L&amp;H_Pit 2a994";"LHPIT2994WASTELEACH",#N/A,FALSE,"L&amp;H_Pit 2a994";"LHPIT2994WASTEFRESH",#N/A,FALSE,"L&amp;H_Pit 2a994";"LHPIT3994ORE",#N/A,FALSE,"L&amp;H_Pit 3a994";"LHPIT3994ROM",#N/A,FALSE,"L&amp;H_Pit 3a994";"LHPIT3994WASTELEACH",#N/A,FALSE,"L&amp;H_Pit 3a994";"LHPIT3994WASTEFRESH",#N/A,FALSE,"L&amp;H_Pit 3a994";"LHPIT4994ORE",#N/A,FALSE,"L&amp;H_Pit 4a994";"LHPIT4994ROM",#N/A,FALSE,"L&amp;H_Pit 4a994";"LHPIT4994WASTELEACH",#N/A,FALSE,"L&amp;H_Pit 4a994";"LHPIT4994WASTEFRESH",#N/A,FALSE,"L&amp;H_Pit 4a994";"LHPIT5994ORE",#N/A,FALSE,"L&amp;H_Pit 5a994";"LHPIT5994ROM",#N/A,FALSE,"L&amp;H_Pit 5a994";"LHPIT5994WASTELEACH",#N/A,FALSE,"L&amp;H_Pit 5a994";"LHPIT5994WASTEFRESH",#N/A,FALSE,"L&amp;H_Pit 5a994";"LHPIT6994ORE",#N/A,FALSE,"L&amp;H_Pit 6a994";"LHPIT6994ROM",#N/A,FALSE,"L&amp;H_Pit 6a994";"LHPIT6994WASTELEACH",#N/A,FALSE,"L&amp;H_Pit 6a994";"LHPIT6994WASTEFRESH",#N/A,FALSE,"L&amp;H_Pit 6a994";"LHPIT1RH200ORE",#N/A,FALSE,"L&amp;H_Pit 1aRH200";"LHPIT1RH200ROM",#N/A,FALSE,"L&amp;H_Pit 1aRH200";"LHPIT1RH200WASTELEACH",#N/A,FALSE,"L&amp;H_Pit 1aRH200";"LHPIT1RH200WASTEFRESH",#N/A,FALSE,"L&amp;H_Pit 1aRH200"}</definedName>
    <definedName name="wrn.SRDSUMMARYDESIGN." hidden="1">{"HEADER",#N/A,FALSE,"Header";"ROADMAP",#N/A,FALSE,"Road Map";"SUMM1L4100",#N/A,FALSE,"Summary Design 1a";"SUMM1L994",#N/A,FALSE,"Summary Design 1a";"SUMM1RH200",#N/A,FALSE,"Summary Design 1a";"SUMM1AVER",#N/A,FALSE,"Summary Design 1a";"SUMM2L994",#N/A,FALSE,"Summary Design 2a";"SUMM2L4100",#N/A,FALSE,"Summary Design 2a";"SUMM2AVER",#N/A,FALSE,"Summary Design 2a";"SUMM3L4100",#N/A,FALSE,"Summary Design 3a";"SUMM3L994",#N/A,FALSE,"Summary Design 3a";"SUMM3AVER",#N/A,FALSE,"Summary Design 3a";"SUMM4L994",#N/A,FALSE,"Summary Design 4a";"SUMM4L4100",#N/A,FALSE,"Summary Design 4a";"SUMM4AVER",#N/A,FALSE,"Summary Design 4a";"SUMM5L4100",#N/A,FALSE,"Summary Design 5a";"SUMM5L994",#N/A,FALSE,"Summary Design 5a";"SUMM5AVER",#N/A,FALSE,"Summary Design 5a";"SUMM6L4100",#N/A,FALSE,"Summary Design 6a";"SUMM6L994",#N/A,FALSE,"Summary Design 6a";"SUMM6AVER",#N/A,FALSE,"Summary Design 6a"}</definedName>
    <definedName name="wrn.SRDUNITCOST." hidden="1">{"HEADER",#N/A,FALSE,"Header";"ROADMAP",#N/A,FALSE,"Road Map";"SHOVEL4100",#N/A,FALSE,"Shovel";"TRUCKCOST",#N/A,FALSE,"Trucks";"RH200COST",#N/A,FALSE,"RH200";"CAT994COST",#N/A,FALSE,"Service_Eq.";"CATD10RCOST",#N/A,FALSE,"Service_Eq.";"CAT16HCOST",#N/A,FALSE,"Service_Eq.";"CAT854COST",#N/A,FALSE,"Service_Eq.";"WATERCARTCOST",#N/A,FALSE,"Service_Eq.";"FORKLIFTCOST",#N/A,FALSE,"Service_Eq.";"BACKHOECOST",#N/A,FALSE,"Service_Eq.";"LOWLOADERCOST",#N/A,FALSE,"Service_Eq.";"SUPPORTEQUIPCOST",#N/A,FALSE,"Service_Eq.";"DRILLCOST",#N/A,FALSE,"Drill"}</definedName>
    <definedName name="wrn.SRDVARIOUS." hidden="1">{"COSTSUMMARY12.1",#N/A,FALSE,"Cost Summary";"DEWATER",#N/A,FALSE,"Dewater";"SHIFTSANDCONSTANTS",#N/A,FALSE,"Shifts &amp; Constants"}</definedName>
    <definedName name="wrn.tables." hidden="1">{"tab1_2",#N/A,FALSE,"Cost Summary";"fig1_2",#N/A,FALSE,"Annual Production"}</definedName>
    <definedName name="wrn.TESTSRD." hidden="1">{"COSTSUMMARY",#N/A,FALSE,"Cost Summary"}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6a" hidden="1">{"tab1_2",#N/A,FALSE,"Cost Summary";"fig1_2",#N/A,FALSE,"Annual Production"}</definedName>
    <definedName name="wrna" hidden="1">{"tab1_2",#N/A,FALSE,"Cost Summary";"fig1_2",#N/A,FALSE,"Annual Production"}</definedName>
    <definedName name="x" hidden="1">{"all1",#N/A,FALSE,"Header";"all1",#N/A,FALSE,"4a101";"all1",#N/A,FALSE,"4a201";"all1",#N/A,FALSE,"4a301";"all1",#N/A,FALSE,"4a401";"all1",#N/A,FALSE,"4a102";"all1",#N/A,FALSE,"4a501";"all1",#N/A,FALSE,"4a202";"all1",#N/A,FALSE,"4a302";"all1",#N/A,FALSE,"4a402";"all1",#N/A,FALSE,"4a502";"all1",#N/A,FALSE,"Summary 01 02 loa"}</definedName>
    <definedName name="xx" hidden="1">{"all1",#N/A,FALSE,"Header";"all1",#N/A,FALSE,"4a101";"all1",#N/A,FALSE,"4a201";"all1",#N/A,FALSE,"4a301";"all1",#N/A,FALSE,"4a401";"all1",#N/A,FALSE,"4a501"}</definedName>
    <definedName name="xxx" hidden="1">{"all1",#N/A,FALSE,"Header";"all1",#N/A,FALSE,"6a108";"all1",#N/A,FALSE,"6a103";"all1",#N/A,FALSE,"6a104";"all1",#N/A,FALSE,"6a105";"all1",#N/A,FALSE,"6a106";"all1",#N/A,FALSE,"6a107";"all1",#N/A,FALSE,"6a102"}</definedName>
    <definedName name="YAYU">#N/A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F">#REF!</definedName>
    <definedName name="ZSDFG">#REF!</definedName>
    <definedName name="zzcon">#REF!</definedName>
    <definedName name="zzdocs">#REF!</definedName>
    <definedName name="ZZDUR">#REF!</definedName>
    <definedName name="zzip">#REF!</definedName>
    <definedName name="zzlea">#REF!</definedName>
    <definedName name="zzpos">#REF!</definedName>
    <definedName name="zzpr1">#REF!</definedName>
    <definedName name="zzpr2">#REF!</definedName>
    <definedName name="zzpr3">#REF!</definedName>
    <definedName name="zzpr4">#REF!</definedName>
    <definedName name="zzpr5">#REF!</definedName>
    <definedName name="zzpre">#REF!</definedName>
    <definedName name="zzpus">#REF!</definedName>
    <definedName name="zzrab">#REF!</definedName>
    <definedName name="zzserv">#REF!</definedName>
    <definedName name="zzshe">#REF!</definedName>
    <definedName name="zzstr">#REF!</definedName>
    <definedName name="zztam">#REF!</definedName>
    <definedName name="zztar">#REF!</definedName>
    <definedName name="zztrn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йцвполвийылдвтйжв">#REF!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">#REF!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ВЫЕЗД">[17]Цены!$H$1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КУРС">[17]Цены!$F$1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Данные_Экскаватор!$A$1:$O$38</definedName>
    <definedName name="_xlnm.Print_Area">#REF!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ва">#REF!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  <definedName name="ｴﾝﾄﾞﾕｰｻﾞ">#REF!</definedName>
    <definedName name="サブシステム名称">"四角形 23"</definedName>
    <definedName name="システム名">#REF!</definedName>
    <definedName name="システム名?">#REF!</definedName>
    <definedName name="システム名１">#REF!</definedName>
    <definedName name="システム名２">#REF!</definedName>
    <definedName name="システム名称">"四角形 21"</definedName>
    <definedName name="仕切原価">#REF!</definedName>
    <definedName name="作成日">#REF!</definedName>
    <definedName name="全頁">#REF!</definedName>
    <definedName name="内訳表原稿データ作成">[0]!内訳表原稿データ作成</definedName>
    <definedName name="内訳表原稿作成">[0]!内訳表原稿作成</definedName>
    <definedName name="原稿頁">#REF!</definedName>
    <definedName name="台数">#REF!</definedName>
    <definedName name="品名">'[18]見積依頼書 P1'!$B$7</definedName>
    <definedName name="回答日">#REF!</definedName>
    <definedName name="安藤" hidden="1">#REF!</definedName>
    <definedName name="宛先">#REF!</definedName>
    <definedName name="工場出荷">#REF!</definedName>
    <definedName name="平均レコード長">#REF!</definedName>
    <definedName name="建値">#REF!</definedName>
    <definedName name="式SUM">#REF!</definedName>
    <definedName name="引合先">#REF!</definedName>
    <definedName name="引渡場所">#REF!</definedName>
    <definedName name="支社">#REF!</definedName>
    <definedName name="改定日？">#REF!</definedName>
    <definedName name="改訂日">#REF!</definedName>
    <definedName name="新車納入費">#REF!</definedName>
    <definedName name="日本語テーブル名">#REF!</definedName>
    <definedName name="最大レコード長">#REF!</definedName>
    <definedName name="最大レコード長２">#REF!</definedName>
    <definedName name="束原" hidden="1">#REF!</definedName>
    <definedName name="業種">#REF!</definedName>
    <definedName name="機種">#REF!</definedName>
    <definedName name="次紙頁">#REF!</definedName>
    <definedName name="申出納期">#REF!</definedName>
    <definedName name="発送費">#REF!</definedName>
    <definedName name="見積台数">#REF!</definedName>
    <definedName name="見積番号">#REF!</definedName>
    <definedName name="計">#REF!</definedName>
    <definedName name="記号テーブル名">#REF!</definedName>
    <definedName name="記号テーブル名２">#REF!</definedName>
    <definedName name="関連表" hidden="1">#REF!</definedName>
  </definedNames>
  <calcPr calcId="181029"/>
</workbook>
</file>

<file path=xl/calcChain.xml><?xml version="1.0" encoding="utf-8"?>
<calcChain xmlns="http://schemas.openxmlformats.org/spreadsheetml/2006/main">
  <c r="K63" i="3" l="1"/>
  <c r="K62" i="3"/>
  <c r="K64" i="3"/>
  <c r="K72" i="3"/>
  <c r="K71" i="3"/>
  <c r="K70" i="3"/>
  <c r="K69" i="3"/>
  <c r="K68" i="3"/>
  <c r="K67" i="3"/>
  <c r="K66" i="3"/>
  <c r="K65" i="3"/>
  <c r="L60" i="3"/>
  <c r="L59" i="3"/>
  <c r="L58" i="3"/>
  <c r="L57" i="3"/>
  <c r="L56" i="3"/>
  <c r="L55" i="3"/>
  <c r="L54" i="3"/>
  <c r="L53" i="3"/>
  <c r="I54" i="3"/>
  <c r="I53" i="3"/>
  <c r="I60" i="3"/>
  <c r="I59" i="3"/>
  <c r="I58" i="3"/>
  <c r="I57" i="3"/>
  <c r="I56" i="3"/>
  <c r="I55" i="3"/>
  <c r="M51" i="3"/>
  <c r="M50" i="3"/>
  <c r="M49" i="3"/>
  <c r="M48" i="3"/>
  <c r="M47" i="3"/>
  <c r="K51" i="3"/>
  <c r="K50" i="3"/>
  <c r="K49" i="3"/>
  <c r="K48" i="3"/>
  <c r="K47" i="3"/>
  <c r="H49" i="3"/>
  <c r="H48" i="3"/>
  <c r="H47" i="3"/>
  <c r="H51" i="3"/>
  <c r="H50" i="3"/>
  <c r="N45" i="3"/>
  <c r="N44" i="3"/>
  <c r="N43" i="3"/>
  <c r="N42" i="3"/>
  <c r="L45" i="3"/>
  <c r="L44" i="3"/>
  <c r="L43" i="3"/>
  <c r="L42" i="3"/>
  <c r="K45" i="3"/>
  <c r="K44" i="3"/>
  <c r="K43" i="3"/>
  <c r="K42" i="3"/>
  <c r="I45" i="3"/>
  <c r="I44" i="3"/>
  <c r="I43" i="3"/>
  <c r="I42" i="3"/>
  <c r="G45" i="3"/>
  <c r="G43" i="3"/>
  <c r="G42" i="3"/>
  <c r="G44" i="3"/>
  <c r="P28" i="4"/>
  <c r="O28" i="4"/>
  <c r="N28" i="4"/>
  <c r="M28" i="4"/>
  <c r="L28" i="4"/>
  <c r="K28" i="4"/>
  <c r="J28" i="4"/>
  <c r="I28" i="4"/>
  <c r="H28" i="4"/>
  <c r="H29" i="4"/>
  <c r="I29" i="4"/>
  <c r="J29" i="4"/>
  <c r="K29" i="4"/>
  <c r="L29" i="4"/>
  <c r="M29" i="4"/>
  <c r="N29" i="4"/>
  <c r="O29" i="4"/>
  <c r="P29" i="4"/>
  <c r="H30" i="4"/>
  <c r="I30" i="4"/>
  <c r="J30" i="4"/>
  <c r="K30" i="4"/>
  <c r="L30" i="4"/>
  <c r="M30" i="4"/>
  <c r="N30" i="4"/>
  <c r="O30" i="4"/>
  <c r="P30" i="4"/>
  <c r="G19" i="4"/>
  <c r="G104" i="4" s="1"/>
  <c r="I19" i="4"/>
  <c r="I100" i="4" s="1"/>
  <c r="K19" i="4"/>
  <c r="K100" i="4" s="1"/>
  <c r="N19" i="4"/>
  <c r="N100" i="4" s="1"/>
  <c r="P19" i="4"/>
  <c r="P100" i="4" s="1"/>
  <c r="E16" i="4"/>
  <c r="E15" i="4"/>
  <c r="G100" i="4" l="1"/>
  <c r="G91" i="4"/>
  <c r="G96" i="4"/>
  <c r="G83" i="4"/>
  <c r="G88" i="4"/>
  <c r="G84" i="4"/>
  <c r="G87" i="4"/>
  <c r="G92" i="4"/>
  <c r="G95" i="4"/>
  <c r="K86" i="4"/>
  <c r="K90" i="4"/>
  <c r="K94" i="4"/>
  <c r="K98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K83" i="4"/>
  <c r="K87" i="4"/>
  <c r="K91" i="4"/>
  <c r="K95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G105" i="4"/>
  <c r="G102" i="4"/>
  <c r="G103" i="4"/>
  <c r="G101" i="4"/>
  <c r="K84" i="4"/>
  <c r="G85" i="4"/>
  <c r="K88" i="4"/>
  <c r="G89" i="4"/>
  <c r="K92" i="4"/>
  <c r="G93" i="4"/>
  <c r="K96" i="4"/>
  <c r="G97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G99" i="4"/>
  <c r="K85" i="4"/>
  <c r="G86" i="4"/>
  <c r="K89" i="4"/>
  <c r="G90" i="4"/>
  <c r="K93" i="4"/>
  <c r="G94" i="4"/>
  <c r="K97" i="4"/>
  <c r="G98" i="4"/>
  <c r="K99" i="4"/>
  <c r="K101" i="4"/>
  <c r="K102" i="4"/>
  <c r="K103" i="4"/>
  <c r="P99" i="4"/>
  <c r="P101" i="4"/>
  <c r="P102" i="4"/>
  <c r="P103" i="4"/>
  <c r="P104" i="4"/>
  <c r="P105" i="4"/>
  <c r="I99" i="4"/>
  <c r="I101" i="4"/>
  <c r="I102" i="4"/>
  <c r="I103" i="4"/>
  <c r="I104" i="4"/>
  <c r="I105" i="4"/>
  <c r="K104" i="4"/>
  <c r="K105" i="4"/>
  <c r="N99" i="4"/>
  <c r="N101" i="4"/>
  <c r="N102" i="4"/>
  <c r="N103" i="4"/>
  <c r="N104" i="4"/>
  <c r="N105" i="4"/>
  <c r="J25" i="3"/>
  <c r="I25" i="3"/>
  <c r="F15" i="3"/>
  <c r="F24" i="3" s="1"/>
  <c r="G16" i="3"/>
  <c r="G8" i="3" s="1"/>
  <c r="H16" i="3"/>
  <c r="H8" i="3" s="1"/>
  <c r="I16" i="3"/>
  <c r="I8" i="3" s="1"/>
  <c r="J16" i="3"/>
  <c r="J8" i="3" s="1"/>
  <c r="K16" i="3"/>
  <c r="K8" i="3" s="1"/>
  <c r="L16" i="3"/>
  <c r="L8" i="3" s="1"/>
  <c r="M16" i="3"/>
  <c r="M8" i="3" s="1"/>
  <c r="N16" i="3"/>
  <c r="N8" i="3" s="1"/>
  <c r="O16" i="3"/>
  <c r="O8" i="3" s="1"/>
  <c r="F16" i="3"/>
  <c r="F8" i="3" s="1"/>
  <c r="M25" i="3" l="1"/>
  <c r="L25" i="3"/>
  <c r="K25" i="3"/>
  <c r="H25" i="3"/>
  <c r="O25" i="3"/>
  <c r="G25" i="3"/>
  <c r="N25" i="3"/>
  <c r="F25" i="3"/>
  <c r="E6" i="3" l="1"/>
  <c r="E31" i="4"/>
  <c r="D23" i="3" l="1"/>
  <c r="D28" i="3" l="1"/>
  <c r="D29" i="3"/>
  <c r="D30" i="3"/>
  <c r="D26" i="3"/>
  <c r="D27" i="3"/>
  <c r="F35" i="3"/>
  <c r="F6" i="3"/>
  <c r="G5" i="3" s="1"/>
  <c r="G4" i="3"/>
  <c r="I82" i="4"/>
  <c r="K82" i="4"/>
  <c r="N82" i="4"/>
  <c r="P82" i="4"/>
  <c r="G82" i="4"/>
  <c r="E23" i="4"/>
  <c r="H4" i="3" l="1"/>
  <c r="G15" i="3"/>
  <c r="G24" i="3" s="1"/>
  <c r="O12" i="3"/>
  <c r="J12" i="3"/>
  <c r="G12" i="3"/>
  <c r="K12" i="3"/>
  <c r="I12" i="3"/>
  <c r="F12" i="3"/>
  <c r="N12" i="3"/>
  <c r="L12" i="3"/>
  <c r="H12" i="3"/>
  <c r="M12" i="3"/>
  <c r="G6" i="3"/>
  <c r="F61" i="4"/>
  <c r="F46" i="4"/>
  <c r="F35" i="4"/>
  <c r="E81" i="4"/>
  <c r="E61" i="4"/>
  <c r="E46" i="4"/>
  <c r="E35" i="4"/>
  <c r="O19" i="4"/>
  <c r="O100" i="4" s="1"/>
  <c r="M19" i="4"/>
  <c r="M100" i="4" s="1"/>
  <c r="L19" i="4"/>
  <c r="L100" i="4" s="1"/>
  <c r="J19" i="4"/>
  <c r="J100" i="4" s="1"/>
  <c r="H19" i="4"/>
  <c r="H100" i="4" s="1"/>
  <c r="H18" i="4"/>
  <c r="H71" i="4" s="1"/>
  <c r="I18" i="4"/>
  <c r="I71" i="4" s="1"/>
  <c r="J18" i="4"/>
  <c r="J71" i="4" s="1"/>
  <c r="K18" i="4"/>
  <c r="K71" i="4" s="1"/>
  <c r="L18" i="4"/>
  <c r="L71" i="4" s="1"/>
  <c r="M18" i="4"/>
  <c r="M71" i="4" s="1"/>
  <c r="N18" i="4"/>
  <c r="N71" i="4" s="1"/>
  <c r="O18" i="4"/>
  <c r="O71" i="4" s="1"/>
  <c r="P18" i="4"/>
  <c r="P71" i="4" s="1"/>
  <c r="G18" i="4"/>
  <c r="G71" i="4" s="1"/>
  <c r="H17" i="4"/>
  <c r="I17" i="4"/>
  <c r="J17" i="4"/>
  <c r="K17" i="4"/>
  <c r="L17" i="4"/>
  <c r="M17" i="4"/>
  <c r="N17" i="4"/>
  <c r="O17" i="4"/>
  <c r="P17" i="4"/>
  <c r="G17" i="4"/>
  <c r="H16" i="4"/>
  <c r="I16" i="4"/>
  <c r="J16" i="4"/>
  <c r="K16" i="4"/>
  <c r="L16" i="4"/>
  <c r="M16" i="4"/>
  <c r="N16" i="4"/>
  <c r="O16" i="4"/>
  <c r="P16" i="4"/>
  <c r="G16" i="4"/>
  <c r="H15" i="4"/>
  <c r="I41" i="4" l="1"/>
  <c r="I34" i="4"/>
  <c r="P41" i="4"/>
  <c r="P34" i="4"/>
  <c r="H41" i="4"/>
  <c r="H34" i="4"/>
  <c r="G41" i="4"/>
  <c r="G34" i="4"/>
  <c r="O41" i="4"/>
  <c r="O34" i="4"/>
  <c r="K41" i="4"/>
  <c r="K34" i="4"/>
  <c r="M41" i="4"/>
  <c r="M34" i="4"/>
  <c r="L41" i="4"/>
  <c r="L34" i="4"/>
  <c r="N41" i="4"/>
  <c r="N34" i="4"/>
  <c r="J41" i="4"/>
  <c r="J34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O96" i="4"/>
  <c r="O92" i="4"/>
  <c r="O88" i="4"/>
  <c r="O84" i="4"/>
  <c r="O95" i="4"/>
  <c r="O91" i="4"/>
  <c r="O87" i="4"/>
  <c r="O83" i="4"/>
  <c r="O98" i="4"/>
  <c r="O94" i="4"/>
  <c r="O90" i="4"/>
  <c r="O86" i="4"/>
  <c r="O97" i="4"/>
  <c r="O93" i="4"/>
  <c r="O89" i="4"/>
  <c r="O85" i="4"/>
  <c r="J105" i="4"/>
  <c r="J104" i="4"/>
  <c r="J103" i="4"/>
  <c r="J102" i="4"/>
  <c r="J101" i="4"/>
  <c r="J99" i="4"/>
  <c r="M105" i="4"/>
  <c r="M104" i="4"/>
  <c r="M103" i="4"/>
  <c r="M102" i="4"/>
  <c r="M101" i="4"/>
  <c r="M99" i="4"/>
  <c r="L105" i="4"/>
  <c r="L104" i="4"/>
  <c r="L103" i="4"/>
  <c r="L102" i="4"/>
  <c r="L101" i="4"/>
  <c r="L99" i="4"/>
  <c r="H105" i="4"/>
  <c r="H104" i="4"/>
  <c r="H103" i="4"/>
  <c r="H102" i="4"/>
  <c r="H101" i="4"/>
  <c r="H99" i="4"/>
  <c r="O103" i="4"/>
  <c r="O101" i="4"/>
  <c r="O99" i="4"/>
  <c r="O102" i="4"/>
  <c r="O105" i="4"/>
  <c r="O104" i="4"/>
  <c r="J75" i="4"/>
  <c r="J74" i="4"/>
  <c r="J73" i="4"/>
  <c r="J72" i="4"/>
  <c r="J70" i="4"/>
  <c r="J69" i="4"/>
  <c r="J68" i="4"/>
  <c r="J67" i="4"/>
  <c r="J66" i="4"/>
  <c r="J65" i="4"/>
  <c r="J64" i="4"/>
  <c r="M75" i="4"/>
  <c r="M74" i="4"/>
  <c r="M73" i="4"/>
  <c r="M72" i="4"/>
  <c r="M70" i="4"/>
  <c r="M69" i="4"/>
  <c r="M68" i="4"/>
  <c r="M67" i="4"/>
  <c r="M66" i="4"/>
  <c r="M65" i="4"/>
  <c r="M64" i="4"/>
  <c r="I75" i="4"/>
  <c r="I74" i="4"/>
  <c r="I73" i="4"/>
  <c r="I72" i="4"/>
  <c r="I70" i="4"/>
  <c r="I69" i="4"/>
  <c r="I68" i="4"/>
  <c r="I67" i="4"/>
  <c r="I66" i="4"/>
  <c r="I65" i="4"/>
  <c r="I64" i="4"/>
  <c r="P74" i="4"/>
  <c r="P72" i="4"/>
  <c r="P69" i="4"/>
  <c r="P67" i="4"/>
  <c r="P65" i="4"/>
  <c r="P75" i="4"/>
  <c r="P73" i="4"/>
  <c r="P70" i="4"/>
  <c r="P68" i="4"/>
  <c r="P66" i="4"/>
  <c r="P64" i="4"/>
  <c r="L75" i="4"/>
  <c r="L73" i="4"/>
  <c r="L70" i="4"/>
  <c r="L68" i="4"/>
  <c r="L66" i="4"/>
  <c r="L64" i="4"/>
  <c r="L74" i="4"/>
  <c r="L72" i="4"/>
  <c r="L69" i="4"/>
  <c r="L67" i="4"/>
  <c r="L65" i="4"/>
  <c r="H74" i="4"/>
  <c r="H72" i="4"/>
  <c r="H69" i="4"/>
  <c r="H67" i="4"/>
  <c r="H65" i="4"/>
  <c r="H75" i="4"/>
  <c r="H73" i="4"/>
  <c r="H70" i="4"/>
  <c r="H68" i="4"/>
  <c r="H66" i="4"/>
  <c r="H64" i="4"/>
  <c r="N75" i="4"/>
  <c r="N74" i="4"/>
  <c r="N73" i="4"/>
  <c r="N72" i="4"/>
  <c r="N70" i="4"/>
  <c r="N69" i="4"/>
  <c r="N68" i="4"/>
  <c r="N67" i="4"/>
  <c r="N66" i="4"/>
  <c r="N65" i="4"/>
  <c r="N64" i="4"/>
  <c r="G75" i="4"/>
  <c r="G74" i="4"/>
  <c r="G69" i="4"/>
  <c r="G65" i="4"/>
  <c r="G73" i="4"/>
  <c r="G68" i="4"/>
  <c r="G64" i="4"/>
  <c r="G72" i="4"/>
  <c r="G67" i="4"/>
  <c r="G70" i="4"/>
  <c r="G66" i="4"/>
  <c r="O75" i="4"/>
  <c r="O72" i="4"/>
  <c r="O67" i="4"/>
  <c r="O70" i="4"/>
  <c r="O66" i="4"/>
  <c r="O74" i="4"/>
  <c r="O69" i="4"/>
  <c r="O65" i="4"/>
  <c r="O73" i="4"/>
  <c r="O68" i="4"/>
  <c r="O64" i="4"/>
  <c r="K75" i="4"/>
  <c r="K73" i="4"/>
  <c r="K68" i="4"/>
  <c r="K64" i="4"/>
  <c r="K72" i="4"/>
  <c r="K67" i="4"/>
  <c r="K70" i="4"/>
  <c r="K66" i="4"/>
  <c r="K74" i="4"/>
  <c r="K69" i="4"/>
  <c r="K65" i="4"/>
  <c r="J80" i="4"/>
  <c r="J79" i="4"/>
  <c r="J78" i="4"/>
  <c r="J77" i="4"/>
  <c r="J76" i="4"/>
  <c r="M80" i="4"/>
  <c r="M79" i="4"/>
  <c r="M78" i="4"/>
  <c r="M77" i="4"/>
  <c r="M76" i="4"/>
  <c r="I80" i="4"/>
  <c r="I79" i="4"/>
  <c r="I78" i="4"/>
  <c r="I77" i="4"/>
  <c r="I76" i="4"/>
  <c r="P80" i="4"/>
  <c r="P79" i="4"/>
  <c r="P78" i="4"/>
  <c r="P77" i="4"/>
  <c r="P76" i="4"/>
  <c r="L80" i="4"/>
  <c r="L79" i="4"/>
  <c r="L78" i="4"/>
  <c r="L77" i="4"/>
  <c r="L76" i="4"/>
  <c r="H80" i="4"/>
  <c r="H79" i="4"/>
  <c r="H78" i="4"/>
  <c r="H77" i="4"/>
  <c r="H76" i="4"/>
  <c r="N80" i="4"/>
  <c r="N79" i="4"/>
  <c r="N78" i="4"/>
  <c r="N77" i="4"/>
  <c r="N76" i="4"/>
  <c r="G79" i="4"/>
  <c r="G78" i="4"/>
  <c r="G77" i="4"/>
  <c r="G76" i="4"/>
  <c r="G80" i="4"/>
  <c r="O79" i="4"/>
  <c r="O78" i="4"/>
  <c r="O77" i="4"/>
  <c r="O80" i="4"/>
  <c r="O76" i="4"/>
  <c r="K80" i="4"/>
  <c r="K79" i="4"/>
  <c r="K78" i="4"/>
  <c r="K77" i="4"/>
  <c r="K76" i="4"/>
  <c r="N56" i="4"/>
  <c r="N55" i="4"/>
  <c r="N54" i="4"/>
  <c r="J56" i="4"/>
  <c r="J55" i="4"/>
  <c r="J54" i="4"/>
  <c r="M56" i="4"/>
  <c r="M55" i="4"/>
  <c r="M54" i="4"/>
  <c r="I56" i="4"/>
  <c r="I55" i="4"/>
  <c r="I54" i="4"/>
  <c r="P56" i="4"/>
  <c r="P55" i="4"/>
  <c r="P54" i="4"/>
  <c r="L56" i="4"/>
  <c r="L55" i="4"/>
  <c r="L54" i="4"/>
  <c r="H56" i="4"/>
  <c r="H55" i="4"/>
  <c r="H54" i="4"/>
  <c r="G56" i="4"/>
  <c r="G55" i="4"/>
  <c r="G54" i="4"/>
  <c r="O56" i="4"/>
  <c r="O55" i="4"/>
  <c r="O54" i="4"/>
  <c r="K56" i="4"/>
  <c r="K55" i="4"/>
  <c r="K54" i="4"/>
  <c r="M59" i="4"/>
  <c r="M58" i="4"/>
  <c r="M57" i="4"/>
  <c r="P59" i="4"/>
  <c r="P58" i="4"/>
  <c r="P57" i="4"/>
  <c r="L59" i="4"/>
  <c r="L58" i="4"/>
  <c r="L57" i="4"/>
  <c r="H59" i="4"/>
  <c r="H58" i="4"/>
  <c r="H57" i="4"/>
  <c r="N59" i="4"/>
  <c r="N58" i="4"/>
  <c r="N57" i="4"/>
  <c r="J59" i="4"/>
  <c r="J58" i="4"/>
  <c r="J57" i="4"/>
  <c r="I59" i="4"/>
  <c r="I58" i="4"/>
  <c r="I57" i="4"/>
  <c r="G59" i="4"/>
  <c r="G57" i="4"/>
  <c r="G58" i="4"/>
  <c r="O59" i="4"/>
  <c r="O58" i="4"/>
  <c r="O57" i="4"/>
  <c r="K59" i="4"/>
  <c r="K58" i="4"/>
  <c r="K57" i="4"/>
  <c r="J51" i="4"/>
  <c r="J50" i="4"/>
  <c r="J49" i="4"/>
  <c r="M51" i="4"/>
  <c r="M50" i="4"/>
  <c r="M49" i="4"/>
  <c r="P51" i="4"/>
  <c r="P50" i="4"/>
  <c r="P49" i="4"/>
  <c r="L51" i="4"/>
  <c r="L50" i="4"/>
  <c r="L49" i="4"/>
  <c r="H51" i="4"/>
  <c r="H50" i="4"/>
  <c r="H49" i="4"/>
  <c r="N51" i="4"/>
  <c r="N50" i="4"/>
  <c r="N49" i="4"/>
  <c r="I51" i="4"/>
  <c r="I50" i="4"/>
  <c r="I49" i="4"/>
  <c r="G51" i="4"/>
  <c r="G50" i="4"/>
  <c r="G49" i="4"/>
  <c r="O50" i="4"/>
  <c r="O51" i="4"/>
  <c r="O49" i="4"/>
  <c r="K50" i="4"/>
  <c r="K49" i="4"/>
  <c r="K51" i="4"/>
  <c r="N43" i="4"/>
  <c r="N42" i="4"/>
  <c r="M43" i="4"/>
  <c r="M42" i="4"/>
  <c r="P43" i="4"/>
  <c r="P42" i="4"/>
  <c r="L43" i="4"/>
  <c r="L42" i="4"/>
  <c r="H43" i="4"/>
  <c r="H42" i="4"/>
  <c r="J42" i="4"/>
  <c r="J43" i="4"/>
  <c r="I43" i="4"/>
  <c r="I42" i="4"/>
  <c r="G43" i="4"/>
  <c r="G42" i="4"/>
  <c r="O43" i="4"/>
  <c r="O42" i="4"/>
  <c r="K43" i="4"/>
  <c r="K42" i="4"/>
  <c r="M44" i="4"/>
  <c r="M40" i="4"/>
  <c r="M39" i="4"/>
  <c r="I44" i="4"/>
  <c r="I40" i="4"/>
  <c r="I39" i="4"/>
  <c r="N44" i="4"/>
  <c r="N40" i="4"/>
  <c r="N39" i="4"/>
  <c r="P44" i="4"/>
  <c r="P40" i="4"/>
  <c r="P39" i="4"/>
  <c r="L44" i="4"/>
  <c r="L40" i="4"/>
  <c r="L39" i="4"/>
  <c r="H44" i="4"/>
  <c r="H40" i="4"/>
  <c r="H39" i="4"/>
  <c r="J44" i="4"/>
  <c r="J40" i="4"/>
  <c r="J39" i="4"/>
  <c r="G40" i="4"/>
  <c r="G39" i="4"/>
  <c r="O44" i="4"/>
  <c r="O39" i="4"/>
  <c r="O40" i="4"/>
  <c r="K44" i="4"/>
  <c r="K39" i="4"/>
  <c r="K40" i="4"/>
  <c r="G36" i="4"/>
  <c r="G44" i="4"/>
  <c r="F31" i="4"/>
  <c r="G14" i="4"/>
  <c r="F23" i="4"/>
  <c r="I4" i="3"/>
  <c r="H15" i="3"/>
  <c r="H24" i="3" s="1"/>
  <c r="G45" i="4"/>
  <c r="G38" i="4"/>
  <c r="G37" i="4"/>
  <c r="K38" i="4"/>
  <c r="K37" i="4"/>
  <c r="K36" i="4"/>
  <c r="K45" i="4"/>
  <c r="K53" i="4"/>
  <c r="K47" i="4"/>
  <c r="K60" i="4"/>
  <c r="K48" i="4"/>
  <c r="K52" i="4"/>
  <c r="G62" i="4"/>
  <c r="G63" i="4"/>
  <c r="O62" i="4"/>
  <c r="O63" i="4"/>
  <c r="K63" i="4"/>
  <c r="K62" i="4"/>
  <c r="H82" i="4"/>
  <c r="O82" i="4"/>
  <c r="N37" i="4"/>
  <c r="N45" i="4"/>
  <c r="N36" i="4"/>
  <c r="N38" i="4"/>
  <c r="J37" i="4"/>
  <c r="J45" i="4"/>
  <c r="J36" i="4"/>
  <c r="J38" i="4"/>
  <c r="N52" i="4"/>
  <c r="N53" i="4"/>
  <c r="N47" i="4"/>
  <c r="N60" i="4"/>
  <c r="N48" i="4"/>
  <c r="J52" i="4"/>
  <c r="J53" i="4"/>
  <c r="J48" i="4"/>
  <c r="J60" i="4"/>
  <c r="J47" i="4"/>
  <c r="N63" i="4"/>
  <c r="N62" i="4"/>
  <c r="J63" i="4"/>
  <c r="J62" i="4"/>
  <c r="J82" i="4"/>
  <c r="O38" i="4"/>
  <c r="O37" i="4"/>
  <c r="O45" i="4"/>
  <c r="O36" i="4"/>
  <c r="I48" i="4"/>
  <c r="I52" i="4"/>
  <c r="I60" i="4"/>
  <c r="I53" i="4"/>
  <c r="I47" i="4"/>
  <c r="M62" i="4"/>
  <c r="M63" i="4"/>
  <c r="I62" i="4"/>
  <c r="I63" i="4"/>
  <c r="L82" i="4"/>
  <c r="G53" i="4"/>
  <c r="G47" i="4"/>
  <c r="G52" i="4"/>
  <c r="G60" i="4"/>
  <c r="G48" i="4"/>
  <c r="O53" i="4"/>
  <c r="O47" i="4"/>
  <c r="O60" i="4"/>
  <c r="O52" i="4"/>
  <c r="O48" i="4"/>
  <c r="M36" i="4"/>
  <c r="M37" i="4"/>
  <c r="M45" i="4"/>
  <c r="M38" i="4"/>
  <c r="I36" i="4"/>
  <c r="I37" i="4"/>
  <c r="I45" i="4"/>
  <c r="I38" i="4"/>
  <c r="M48" i="4"/>
  <c r="M52" i="4"/>
  <c r="M47" i="4"/>
  <c r="M53" i="4"/>
  <c r="M60" i="4"/>
  <c r="H32" i="4"/>
  <c r="H33" i="4"/>
  <c r="P38" i="4"/>
  <c r="P36" i="4"/>
  <c r="P45" i="4"/>
  <c r="P37" i="4"/>
  <c r="L38" i="4"/>
  <c r="L36" i="4"/>
  <c r="L37" i="4"/>
  <c r="L45" i="4"/>
  <c r="H38" i="4"/>
  <c r="H36" i="4"/>
  <c r="H37" i="4"/>
  <c r="H45" i="4"/>
  <c r="P47" i="4"/>
  <c r="P60" i="4"/>
  <c r="P48" i="4"/>
  <c r="P52" i="4"/>
  <c r="P53" i="4"/>
  <c r="L47" i="4"/>
  <c r="L60" i="4"/>
  <c r="L48" i="4"/>
  <c r="L53" i="4"/>
  <c r="L52" i="4"/>
  <c r="H47" i="4"/>
  <c r="H60" i="4"/>
  <c r="H48" i="4"/>
  <c r="H52" i="4"/>
  <c r="H53" i="4"/>
  <c r="P62" i="4"/>
  <c r="P63" i="4"/>
  <c r="L62" i="4"/>
  <c r="L63" i="4"/>
  <c r="H62" i="4"/>
  <c r="H63" i="4"/>
  <c r="M82" i="4"/>
  <c r="H6" i="3"/>
  <c r="H5" i="3"/>
  <c r="N15" i="4"/>
  <c r="M15" i="4"/>
  <c r="L15" i="4"/>
  <c r="G15" i="4"/>
  <c r="K15" i="4"/>
  <c r="J15" i="4"/>
  <c r="O15" i="4"/>
  <c r="I15" i="4"/>
  <c r="P15" i="4"/>
  <c r="G28" i="4" l="1"/>
  <c r="G29" i="4"/>
  <c r="G30" i="4"/>
  <c r="I25" i="4"/>
  <c r="I26" i="4"/>
  <c r="I27" i="4"/>
  <c r="I24" i="4"/>
  <c r="G10" i="4"/>
  <c r="E17" i="1" s="1"/>
  <c r="G24" i="4"/>
  <c r="J4" i="3"/>
  <c r="I15" i="3"/>
  <c r="I24" i="3" s="1"/>
  <c r="P32" i="4"/>
  <c r="P33" i="4"/>
  <c r="L27" i="4"/>
  <c r="L26" i="4"/>
  <c r="L24" i="4"/>
  <c r="L25" i="4"/>
  <c r="L10" i="4"/>
  <c r="J17" i="1" s="1"/>
  <c r="M24" i="4"/>
  <c r="M27" i="4"/>
  <c r="M25" i="4"/>
  <c r="M10" i="4"/>
  <c r="K17" i="1" s="1"/>
  <c r="M26" i="4"/>
  <c r="K33" i="4"/>
  <c r="K32" i="4"/>
  <c r="O26" i="4"/>
  <c r="O25" i="4"/>
  <c r="O10" i="4"/>
  <c r="M17" i="1" s="1"/>
  <c r="O27" i="4"/>
  <c r="O24" i="4"/>
  <c r="I13" i="4"/>
  <c r="I7" i="4" s="1"/>
  <c r="G8" i="1" s="1"/>
  <c r="I32" i="4"/>
  <c r="I33" i="4"/>
  <c r="I10" i="4"/>
  <c r="G17" i="1" s="1"/>
  <c r="G26" i="4"/>
  <c r="G25" i="4"/>
  <c r="G27" i="4"/>
  <c r="N25" i="4"/>
  <c r="N10" i="4"/>
  <c r="L17" i="1" s="1"/>
  <c r="N24" i="4"/>
  <c r="N26" i="4"/>
  <c r="N27" i="4"/>
  <c r="O32" i="4"/>
  <c r="O33" i="4"/>
  <c r="K26" i="4"/>
  <c r="K25" i="4"/>
  <c r="K10" i="4"/>
  <c r="I17" i="1" s="1"/>
  <c r="K27" i="4"/>
  <c r="K24" i="4"/>
  <c r="L32" i="4"/>
  <c r="L33" i="4"/>
  <c r="M32" i="4"/>
  <c r="M33" i="4"/>
  <c r="P27" i="4"/>
  <c r="P26" i="4"/>
  <c r="P24" i="4"/>
  <c r="P25" i="4"/>
  <c r="P10" i="4"/>
  <c r="N17" i="1" s="1"/>
  <c r="J25" i="4"/>
  <c r="J10" i="4"/>
  <c r="H17" i="1" s="1"/>
  <c r="J24" i="4"/>
  <c r="J26" i="4"/>
  <c r="J27" i="4"/>
  <c r="J33" i="4"/>
  <c r="J32" i="4"/>
  <c r="G33" i="4"/>
  <c r="G32" i="4"/>
  <c r="N33" i="4"/>
  <c r="N32" i="4"/>
  <c r="H13" i="4"/>
  <c r="H7" i="4" s="1"/>
  <c r="F8" i="1" s="1"/>
  <c r="H10" i="4"/>
  <c r="F17" i="1" s="1"/>
  <c r="H27" i="4"/>
  <c r="H26" i="4"/>
  <c r="H24" i="4"/>
  <c r="H25" i="4"/>
  <c r="I5" i="3"/>
  <c r="I6" i="3"/>
  <c r="O13" i="4"/>
  <c r="P13" i="4"/>
  <c r="L13" i="4"/>
  <c r="M13" i="4"/>
  <c r="J13" i="4"/>
  <c r="G13" i="4"/>
  <c r="G7" i="4" s="1"/>
  <c r="E8" i="1" s="1"/>
  <c r="K13" i="4"/>
  <c r="N13" i="4"/>
  <c r="K4" i="3" l="1"/>
  <c r="J15" i="3"/>
  <c r="J24" i="3" s="1"/>
  <c r="G22" i="4"/>
  <c r="J5" i="3"/>
  <c r="J6" i="3"/>
  <c r="O7" i="4"/>
  <c r="M8" i="1" s="1"/>
  <c r="N7" i="4"/>
  <c r="L8" i="1" s="1"/>
  <c r="M7" i="4"/>
  <c r="K8" i="1" s="1"/>
  <c r="P7" i="4"/>
  <c r="N8" i="1" s="1"/>
  <c r="K7" i="4"/>
  <c r="I8" i="1" s="1"/>
  <c r="J7" i="4"/>
  <c r="H8" i="1" s="1"/>
  <c r="L7" i="4"/>
  <c r="J8" i="1" s="1"/>
  <c r="L4" i="3" l="1"/>
  <c r="K15" i="3"/>
  <c r="K24" i="3" s="1"/>
  <c r="K5" i="3"/>
  <c r="K6" i="3"/>
  <c r="G6" i="4"/>
  <c r="G4" i="4"/>
  <c r="M4" i="3" l="1"/>
  <c r="L15" i="3"/>
  <c r="L24" i="3" s="1"/>
  <c r="L5" i="3"/>
  <c r="L6" i="3"/>
  <c r="H6" i="4"/>
  <c r="I5" i="4" s="1"/>
  <c r="H5" i="4"/>
  <c r="H4" i="4"/>
  <c r="G40" i="3"/>
  <c r="G11" i="3" s="1"/>
  <c r="F16" i="1" s="1"/>
  <c r="H40" i="3"/>
  <c r="H11" i="3" s="1"/>
  <c r="G16" i="1" s="1"/>
  <c r="I40" i="3"/>
  <c r="I11" i="3" s="1"/>
  <c r="H16" i="1" s="1"/>
  <c r="K40" i="3"/>
  <c r="K11" i="3" s="1"/>
  <c r="J16" i="1" s="1"/>
  <c r="M40" i="3"/>
  <c r="M11" i="3" s="1"/>
  <c r="L16" i="1" s="1"/>
  <c r="N40" i="3"/>
  <c r="N11" i="3" s="1"/>
  <c r="M16" i="1" s="1"/>
  <c r="F40" i="3"/>
  <c r="F11" i="3" s="1"/>
  <c r="J40" i="3"/>
  <c r="G35" i="3"/>
  <c r="H35" i="3"/>
  <c r="I35" i="3"/>
  <c r="J35" i="3"/>
  <c r="K35" i="3"/>
  <c r="L35" i="3"/>
  <c r="M35" i="3"/>
  <c r="N35" i="3"/>
  <c r="O35" i="3"/>
  <c r="G36" i="3"/>
  <c r="H36" i="3"/>
  <c r="I36" i="3"/>
  <c r="J36" i="3"/>
  <c r="K36" i="3"/>
  <c r="L36" i="3"/>
  <c r="M36" i="3"/>
  <c r="N36" i="3"/>
  <c r="O36" i="3"/>
  <c r="G37" i="3"/>
  <c r="H37" i="3"/>
  <c r="I37" i="3"/>
  <c r="J37" i="3"/>
  <c r="K37" i="3"/>
  <c r="L37" i="3"/>
  <c r="M37" i="3"/>
  <c r="N37" i="3"/>
  <c r="O37" i="3"/>
  <c r="G38" i="3"/>
  <c r="H38" i="3"/>
  <c r="I38" i="3"/>
  <c r="J38" i="3"/>
  <c r="K38" i="3"/>
  <c r="L38" i="3"/>
  <c r="M38" i="3"/>
  <c r="N38" i="3"/>
  <c r="O38" i="3"/>
  <c r="G39" i="3"/>
  <c r="H39" i="3"/>
  <c r="I39" i="3"/>
  <c r="J39" i="3"/>
  <c r="K39" i="3"/>
  <c r="L39" i="3"/>
  <c r="M39" i="3"/>
  <c r="N39" i="3"/>
  <c r="O39" i="3"/>
  <c r="F36" i="3"/>
  <c r="F37" i="3"/>
  <c r="F38" i="3"/>
  <c r="F39" i="3"/>
  <c r="N4" i="3" l="1"/>
  <c r="M15" i="3"/>
  <c r="M24" i="3" s="1"/>
  <c r="E16" i="1"/>
  <c r="H34" i="3"/>
  <c r="H10" i="3" s="1"/>
  <c r="G15" i="1" s="1"/>
  <c r="M34" i="3"/>
  <c r="M10" i="3" s="1"/>
  <c r="L15" i="1" s="1"/>
  <c r="J11" i="3"/>
  <c r="I16" i="1" s="1"/>
  <c r="L34" i="3"/>
  <c r="L40" i="3"/>
  <c r="G9" i="1"/>
  <c r="K34" i="3"/>
  <c r="K10" i="3" s="1"/>
  <c r="J15" i="1" s="1"/>
  <c r="O40" i="3"/>
  <c r="J34" i="3"/>
  <c r="J10" i="3" s="1"/>
  <c r="I15" i="1" s="1"/>
  <c r="M5" i="3"/>
  <c r="M6" i="3"/>
  <c r="F34" i="3"/>
  <c r="F10" i="3" s="1"/>
  <c r="E15" i="1" s="1"/>
  <c r="N34" i="3"/>
  <c r="N10" i="3" s="1"/>
  <c r="M15" i="1" s="1"/>
  <c r="G34" i="3"/>
  <c r="G10" i="3" s="1"/>
  <c r="F15" i="1" s="1"/>
  <c r="O34" i="3"/>
  <c r="I34" i="3"/>
  <c r="I10" i="3" s="1"/>
  <c r="H15" i="1" s="1"/>
  <c r="K9" i="1"/>
  <c r="L9" i="1"/>
  <c r="I4" i="4"/>
  <c r="I6" i="4"/>
  <c r="N22" i="4"/>
  <c r="N9" i="4" s="1"/>
  <c r="L14" i="1" s="1"/>
  <c r="O4" i="3" l="1"/>
  <c r="N15" i="3"/>
  <c r="N24" i="3" s="1"/>
  <c r="L10" i="1"/>
  <c r="L7" i="1" s="1"/>
  <c r="G10" i="1"/>
  <c r="G7" i="1" s="1"/>
  <c r="K10" i="1"/>
  <c r="K7" i="1" s="1"/>
  <c r="M9" i="1"/>
  <c r="E9" i="1"/>
  <c r="I9" i="1"/>
  <c r="N9" i="1"/>
  <c r="F9" i="1"/>
  <c r="J9" i="1"/>
  <c r="H9" i="1"/>
  <c r="N6" i="3"/>
  <c r="N5" i="3"/>
  <c r="K18" i="1"/>
  <c r="J4" i="4"/>
  <c r="J6" i="4"/>
  <c r="J5" i="4"/>
  <c r="L22" i="4"/>
  <c r="L9" i="4" s="1"/>
  <c r="J14" i="1" s="1"/>
  <c r="K22" i="4"/>
  <c r="K9" i="4" s="1"/>
  <c r="I14" i="1" s="1"/>
  <c r="O22" i="4"/>
  <c r="O9" i="4" s="1"/>
  <c r="M14" i="1" s="1"/>
  <c r="M22" i="4"/>
  <c r="M9" i="4" s="1"/>
  <c r="K14" i="1" s="1"/>
  <c r="P22" i="4"/>
  <c r="P9" i="4" s="1"/>
  <c r="N14" i="1" s="1"/>
  <c r="J22" i="4"/>
  <c r="J9" i="4" s="1"/>
  <c r="H14" i="1" s="1"/>
  <c r="I22" i="4"/>
  <c r="I9" i="4" s="1"/>
  <c r="G14" i="1" s="1"/>
  <c r="H22" i="4"/>
  <c r="H9" i="4" s="1"/>
  <c r="F14" i="1" s="1"/>
  <c r="G9" i="4"/>
  <c r="N8" i="4"/>
  <c r="O10" i="3"/>
  <c r="N15" i="1" s="1"/>
  <c r="O11" i="3"/>
  <c r="N16" i="1" s="1"/>
  <c r="L10" i="3"/>
  <c r="K15" i="1" s="1"/>
  <c r="L11" i="3"/>
  <c r="K16" i="1" s="1"/>
  <c r="I18" i="1"/>
  <c r="N18" i="1"/>
  <c r="M3" i="3" l="1"/>
  <c r="N3" i="4"/>
  <c r="H3" i="3"/>
  <c r="I3" i="4"/>
  <c r="L3" i="3"/>
  <c r="M3" i="4"/>
  <c r="O15" i="3"/>
  <c r="O24" i="3" s="1"/>
  <c r="F10" i="1"/>
  <c r="F7" i="1" s="1"/>
  <c r="N10" i="1"/>
  <c r="N7" i="1" s="1"/>
  <c r="H10" i="1"/>
  <c r="H7" i="1" s="1"/>
  <c r="I10" i="1"/>
  <c r="I7" i="1" s="1"/>
  <c r="J10" i="1"/>
  <c r="J7" i="1" s="1"/>
  <c r="E10" i="1"/>
  <c r="E7" i="1" s="1"/>
  <c r="M10" i="1"/>
  <c r="M7" i="1" s="1"/>
  <c r="E18" i="1"/>
  <c r="F9" i="3"/>
  <c r="I13" i="1"/>
  <c r="N13" i="1"/>
  <c r="K13" i="1"/>
  <c r="G8" i="4"/>
  <c r="E14" i="1"/>
  <c r="O5" i="3"/>
  <c r="O6" i="3"/>
  <c r="J18" i="1"/>
  <c r="J13" i="1" s="1"/>
  <c r="K6" i="4"/>
  <c r="K5" i="4"/>
  <c r="K4" i="4"/>
  <c r="P8" i="4"/>
  <c r="M8" i="4"/>
  <c r="I8" i="4"/>
  <c r="H8" i="4"/>
  <c r="K8" i="4"/>
  <c r="J8" i="4"/>
  <c r="O8" i="4"/>
  <c r="L8" i="4"/>
  <c r="M18" i="1"/>
  <c r="M13" i="1" s="1"/>
  <c r="L18" i="1"/>
  <c r="L13" i="1" s="1"/>
  <c r="G18" i="1"/>
  <c r="G13" i="1" s="1"/>
  <c r="F18" i="1"/>
  <c r="F13" i="1" s="1"/>
  <c r="H18" i="1"/>
  <c r="H13" i="1" s="1"/>
  <c r="F3" i="3" l="1"/>
  <c r="G3" i="4"/>
  <c r="K3" i="3"/>
  <c r="L3" i="4"/>
  <c r="G3" i="3"/>
  <c r="H3" i="4"/>
  <c r="J3" i="3"/>
  <c r="K3" i="4"/>
  <c r="I3" i="3"/>
  <c r="J3" i="4"/>
  <c r="N3" i="3"/>
  <c r="O3" i="4"/>
  <c r="O3" i="3"/>
  <c r="P3" i="4"/>
  <c r="E13" i="1"/>
  <c r="L4" i="4"/>
  <c r="L6" i="4"/>
  <c r="L5" i="4"/>
  <c r="J9" i="3"/>
  <c r="H9" i="3"/>
  <c r="G9" i="3"/>
  <c r="I9" i="3"/>
  <c r="M6" i="4" l="1"/>
  <c r="M5" i="4"/>
  <c r="M4" i="4"/>
  <c r="K9" i="3"/>
  <c r="N4" i="4" l="1"/>
  <c r="N6" i="4"/>
  <c r="N5" i="4"/>
  <c r="L9" i="3"/>
  <c r="O6" i="4" l="1"/>
  <c r="O5" i="4"/>
  <c r="O4" i="4"/>
  <c r="M9" i="3"/>
  <c r="P4" i="4" l="1"/>
  <c r="P6" i="4"/>
  <c r="P5" i="4"/>
  <c r="N9" i="3"/>
  <c r="O9" i="3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E4" i="1"/>
  <c r="F4" i="1" s="1"/>
  <c r="G4" i="1" s="1"/>
  <c r="H4" i="1" s="1"/>
  <c r="I4" i="1" s="1"/>
  <c r="J4" i="1" s="1"/>
  <c r="K4" i="1" s="1"/>
  <c r="L4" i="1" s="1"/>
  <c r="M4" i="1" s="1"/>
  <c r="N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<sst xmlns="http://schemas.openxmlformats.org/spreadsheetml/2006/main" count="397" uniqueCount="133">
  <si>
    <t>Примечания</t>
  </si>
  <si>
    <t>Ед. изм.</t>
  </si>
  <si>
    <t>Указать нужные данные (здесь приведены - в качестве примера)</t>
  </si>
  <si>
    <t>удельный расход</t>
  </si>
  <si>
    <t>Сроки поставки</t>
  </si>
  <si>
    <t>Марка, модель</t>
  </si>
  <si>
    <t>Экскаватор</t>
  </si>
  <si>
    <t>м3</t>
  </si>
  <si>
    <t>КТГ при нормативной эксплуатации</t>
  </si>
  <si>
    <t>Геометрическая емкость ковша экскаватора</t>
  </si>
  <si>
    <t>Время цикла</t>
  </si>
  <si>
    <t>сек</t>
  </si>
  <si>
    <t>Расходные материалы:</t>
  </si>
  <si>
    <t>канаты</t>
  </si>
  <si>
    <t>зубья ковша</t>
  </si>
  <si>
    <t>цена за ед.</t>
  </si>
  <si>
    <t>режущие кромки</t>
  </si>
  <si>
    <t>защита ковша и т.д.</t>
  </si>
  <si>
    <t>кабели</t>
  </si>
  <si>
    <t>Здесь перечень приведен в качестве примера</t>
  </si>
  <si>
    <t>мес</t>
  </si>
  <si>
    <t>Мощность двигателя</t>
  </si>
  <si>
    <t>л.с.</t>
  </si>
  <si>
    <t>Электроэнергия / дизтопливо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</si>
  <si>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</si>
  <si>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</si>
  <si>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</si>
  <si>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</si>
  <si>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</si>
  <si>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</si>
  <si>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Кол-во</t>
  </si>
  <si>
    <t>Гусеничная лента</t>
  </si>
  <si>
    <t>Детализация затрат</t>
  </si>
  <si>
    <t>стоимость за ед., $</t>
  </si>
  <si>
    <t>ТО-1</t>
  </si>
  <si>
    <t>ТО-2</t>
  </si>
  <si>
    <t>ТО-3</t>
  </si>
  <si>
    <t>ТО-4</t>
  </si>
  <si>
    <t>ТО-5</t>
  </si>
  <si>
    <t>$</t>
  </si>
  <si>
    <t>Двигатель</t>
  </si>
  <si>
    <t>Занято человек</t>
  </si>
  <si>
    <t>часов</t>
  </si>
  <si>
    <t>текущий ремонт (ходовая часть)</t>
  </si>
  <si>
    <t>текущий ремонт (рабочее оборудование)</t>
  </si>
  <si>
    <t>другое</t>
  </si>
  <si>
    <t>длительность простоев на ТО</t>
  </si>
  <si>
    <t>фильтр</t>
  </si>
  <si>
    <t>Каталожный номер</t>
  </si>
  <si>
    <t>масло</t>
  </si>
  <si>
    <t>смазка</t>
  </si>
  <si>
    <t>Простои оборудования на ТО</t>
  </si>
  <si>
    <t>Кол-во ТО в год</t>
  </si>
  <si>
    <t>Интервал ТО</t>
  </si>
  <si>
    <t>сервис (трудозатраты) на ТО</t>
  </si>
  <si>
    <t>долларов/год</t>
  </si>
  <si>
    <t>всего простоев на ТО, часов</t>
  </si>
  <si>
    <t>Затраты на ТО</t>
  </si>
  <si>
    <t>ТО, включая масла и смазки</t>
  </si>
  <si>
    <t>Наработка на начало года</t>
  </si>
  <si>
    <t>Наработка на конец года</t>
  </si>
  <si>
    <t>м/час</t>
  </si>
  <si>
    <t>Длительность простоя на одном ТО, час</t>
  </si>
  <si>
    <t>Простои в ремонтах</t>
  </si>
  <si>
    <t>Другое</t>
  </si>
  <si>
    <t>Простоев в год, час</t>
  </si>
  <si>
    <t>Текущие ремонты
(если планируются)</t>
  </si>
  <si>
    <t>простои на ТО</t>
  </si>
  <si>
    <t>простои в ремонтах</t>
  </si>
  <si>
    <t>час</t>
  </si>
  <si>
    <t>Расчетный</t>
  </si>
  <si>
    <t>сервис (трудозатраты) - ТО</t>
  </si>
  <si>
    <t>сервис (трудозатраты) - ремонты</t>
  </si>
  <si>
    <t>ТО, включая смазочные</t>
  </si>
  <si>
    <t>тыс.дол./год</t>
  </si>
  <si>
    <t>Ресурс до замены / ремонта, м/ч</t>
  </si>
  <si>
    <t>Кол-во МТР</t>
  </si>
  <si>
    <t>$/год</t>
  </si>
  <si>
    <t>Стоимость за ед., $</t>
  </si>
  <si>
    <t>ячейки к заполнению поставщиком</t>
  </si>
  <si>
    <t>Период (год)</t>
  </si>
  <si>
    <t>Год службы (год)</t>
  </si>
  <si>
    <t>Простои в ремонте (час)</t>
  </si>
  <si>
    <t>Затраты на ремонты ($)</t>
  </si>
  <si>
    <t>формулы для примера, можно менять под необходимые параметры</t>
  </si>
  <si>
    <t>ежесменный осмотр (20 минут в смену)</t>
  </si>
  <si>
    <t>Вид ремонта</t>
  </si>
  <si>
    <t>Ед.изм.</t>
  </si>
  <si>
    <t>Всего простоев</t>
  </si>
  <si>
    <t>Трудозатраты на ремонты (ч/час)</t>
  </si>
  <si>
    <t>ч/часов</t>
  </si>
  <si>
    <t>Всего ч/часов</t>
  </si>
  <si>
    <t>Стоимость ч/часа</t>
  </si>
  <si>
    <t>Расчетный КТГ</t>
  </si>
  <si>
    <t>Емкость ковша с шапкой</t>
  </si>
  <si>
    <t>ТО-0</t>
  </si>
  <si>
    <t>антифриз</t>
  </si>
  <si>
    <t>ППР 12000</t>
  </si>
  <si>
    <t>Система смазки</t>
  </si>
  <si>
    <t>Поворотный подшипник</t>
  </si>
  <si>
    <t>Центральный шарнир</t>
  </si>
  <si>
    <t>Гидрораспределитель</t>
  </si>
  <si>
    <t>Электропроводка</t>
  </si>
  <si>
    <t>Джойстики управления</t>
  </si>
  <si>
    <t>Направляющее колесо</t>
  </si>
  <si>
    <t>Пальцы-втулки в районе ковша</t>
  </si>
  <si>
    <t>АКБ</t>
  </si>
  <si>
    <t>ППР 18000</t>
  </si>
  <si>
    <t>Ремонт гидроцилиндров</t>
  </si>
  <si>
    <t>Гидронасосы</t>
  </si>
  <si>
    <t>Гидромоторы поворота</t>
  </si>
  <si>
    <t>РВД рабочено оборудования</t>
  </si>
  <si>
    <t>ППР 24000</t>
  </si>
  <si>
    <t>Радиаторы и Маслоохладители</t>
  </si>
  <si>
    <t>Гидромоторы хода и маслоохладителей</t>
  </si>
  <si>
    <t>РВД, шланги, патрубки</t>
  </si>
  <si>
    <t>ППР 36000</t>
  </si>
  <si>
    <t>Пальцы-втулки стрелы и рукояти</t>
  </si>
  <si>
    <t>Ремонт редукторов поворота</t>
  </si>
  <si>
    <t>Ремонт редуктора насосов</t>
  </si>
  <si>
    <t>Катки опорные</t>
  </si>
  <si>
    <t>Катки поддерживающие</t>
  </si>
  <si>
    <t>Звёздочка</t>
  </si>
  <si>
    <t>Ремонт редуктора хода</t>
  </si>
  <si>
    <t>Датчики, шланги, клапана</t>
  </si>
  <si>
    <t>шт.</t>
  </si>
  <si>
    <t>л.</t>
  </si>
  <si>
    <t>кг.</t>
  </si>
  <si>
    <t>Непредвиденне простои</t>
  </si>
  <si>
    <t>Непредвиденные простои</t>
  </si>
  <si>
    <t>См.вкладку время цикла</t>
  </si>
  <si>
    <t>См.ниже</t>
  </si>
  <si>
    <t>ISO 7451 Heaped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</si>
</sst>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_ ;[Red]\-0\ "/>
    <numFmt numFmtId="169" formatCode="_-* #,##0.00_р_._-;\-* #,##0.00_р_._-;_-* &quot;-&quot;??_р_._-;_-@_-"/>
    <numFmt numFmtId="170" formatCode="_-* #,##0_р_._-;\-* #,##0_р_._-;_-* &quot;-&quot;??_р_._-;_-@_-"/>
    <numFmt numFmtId="171" formatCode="_-[$€-2]\ * #,##0_-;\-[$€-2]\ * #,##0_-;_-[$€-2]\ * &quot;-&quot;_-;_-@_-"/>
    <numFmt numFmtId="172" formatCode="#,##0;[Red]\-#,##0;\-"/>
    <numFmt numFmtId="173" formatCode="_-* #,##0\ &quot;р.&quot;_-;\-* #,##0\ &quot;р.&quot;_-;_-* &quot;-&quot;\ &quot;р.&quot;_-;_-@_-"/>
    <numFmt numFmtId="174" formatCode="_-* #,##0.00[$€-1]_-;\-* #,##0.00[$€-1]_-;_-* &quot;-&quot;??[$€-1]_-"/>
    <numFmt numFmtId="175" formatCode="[$$-409]#,##0.00"/>
    <numFmt numFmtId="176" formatCode="_-* #,##0&quot;р.&quot;_-;\-* #,##0&quot;р.&quot;_-;_-* &quot;-&quot;&quot;р.&quot;_-;_-@_-"/>
    <numFmt numFmtId="177" formatCode="#.##0\.00"/>
    <numFmt numFmtId="178" formatCode="#\.00"/>
    <numFmt numFmtId="179" formatCode="\$#\.00"/>
    <numFmt numFmtId="180" formatCode="#,##0\ \ "/>
    <numFmt numFmtId="181" formatCode="#,##0.0\ \ "/>
    <numFmt numFmtId="182" formatCode="0.0\ %\ "/>
    <numFmt numFmtId="183" formatCode="#,##0.000\ \ "/>
    <numFmt numFmtId="184" formatCode="0.0%"/>
    <numFmt numFmtId="185" formatCode="#,##0.0;[Red]\(#,##0.0\)"/>
    <numFmt numFmtId="186" formatCode="General_)"/>
    <numFmt numFmtId="187" formatCode="#\ ##0\ "/>
    <numFmt numFmtId="188" formatCode="_(* #,##0.0_);_(* \(#,##0.00\);_(* &quot;-&quot;??_);_(@_)"/>
    <numFmt numFmtId="189" formatCode="0.000"/>
    <numFmt numFmtId="190" formatCode="&quot;fl&quot;#,##0_);\(&quot;fl&quot;#,##0\)"/>
    <numFmt numFmtId="191" formatCode="&quot;fl&quot;#,##0_);[Red]\(&quot;fl&quot;#,##0\)"/>
    <numFmt numFmtId="192" formatCode="&quot;fl&quot;#,##0.00_);\(&quot;fl&quot;#,##0.00\)"/>
    <numFmt numFmtId="193" formatCode="0.000_)"/>
    <numFmt numFmtId="194" formatCode="_ * #,##0.00_)_р_._ ;_ * \(#,##0.00\)_р_._ ;_ * &quot;-&quot;??_)_р_._ ;_ @_ "/>
    <numFmt numFmtId="195" formatCode="\60\4\7\:"/>
    <numFmt numFmtId="196" formatCode="0.00_);\(0.00\);0.00"/>
    <numFmt numFmtId="197" formatCode="#,##0&quot; Kиs&quot;;[Red]\-#,##0&quot; Kиs&quot;"/>
    <numFmt numFmtId="198" formatCode="\$#,##0\ ;\(\$#,##0\)"/>
    <numFmt numFmtId="199" formatCode="mmm"/>
    <numFmt numFmtId="200" formatCode="\+0\ %\ ;\-0\ %\ ;0\ %\ "/>
    <numFmt numFmtId="201" formatCode="#,##0;\-#,##0;\-"/>
    <numFmt numFmtId="202" formatCode="#,##0;[Red]#,##0;0"/>
    <numFmt numFmtId="203" formatCode="#,##0.0;\-#,##0.0;\-"/>
    <numFmt numFmtId="204" formatCode="#,##0.0;[Red]#,##0.0;0.0"/>
    <numFmt numFmtId="205" formatCode="#,##0.00;\-#,##0.00;\-"/>
    <numFmt numFmtId="206" formatCode="#,##0.00;[Red]#,##0.00;0.00"/>
    <numFmt numFmtId="207" formatCode="#,##0.00;[Red]\-#,##0.00;0.00"/>
    <numFmt numFmtId="208" formatCode="#,##0.000;\-#,##0.000;\-"/>
    <numFmt numFmtId="209" formatCode="#,##0.000;[Red]#,##0.000;0.000"/>
    <numFmt numFmtId="210" formatCode="#,##0.000;\-#,##0.000;0.000"/>
    <numFmt numFmtId="211" formatCode="#,##0.0000;\-#,##0.0000;\-"/>
    <numFmt numFmtId="212" formatCode="#,##0%;\-#,##0%;\-"/>
    <numFmt numFmtId="213" formatCode="#,##0.0%;\-#,##0.0%;\-"/>
    <numFmt numFmtId="214" formatCode="#,##0.00%;\-#,##0.00%;\-"/>
    <numFmt numFmtId="215" formatCode="#,##0.000%;\-#,##0.000%;\-"/>
    <numFmt numFmtId="216" formatCode="#,##0.0000%;\-#,##0.0000%;\-"/>
    <numFmt numFmtId="217" formatCode="#,##0,"/>
    <numFmt numFmtId="218" formatCode="#,##0,,"/>
    <numFmt numFmtId="219" formatCode="\+\ #\ ??/??;[Red]\ \-\ #\ ??/??"/>
    <numFmt numFmtId="220" formatCode="0.0_)"/>
    <numFmt numFmtId="221" formatCode="0.00_);\(0.00\);0.00_)"/>
    <numFmt numFmtId="222" formatCode="#,##0\ \k\t"/>
    <numFmt numFmtId="223" formatCode="_-&quot;$&quot;* #,##0_-;\-&quot;$&quot;* #,##0_-;_-&quot;$&quot;* &quot;-&quot;_-;_-@_-"/>
    <numFmt numFmtId="224" formatCode="_-&quot;$&quot;* #,##0.00_-;\-&quot;$&quot;* #,##0.00_-;_-&quot;$&quot;* &quot;-&quot;??_-;_-@_-"/>
    <numFmt numFmtId="225" formatCode="0.00_)"/>
    <numFmt numFmtId="226" formatCode="_(* #,##0.000000_);_(* \(#,##0.000000\);_(* &quot;-&quot;??_);_(@_)"/>
    <numFmt numFmtId="227" formatCode="[$$-C09]#,##0.0000"/>
    <numFmt numFmtId="228" formatCode="#,##0.00_);\(#,##0.00\);&quot; --- &quot;"/>
    <numFmt numFmtId="229" formatCode="#,"/>
    <numFmt numFmtId="230" formatCode="&quot;fl&quot;#,##0.00_);[Red]\(&quot;fl&quot;#,##0.00\)"/>
    <numFmt numFmtId="231" formatCode="0.00\%;\-0.00\%;0.00\%"/>
    <numFmt numFmtId="232" formatCode="0.00;\-0.00;0.00"/>
    <numFmt numFmtId="233" formatCode="0.00\x;\-0.00\x;0.00\x"/>
    <numFmt numFmtId="234" formatCode="##0.00000"/>
    <numFmt numFmtId="235" formatCode="&quot;$&quot;#,##0"/>
    <numFmt numFmtId="236" formatCode="General;\-General;General;"/>
    <numFmt numFmtId="237" formatCode="_(&quot;fl&quot;* #,##0_);_(&quot;fl&quot;* \(#,##0\);_(&quot;fl&quot;* &quot;-&quot;_);_(@_)"/>
    <numFmt numFmtId="238" formatCode="#,##0;\-#,##0;0"/>
    <numFmt numFmtId="239" formatCode="#,##0.0;\-#,##0.0;0.0"/>
    <numFmt numFmtId="240" formatCode="#,##0.00;\-#,##0.00;#"/>
    <numFmt numFmtId="241" formatCode="0.0000"/>
    <numFmt numFmtId="242" formatCode="0.0%;\-0.0%;"/>
    <numFmt numFmtId="243" formatCode="#,##0.00\ &quot;р.&quot;;[Red]\-#,##0.00\ &quot;р.&quot;"/>
    <numFmt numFmtId="244" formatCode="_-* #,##0\ _р_._-;\-* #,##0\ _р_._-;_-* &quot;-&quot;\ _р_._-;_-@_-"/>
    <numFmt numFmtId="245" formatCode="#,##0\в"/>
    <numFmt numFmtId="246" formatCode="_-* #,##0.00&quot;р.&quot;_-;\-* #,##0.00&quot;р.&quot;_-;_-* &quot;-&quot;??&quot;р.&quot;_-;_-@_-"/>
    <numFmt numFmtId="247" formatCode="[$-409]mmm\-yy;@"/>
    <numFmt numFmtId="248" formatCode="[$-409]mmmmm;@"/>
    <numFmt numFmtId="249" formatCode="#,##0\т"/>
    <numFmt numFmtId="250" formatCode="_-* #,##0_р_._-;\-* #,##0_р_._-;_-* &quot;-&quot;_р_._-;_-@_-"/>
    <numFmt numFmtId="251" formatCode="[$$-409]#,##0"/>
    <numFmt numFmtId="252" formatCode="_-* #,##0_-;\-* #,##0_-;_-* &quot;-&quot;??_-;_-@_-"/>
    <numFmt numFmtId="253" formatCode="_-* #,##0.00\ _₽_-;\-* #,##0.00\ _₽_-;_-* &quot;-&quot;??\ _₽_-;_-@_-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8792">
    <xf numFmtId="0" fontId="0" fillId="0" borderId="0"/>
    <xf numFmtId="0" fontId="3" fillId="0" borderId="0"/>
    <xf numFmtId="169" fontId="3" fillId="0" borderId="0" applyFont="0" applyFill="0" applyBorder="0" applyAlignment="0" applyProtection="0"/>
    <xf numFmtId="0" fontId="7" fillId="0" borderId="0"/>
    <xf numFmtId="0" fontId="3" fillId="0" borderId="0"/>
    <xf numFmtId="0" fontId="13" fillId="0" borderId="0"/>
    <xf numFmtId="173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4" fontId="7" fillId="0" borderId="0"/>
    <xf numFmtId="17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4" fontId="7" fillId="0" borderId="0"/>
    <xf numFmtId="174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0" fontId="7" fillId="0" borderId="0"/>
    <xf numFmtId="0" fontId="13" fillId="0" borderId="0"/>
    <xf numFmtId="175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175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0" fontId="15" fillId="0" borderId="0"/>
    <xf numFmtId="0" fontId="15" fillId="0" borderId="0"/>
    <xf numFmtId="174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4" fontId="15" fillId="0" borderId="0"/>
    <xf numFmtId="174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176" fontId="21" fillId="0" borderId="0">
      <protection locked="0"/>
    </xf>
    <xf numFmtId="174" fontId="22" fillId="0" borderId="0">
      <protection locked="0"/>
    </xf>
    <xf numFmtId="176" fontId="22" fillId="0" borderId="0">
      <protection locked="0"/>
    </xf>
    <xf numFmtId="176" fontId="21" fillId="0" borderId="0">
      <protection locked="0"/>
    </xf>
    <xf numFmtId="174" fontId="22" fillId="0" borderId="0">
      <protection locked="0"/>
    </xf>
    <xf numFmtId="176" fontId="22" fillId="0" borderId="0">
      <protection locked="0"/>
    </xf>
    <xf numFmtId="0" fontId="21" fillId="0" borderId="0">
      <protection locked="0"/>
    </xf>
    <xf numFmtId="17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178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17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6" fontId="21" fillId="0" borderId="0">
      <protection locked="0"/>
    </xf>
    <xf numFmtId="174" fontId="22" fillId="0" borderId="0">
      <protection locked="0"/>
    </xf>
    <xf numFmtId="176" fontId="22" fillId="0" borderId="0">
      <protection locked="0"/>
    </xf>
    <xf numFmtId="176" fontId="21" fillId="0" borderId="3">
      <protection locked="0"/>
    </xf>
    <xf numFmtId="174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176" fontId="22" fillId="0" borderId="3">
      <protection locked="0"/>
    </xf>
    <xf numFmtId="0" fontId="23" fillId="0" borderId="0" applyNumberFormat="0" applyFill="0" applyBorder="0" applyAlignment="0" applyProtection="0"/>
    <xf numFmtId="175" fontId="24" fillId="0" borderId="0"/>
    <xf numFmtId="175" fontId="24" fillId="0" borderId="0"/>
    <xf numFmtId="175" fontId="24" fillId="0" borderId="0"/>
    <xf numFmtId="0" fontId="25" fillId="0" borderId="0">
      <alignment vertical="center"/>
    </xf>
    <xf numFmtId="0" fontId="26" fillId="0" borderId="0">
      <protection locked="0"/>
    </xf>
    <xf numFmtId="17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0" fontId="26" fillId="0" borderId="0">
      <protection locked="0"/>
    </xf>
    <xf numFmtId="17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0" fontId="21" fillId="0" borderId="3">
      <protection locked="0"/>
    </xf>
    <xf numFmtId="174" fontId="13" fillId="0" borderId="3">
      <protection locked="0"/>
    </xf>
    <xf numFmtId="0" fontId="13" fillId="0" borderId="3">
      <protection locked="0"/>
    </xf>
    <xf numFmtId="174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17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1" fillId="0" borderId="0">
      <protection locked="0"/>
    </xf>
    <xf numFmtId="17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174" fontId="22" fillId="0" borderId="0">
      <protection locked="0"/>
    </xf>
    <xf numFmtId="17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174" fontId="13" fillId="0" borderId="0">
      <protection locked="0"/>
    </xf>
    <xf numFmtId="174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17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4" fontId="21" fillId="0" borderId="0">
      <protection locked="0"/>
    </xf>
    <xf numFmtId="180" fontId="7" fillId="0" borderId="0" applyFont="0" applyFill="0" applyBorder="0" applyProtection="0">
      <alignment horizontal="right" vertical="center"/>
    </xf>
    <xf numFmtId="181" fontId="7" fillId="0" borderId="0" applyFont="0" applyFill="0" applyBorder="0" applyProtection="0">
      <alignment horizontal="right" vertical="center"/>
    </xf>
    <xf numFmtId="182" fontId="7" fillId="0" borderId="0" applyFont="0" applyFill="0" applyBorder="0" applyProtection="0">
      <alignment horizontal="right" vertical="center"/>
    </xf>
    <xf numFmtId="183" fontId="6" fillId="0" borderId="0" applyFont="0" applyFill="0" applyBorder="0" applyProtection="0">
      <alignment vertical="center"/>
    </xf>
    <xf numFmtId="184" fontId="28" fillId="0" borderId="0"/>
    <xf numFmtId="0" fontId="15" fillId="0" borderId="0">
      <alignment horizontal="center"/>
    </xf>
    <xf numFmtId="174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4" fontId="29" fillId="3" borderId="0"/>
    <xf numFmtId="174" fontId="29" fillId="3" borderId="0"/>
    <xf numFmtId="0" fontId="30" fillId="4" borderId="0" applyNumberFormat="0" applyBorder="0" applyAlignment="0" applyProtection="0"/>
    <xf numFmtId="174" fontId="30" fillId="5" borderId="0" applyNumberFormat="0" applyBorder="0" applyAlignment="0" applyProtection="0"/>
    <xf numFmtId="175" fontId="31" fillId="5" borderId="0" applyNumberFormat="0" applyBorder="0" applyAlignment="0" applyProtection="0"/>
    <xf numFmtId="0" fontId="30" fillId="6" borderId="0" applyNumberFormat="0" applyBorder="0" applyAlignment="0" applyProtection="0"/>
    <xf numFmtId="174" fontId="30" fillId="7" borderId="0" applyNumberFormat="0" applyBorder="0" applyAlignment="0" applyProtection="0"/>
    <xf numFmtId="175" fontId="31" fillId="7" borderId="0" applyNumberFormat="0" applyBorder="0" applyAlignment="0" applyProtection="0"/>
    <xf numFmtId="0" fontId="30" fillId="6" borderId="0" applyNumberFormat="0" applyBorder="0" applyAlignment="0" applyProtection="0"/>
    <xf numFmtId="174" fontId="30" fillId="8" borderId="0" applyNumberFormat="0" applyBorder="0" applyAlignment="0" applyProtection="0"/>
    <xf numFmtId="175" fontId="31" fillId="8" borderId="0" applyNumberFormat="0" applyBorder="0" applyAlignment="0" applyProtection="0"/>
    <xf numFmtId="0" fontId="30" fillId="9" borderId="0" applyNumberFormat="0" applyBorder="0" applyAlignment="0" applyProtection="0"/>
    <xf numFmtId="174" fontId="30" fillId="10" borderId="0" applyNumberFormat="0" applyBorder="0" applyAlignment="0" applyProtection="0"/>
    <xf numFmtId="175" fontId="31" fillId="10" borderId="0" applyNumberFormat="0" applyBorder="0" applyAlignment="0" applyProtection="0"/>
    <xf numFmtId="0" fontId="30" fillId="4" borderId="0" applyNumberFormat="0" applyBorder="0" applyAlignment="0" applyProtection="0"/>
    <xf numFmtId="174" fontId="30" fillId="11" borderId="0" applyNumberFormat="0" applyBorder="0" applyAlignment="0" applyProtection="0"/>
    <xf numFmtId="175" fontId="31" fillId="11" borderId="0" applyNumberFormat="0" applyBorder="0" applyAlignment="0" applyProtection="0"/>
    <xf numFmtId="0" fontId="30" fillId="6" borderId="0" applyNumberFormat="0" applyBorder="0" applyAlignment="0" applyProtection="0"/>
    <xf numFmtId="174" fontId="30" fillId="9" borderId="0" applyNumberFormat="0" applyBorder="0" applyAlignment="0" applyProtection="0"/>
    <xf numFmtId="175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4" fontId="30" fillId="4" borderId="0" applyNumberFormat="0" applyBorder="0" applyAlignment="0" applyProtection="0"/>
    <xf numFmtId="175" fontId="31" fillId="4" borderId="0" applyNumberFormat="0" applyBorder="0" applyAlignment="0" applyProtection="0"/>
    <xf numFmtId="0" fontId="30" fillId="12" borderId="0" applyNumberFormat="0" applyBorder="0" applyAlignment="0" applyProtection="0"/>
    <xf numFmtId="174" fontId="30" fillId="13" borderId="0" applyNumberFormat="0" applyBorder="0" applyAlignment="0" applyProtection="0"/>
    <xf numFmtId="175" fontId="31" fillId="13" borderId="0" applyNumberFormat="0" applyBorder="0" applyAlignment="0" applyProtection="0"/>
    <xf numFmtId="0" fontId="30" fillId="6" borderId="0" applyNumberFormat="0" applyBorder="0" applyAlignment="0" applyProtection="0"/>
    <xf numFmtId="174" fontId="30" fillId="14" borderId="0" applyNumberFormat="0" applyBorder="0" applyAlignment="0" applyProtection="0"/>
    <xf numFmtId="175" fontId="31" fillId="14" borderId="0" applyNumberFormat="0" applyBorder="0" applyAlignment="0" applyProtection="0"/>
    <xf numFmtId="0" fontId="30" fillId="7" borderId="0" applyNumberFormat="0" applyBorder="0" applyAlignment="0" applyProtection="0"/>
    <xf numFmtId="174" fontId="30" fillId="10" borderId="0" applyNumberFormat="0" applyBorder="0" applyAlignment="0" applyProtection="0"/>
    <xf numFmtId="175" fontId="31" fillId="10" borderId="0" applyNumberFormat="0" applyBorder="0" applyAlignment="0" applyProtection="0"/>
    <xf numFmtId="0" fontId="30" fillId="4" borderId="0" applyNumberFormat="0" applyBorder="0" applyAlignment="0" applyProtection="0"/>
    <xf numFmtId="174" fontId="30" fillId="4" borderId="0" applyNumberFormat="0" applyBorder="0" applyAlignment="0" applyProtection="0"/>
    <xf numFmtId="175" fontId="31" fillId="4" borderId="0" applyNumberFormat="0" applyBorder="0" applyAlignment="0" applyProtection="0"/>
    <xf numFmtId="0" fontId="30" fillId="6" borderId="0" applyNumberFormat="0" applyBorder="0" applyAlignment="0" applyProtection="0"/>
    <xf numFmtId="174" fontId="30" fillId="15" borderId="0" applyNumberFormat="0" applyBorder="0" applyAlignment="0" applyProtection="0"/>
    <xf numFmtId="175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4" fontId="32" fillId="16" borderId="0" applyNumberFormat="0" applyBorder="0" applyAlignment="0" applyProtection="0"/>
    <xf numFmtId="175" fontId="33" fillId="16" borderId="0" applyNumberFormat="0" applyBorder="0" applyAlignment="0" applyProtection="0"/>
    <xf numFmtId="0" fontId="32" fillId="12" borderId="0" applyNumberFormat="0" applyBorder="0" applyAlignment="0" applyProtection="0"/>
    <xf numFmtId="174" fontId="32" fillId="13" borderId="0" applyNumberFormat="0" applyBorder="0" applyAlignment="0" applyProtection="0"/>
    <xf numFmtId="175" fontId="33" fillId="13" borderId="0" applyNumberFormat="0" applyBorder="0" applyAlignment="0" applyProtection="0"/>
    <xf numFmtId="0" fontId="32" fillId="15" borderId="0" applyNumberFormat="0" applyBorder="0" applyAlignment="0" applyProtection="0"/>
    <xf numFmtId="174" fontId="32" fillId="14" borderId="0" applyNumberFormat="0" applyBorder="0" applyAlignment="0" applyProtection="0"/>
    <xf numFmtId="175" fontId="33" fillId="14" borderId="0" applyNumberFormat="0" applyBorder="0" applyAlignment="0" applyProtection="0"/>
    <xf numFmtId="0" fontId="32" fillId="7" borderId="0" applyNumberFormat="0" applyBorder="0" applyAlignment="0" applyProtection="0"/>
    <xf numFmtId="174" fontId="32" fillId="17" borderId="0" applyNumberFormat="0" applyBorder="0" applyAlignment="0" applyProtection="0"/>
    <xf numFmtId="175" fontId="33" fillId="17" borderId="0" applyNumberFormat="0" applyBorder="0" applyAlignment="0" applyProtection="0"/>
    <xf numFmtId="0" fontId="32" fillId="4" borderId="0" applyNumberFormat="0" applyBorder="0" applyAlignment="0" applyProtection="0"/>
    <xf numFmtId="174" fontId="32" fillId="18" borderId="0" applyNumberFormat="0" applyBorder="0" applyAlignment="0" applyProtection="0"/>
    <xf numFmtId="175" fontId="33" fillId="18" borderId="0" applyNumberFormat="0" applyBorder="0" applyAlignment="0" applyProtection="0"/>
    <xf numFmtId="0" fontId="32" fillId="6" borderId="0" applyNumberFormat="0" applyBorder="0" applyAlignment="0" applyProtection="0"/>
    <xf numFmtId="174" fontId="32" fillId="19" borderId="0" applyNumberFormat="0" applyBorder="0" applyAlignment="0" applyProtection="0"/>
    <xf numFmtId="175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4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4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0" fontId="32" fillId="24" borderId="0" applyNumberFormat="0" applyBorder="0" applyAlignment="0" applyProtection="0"/>
    <xf numFmtId="174" fontId="32" fillId="25" borderId="0" applyNumberFormat="0" applyBorder="0" applyAlignment="0" applyProtection="0"/>
    <xf numFmtId="0" fontId="32" fillId="24" borderId="0" applyNumberFormat="0" applyBorder="0" applyAlignment="0" applyProtection="0"/>
    <xf numFmtId="175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174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4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4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4" fontId="32" fillId="28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0" fontId="32" fillId="29" borderId="0" applyNumberFormat="0" applyBorder="0" applyAlignment="0" applyProtection="0"/>
    <xf numFmtId="174" fontId="32" fillId="30" borderId="0" applyNumberFormat="0" applyBorder="0" applyAlignment="0" applyProtection="0"/>
    <xf numFmtId="0" fontId="32" fillId="29" borderId="0" applyNumberFormat="0" applyBorder="0" applyAlignment="0" applyProtection="0"/>
    <xf numFmtId="175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174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4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4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4" fontId="32" fillId="33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0" fontId="32" fillId="34" borderId="0" applyNumberFormat="0" applyBorder="0" applyAlignment="0" applyProtection="0"/>
    <xf numFmtId="174" fontId="32" fillId="35" borderId="0" applyNumberFormat="0" applyBorder="0" applyAlignment="0" applyProtection="0"/>
    <xf numFmtId="0" fontId="32" fillId="34" borderId="0" applyNumberFormat="0" applyBorder="0" applyAlignment="0" applyProtection="0"/>
    <xf numFmtId="175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174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4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4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4" fontId="32" fillId="27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0" fontId="32" fillId="38" borderId="0" applyNumberFormat="0" applyBorder="0" applyAlignment="0" applyProtection="0"/>
    <xf numFmtId="174" fontId="32" fillId="17" borderId="0" applyNumberFormat="0" applyBorder="0" applyAlignment="0" applyProtection="0"/>
    <xf numFmtId="0" fontId="32" fillId="38" borderId="0" applyNumberFormat="0" applyBorder="0" applyAlignment="0" applyProtection="0"/>
    <xf numFmtId="175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174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4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4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0" fontId="32" fillId="23" borderId="0" applyNumberFormat="0" applyBorder="0" applyAlignment="0" applyProtection="0"/>
    <xf numFmtId="174" fontId="32" fillId="18" borderId="0" applyNumberFormat="0" applyBorder="0" applyAlignment="0" applyProtection="0"/>
    <xf numFmtId="0" fontId="32" fillId="23" borderId="0" applyNumberFormat="0" applyBorder="0" applyAlignment="0" applyProtection="0"/>
    <xf numFmtId="175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174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4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4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4" fontId="32" fillId="43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0" fontId="32" fillId="44" borderId="0" applyNumberFormat="0" applyBorder="0" applyAlignment="0" applyProtection="0"/>
    <xf numFmtId="174" fontId="32" fillId="12" borderId="0" applyNumberFormat="0" applyBorder="0" applyAlignment="0" applyProtection="0"/>
    <xf numFmtId="0" fontId="32" fillId="44" borderId="0" applyNumberFormat="0" applyBorder="0" applyAlignment="0" applyProtection="0"/>
    <xf numFmtId="175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174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4" fontId="35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4" fontId="37" fillId="7" borderId="0" applyNumberFormat="0" applyBorder="0" applyAlignment="0" applyProtection="0"/>
    <xf numFmtId="0" fontId="39" fillId="41" borderId="0" applyNumberFormat="0" applyBorder="0" applyAlignment="0" applyProtection="0"/>
    <xf numFmtId="175" fontId="40" fillId="7" borderId="0" applyNumberFormat="0" applyBorder="0" applyAlignment="0" applyProtection="0"/>
    <xf numFmtId="0" fontId="39" fillId="41" borderId="0" applyNumberFormat="0" applyBorder="0" applyAlignment="0" applyProtection="0"/>
    <xf numFmtId="174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5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5" fontId="44" fillId="0" borderId="0">
      <protection locked="0"/>
    </xf>
    <xf numFmtId="0" fontId="43" fillId="0" borderId="0" applyNumberFormat="0" applyFill="0" applyBorder="0" applyProtection="0">
      <protection locked="0"/>
    </xf>
    <xf numFmtId="186" fontId="24" fillId="0" borderId="0">
      <alignment vertical="top"/>
    </xf>
    <xf numFmtId="187" fontId="45" fillId="0" borderId="0" applyFill="0" applyBorder="0" applyProtection="0"/>
    <xf numFmtId="186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5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174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4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4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4" fontId="51" fillId="48" borderId="6" applyNumberFormat="0" applyAlignment="0" applyProtection="0"/>
    <xf numFmtId="0" fontId="51" fillId="38" borderId="6" applyNumberFormat="0" applyAlignment="0" applyProtection="0"/>
    <xf numFmtId="175" fontId="54" fillId="48" borderId="6" applyNumberFormat="0" applyAlignment="0" applyProtection="0"/>
    <xf numFmtId="0" fontId="51" fillId="38" borderId="6" applyNumberFormat="0" applyAlignment="0" applyProtection="0"/>
    <xf numFmtId="174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8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95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6" fontId="29" fillId="0" borderId="0" applyFill="0" applyBorder="0">
      <alignment horizontal="right"/>
      <protection locked="0"/>
    </xf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66" fontId="17" fillId="0" borderId="0" applyFont="0" applyFill="0" applyBorder="0" applyAlignment="0" applyProtection="0"/>
    <xf numFmtId="192" fontId="3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4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4" fontId="17" fillId="0" borderId="0"/>
    <xf numFmtId="0" fontId="7" fillId="0" borderId="0"/>
    <xf numFmtId="174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0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4" fontId="7" fillId="54" borderId="2">
      <protection locked="0"/>
    </xf>
    <xf numFmtId="205" fontId="64" fillId="51" borderId="2">
      <alignment vertical="top"/>
      <protection locked="0"/>
    </xf>
    <xf numFmtId="206" fontId="7" fillId="52" borderId="2">
      <protection locked="0"/>
    </xf>
    <xf numFmtId="205" fontId="64" fillId="53" borderId="2">
      <alignment vertical="top"/>
      <protection locked="0"/>
    </xf>
    <xf numFmtId="207" fontId="7" fillId="54" borderId="2">
      <protection locked="0"/>
    </xf>
    <xf numFmtId="208" fontId="64" fillId="51" borderId="2">
      <alignment vertical="top"/>
      <protection locked="0"/>
    </xf>
    <xf numFmtId="209" fontId="7" fillId="52" borderId="2">
      <protection locked="0"/>
    </xf>
    <xf numFmtId="208" fontId="64" fillId="53" borderId="2">
      <alignment vertical="top"/>
      <protection locked="0"/>
    </xf>
    <xf numFmtId="210" fontId="7" fillId="54" borderId="2">
      <protection locked="0"/>
    </xf>
    <xf numFmtId="211" fontId="64" fillId="51" borderId="2">
      <alignment vertical="top"/>
      <protection locked="0"/>
    </xf>
    <xf numFmtId="211" fontId="64" fillId="53" borderId="2">
      <alignment vertical="top"/>
      <protection locked="0"/>
    </xf>
    <xf numFmtId="212" fontId="64" fillId="51" borderId="2">
      <alignment vertical="top"/>
      <protection locked="0"/>
    </xf>
    <xf numFmtId="9" fontId="7" fillId="52" borderId="2">
      <protection locked="0"/>
    </xf>
    <xf numFmtId="212" fontId="64" fillId="53" borderId="2">
      <alignment vertical="top"/>
      <protection locked="0"/>
    </xf>
    <xf numFmtId="9" fontId="7" fillId="54" borderId="2">
      <protection locked="0"/>
    </xf>
    <xf numFmtId="213" fontId="64" fillId="51" borderId="2">
      <alignment vertical="top"/>
      <protection locked="0"/>
    </xf>
    <xf numFmtId="184" fontId="7" fillId="52" borderId="2">
      <protection locked="0"/>
    </xf>
    <xf numFmtId="213" fontId="64" fillId="53" borderId="2">
      <alignment vertical="top"/>
      <protection locked="0"/>
    </xf>
    <xf numFmtId="184" fontId="7" fillId="54" borderId="2">
      <protection locked="0"/>
    </xf>
    <xf numFmtId="214" fontId="64" fillId="51" borderId="2">
      <alignment vertical="top"/>
      <protection locked="0"/>
    </xf>
    <xf numFmtId="10" fontId="7" fillId="52" borderId="2">
      <protection locked="0"/>
    </xf>
    <xf numFmtId="214" fontId="64" fillId="53" borderId="2">
      <alignment vertical="top"/>
      <protection locked="0"/>
    </xf>
    <xf numFmtId="215" fontId="64" fillId="51" borderId="2">
      <alignment vertical="top"/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4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4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4" fontId="65" fillId="57" borderId="0" applyNumberFormat="0" applyBorder="0" applyAlignment="0" applyProtection="0"/>
    <xf numFmtId="217" fontId="66" fillId="0" borderId="0"/>
    <xf numFmtId="218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4" fontId="69" fillId="0" borderId="0" applyNumberFormat="0" applyFill="0" applyBorder="0" applyAlignment="0" applyProtection="0"/>
    <xf numFmtId="175" fontId="71" fillId="0" borderId="0" applyNumberFormat="0" applyFill="0" applyBorder="0" applyAlignment="0" applyProtection="0"/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72" fillId="0" borderId="0">
      <protection locked="0"/>
    </xf>
    <xf numFmtId="17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4" fontId="29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4" fontId="13" fillId="0" borderId="0">
      <protection locked="0"/>
    </xf>
    <xf numFmtId="0" fontId="72" fillId="0" borderId="0">
      <protection locked="0"/>
    </xf>
    <xf numFmtId="17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4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9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4" fontId="46" fillId="8" borderId="0" applyNumberFormat="0" applyBorder="0" applyAlignment="0" applyProtection="0"/>
    <xf numFmtId="0" fontId="30" fillId="32" borderId="0" applyNumberFormat="0" applyBorder="0" applyAlignment="0" applyProtection="0"/>
    <xf numFmtId="175" fontId="78" fillId="8" borderId="0" applyNumberFormat="0" applyBorder="0" applyAlignment="0" applyProtection="0"/>
    <xf numFmtId="0" fontId="30" fillId="32" borderId="0" applyNumberFormat="0" applyBorder="0" applyAlignment="0" applyProtection="0"/>
    <xf numFmtId="174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4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17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4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4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4" fontId="72" fillId="0" borderId="13">
      <alignment horizontal="left" vertical="center"/>
    </xf>
    <xf numFmtId="0" fontId="72" fillId="0" borderId="13">
      <alignment horizontal="left" vertical="center"/>
    </xf>
    <xf numFmtId="174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174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4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8" fillId="0" borderId="15" applyNumberFormat="0" applyFill="0" applyAlignment="0" applyProtection="0"/>
    <xf numFmtId="174" fontId="86" fillId="0" borderId="14" applyNumberFormat="0" applyFill="0" applyAlignment="0" applyProtection="0"/>
    <xf numFmtId="174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4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5" fontId="92" fillId="0" borderId="16" applyNumberFormat="0" applyFill="0" applyAlignment="0" applyProtection="0"/>
    <xf numFmtId="174" fontId="90" fillId="0" borderId="17" applyNumberFormat="0" applyFill="0" applyAlignment="0" applyProtection="0"/>
    <xf numFmtId="174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4" fontId="67" fillId="0" borderId="18" applyNumberFormat="0" applyFill="0" applyAlignment="0" applyProtection="0"/>
    <xf numFmtId="0" fontId="93" fillId="0" borderId="20" applyNumberFormat="0" applyFill="0" applyAlignment="0" applyProtection="0"/>
    <xf numFmtId="175" fontId="94" fillId="0" borderId="18" applyNumberFormat="0" applyFill="0" applyAlignment="0" applyProtection="0"/>
    <xf numFmtId="0" fontId="93" fillId="0" borderId="20" applyNumberFormat="0" applyFill="0" applyAlignment="0" applyProtection="0"/>
    <xf numFmtId="174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4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4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4" fontId="82" fillId="0" borderId="0"/>
    <xf numFmtId="0" fontId="82" fillId="0" borderId="0"/>
    <xf numFmtId="0" fontId="82" fillId="0" borderId="0"/>
    <xf numFmtId="174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4" fontId="95" fillId="0" borderId="0"/>
    <xf numFmtId="0" fontId="95" fillId="0" borderId="0"/>
    <xf numFmtId="0" fontId="95" fillId="0" borderId="0"/>
    <xf numFmtId="174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4" fontId="96" fillId="0" borderId="0"/>
    <xf numFmtId="0" fontId="96" fillId="0" borderId="0"/>
    <xf numFmtId="0" fontId="96" fillId="0" borderId="0"/>
    <xf numFmtId="174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4" fontId="97" fillId="0" borderId="0"/>
    <xf numFmtId="0" fontId="97" fillId="0" borderId="0"/>
    <xf numFmtId="0" fontId="97" fillId="0" borderId="0"/>
    <xf numFmtId="174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4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4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4" fontId="8" fillId="0" borderId="0"/>
    <xf numFmtId="0" fontId="8" fillId="0" borderId="0"/>
    <xf numFmtId="0" fontId="8" fillId="0" borderId="0"/>
    <xf numFmtId="174" fontId="8" fillId="0" borderId="0"/>
    <xf numFmtId="0" fontId="99" fillId="61" borderId="0" applyNumberFormat="0" applyBorder="0" applyProtection="0">
      <alignment horizontal="center" vertical="center" textRotation="90"/>
    </xf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4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4" fontId="17" fillId="62" borderId="2" applyNumberFormat="0" applyFont="0" applyAlignment="0">
      <protection locked="0"/>
    </xf>
    <xf numFmtId="174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5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4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4" fontId="108" fillId="0" borderId="0">
      <alignment vertical="center"/>
    </xf>
    <xf numFmtId="174" fontId="108" fillId="0" borderId="0">
      <alignment vertical="center"/>
    </xf>
    <xf numFmtId="221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2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4" fontId="52" fillId="0" borderId="7" applyNumberFormat="0" applyFill="0" applyAlignment="0" applyProtection="0"/>
    <xf numFmtId="0" fontId="46" fillId="0" borderId="25" applyNumberFormat="0" applyFill="0" applyAlignment="0" applyProtection="0"/>
    <xf numFmtId="175" fontId="112" fillId="0" borderId="7" applyNumberFormat="0" applyFill="0" applyAlignment="0" applyProtection="0"/>
    <xf numFmtId="0" fontId="46" fillId="0" borderId="25" applyNumberFormat="0" applyFill="0" applyAlignment="0" applyProtection="0"/>
    <xf numFmtId="174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4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58" fillId="0" borderId="0" applyFont="0" applyFill="0" applyBorder="0" applyAlignment="0" applyProtection="0"/>
    <xf numFmtId="166" fontId="58" fillId="0" borderId="0" applyFont="0" applyFill="0" applyBorder="0" applyAlignment="0" applyProtection="0"/>
    <xf numFmtId="223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64" fontId="58" fillId="0" borderId="0" applyFont="0" applyFill="0" applyBorder="0" applyAlignment="0" applyProtection="0"/>
    <xf numFmtId="166" fontId="58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4" fontId="115" fillId="6" borderId="0" applyNumberFormat="0" applyBorder="0" applyAlignment="0" applyProtection="0"/>
    <xf numFmtId="0" fontId="46" fillId="42" borderId="0" applyNumberFormat="0" applyBorder="0" applyAlignment="0" applyProtection="0"/>
    <xf numFmtId="175" fontId="116" fillId="6" borderId="0" applyNumberFormat="0" applyBorder="0" applyAlignment="0" applyProtection="0"/>
    <xf numFmtId="0" fontId="46" fillId="42" borderId="0" applyNumberFormat="0" applyBorder="0" applyAlignment="0" applyProtection="0"/>
    <xf numFmtId="174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4" fontId="29" fillId="0" borderId="22"/>
    <xf numFmtId="174" fontId="29" fillId="0" borderId="22"/>
    <xf numFmtId="225" fontId="117" fillId="0" borderId="0"/>
    <xf numFmtId="226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7" fontId="118" fillId="0" borderId="0"/>
    <xf numFmtId="227" fontId="118" fillId="0" borderId="0"/>
    <xf numFmtId="0" fontId="3" fillId="0" borderId="0"/>
    <xf numFmtId="175" fontId="119" fillId="0" borderId="0"/>
    <xf numFmtId="0" fontId="120" fillId="0" borderId="0"/>
    <xf numFmtId="0" fontId="3" fillId="0" borderId="0"/>
    <xf numFmtId="0" fontId="7" fillId="0" borderId="0"/>
    <xf numFmtId="174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5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0" fontId="74" fillId="0" borderId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174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4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4" fontId="74" fillId="0" borderId="0"/>
    <xf numFmtId="228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29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4" fontId="123" fillId="0" borderId="0"/>
    <xf numFmtId="0" fontId="123" fillId="0" borderId="0"/>
    <xf numFmtId="0" fontId="123" fillId="0" borderId="0"/>
    <xf numFmtId="174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5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174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4" fontId="128" fillId="0" borderId="0"/>
    <xf numFmtId="174" fontId="128" fillId="0" borderId="0"/>
    <xf numFmtId="191" fontId="3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5" fontId="3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4" fontId="128" fillId="0" borderId="0"/>
    <xf numFmtId="174" fontId="128" fillId="0" borderId="0"/>
    <xf numFmtId="232" fontId="29" fillId="0" borderId="0" applyFill="0" applyBorder="0">
      <alignment horizontal="right"/>
      <protection locked="0"/>
    </xf>
    <xf numFmtId="233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2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2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9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9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7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67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67" borderId="5" applyNumberFormat="0" applyProtection="0">
      <alignment horizontal="right" vertical="center"/>
    </xf>
    <xf numFmtId="227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7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227" fontId="3" fillId="0" borderId="0"/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227" fontId="3" fillId="0" borderId="0"/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227" fontId="3" fillId="0" borderId="0"/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5" borderId="5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4" fontId="79" fillId="45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227" fontId="3" fillId="0" borderId="0"/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4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36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227" fontId="3" fillId="0" borderId="0"/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4" borderId="5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4" fontId="79" fillId="74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227" fontId="3" fillId="0" borderId="0"/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4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227" fontId="3" fillId="0" borderId="0"/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227" fontId="3" fillId="0" borderId="0"/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227" fontId="3" fillId="0" borderId="0"/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4" borderId="5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4" fontId="79" fillId="4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227" fontId="3" fillId="0" borderId="0"/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4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4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227" fontId="3" fillId="0" borderId="0"/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174" fontId="79" fillId="71" borderId="5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4" fontId="79" fillId="71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227" fontId="3" fillId="0" borderId="0"/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6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4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71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6" fillId="66" borderId="30" applyNumberFormat="0">
      <protection locked="0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4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174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4" fontId="136" fillId="36" borderId="31" applyBorder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4" fontId="61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7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3" fillId="0" borderId="0"/>
    <xf numFmtId="227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3" fillId="0" borderId="0"/>
    <xf numFmtId="227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3" fillId="0" borderId="0"/>
    <xf numFmtId="227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3" fillId="0" borderId="0"/>
    <xf numFmtId="227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4" fontId="137" fillId="65" borderId="28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63" borderId="2" applyNumberFormat="0" applyProtection="0">
      <alignment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4" fillId="45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227" fontId="3" fillId="0" borderId="0"/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4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5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61" fillId="76" borderId="27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0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37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32" fillId="58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75" borderId="27" applyNumberFormat="0" applyProtection="0">
      <alignment horizontal="left" vertical="center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227" fontId="3" fillId="0" borderId="0"/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174" fontId="134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4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4" fillId="67" borderId="28" applyNumberFormat="0" applyProtection="0">
      <alignment horizontal="left" vertical="top" indent="1"/>
    </xf>
    <xf numFmtId="227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17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4" fontId="79" fillId="78" borderId="2"/>
    <xf numFmtId="174" fontId="79" fillId="78" borderId="2"/>
    <xf numFmtId="0" fontId="79" fillId="78" borderId="2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4" fontId="140" fillId="71" borderId="28" applyNumberFormat="0" applyProtection="0">
      <alignment horizontal="right" vertical="center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4" fontId="141" fillId="66" borderId="5" applyNumberFormat="0" applyProtection="0">
      <alignment horizontal="right" vertical="center"/>
    </xf>
    <xf numFmtId="234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7" fontId="3" fillId="0" borderId="0"/>
    <xf numFmtId="38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85" fontId="144" fillId="79" borderId="0" applyNumberFormat="0" applyFont="0" applyBorder="0" applyAlignment="0" applyProtection="0">
      <protection locked="0"/>
    </xf>
    <xf numFmtId="227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4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5" fontId="146" fillId="0" borderId="2">
      <alignment horizontal="left" vertical="center"/>
      <protection locked="0"/>
    </xf>
    <xf numFmtId="236" fontId="29" fillId="0" borderId="0">
      <protection locked="0"/>
    </xf>
    <xf numFmtId="227" fontId="3" fillId="0" borderId="0"/>
    <xf numFmtId="227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0" fontId="3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7" fontId="3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7" fontId="3" fillId="0" borderId="0"/>
    <xf numFmtId="227" fontId="3" fillId="0" borderId="0"/>
    <xf numFmtId="0" fontId="148" fillId="0" borderId="0" applyNumberFormat="0" applyFill="0" applyBorder="0" applyAlignment="0" applyProtection="0"/>
    <xf numFmtId="227" fontId="3" fillId="0" borderId="0"/>
    <xf numFmtId="227" fontId="3" fillId="0" borderId="0"/>
    <xf numFmtId="227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59" fillId="0" borderId="32" applyNumberFormat="0" applyFon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59" fillId="0" borderId="32" applyNumberFormat="0" applyFon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59" fillId="0" borderId="32" applyNumberFormat="0" applyFon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174" fontId="65" fillId="0" borderId="33" applyNumberFormat="0" applyFill="0" applyAlignment="0" applyProtection="0"/>
    <xf numFmtId="227" fontId="3" fillId="0" borderId="0"/>
    <xf numFmtId="227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4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4" fontId="149" fillId="0" borderId="0"/>
    <xf numFmtId="174" fontId="149" fillId="0" borderId="0"/>
    <xf numFmtId="175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4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4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5" fontId="64" fillId="80" borderId="0">
      <alignment vertical="top"/>
    </xf>
    <xf numFmtId="240" fontId="7" fillId="0" borderId="0"/>
    <xf numFmtId="205" fontId="64" fillId="53" borderId="0">
      <alignment vertical="top"/>
    </xf>
    <xf numFmtId="208" fontId="64" fillId="80" borderId="0">
      <alignment vertical="top"/>
    </xf>
    <xf numFmtId="210" fontId="7" fillId="0" borderId="0"/>
    <xf numFmtId="208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9" fontId="7" fillId="0" borderId="0"/>
    <xf numFmtId="212" fontId="64" fillId="53" borderId="0">
      <alignment vertical="top"/>
    </xf>
    <xf numFmtId="213" fontId="64" fillId="80" borderId="0">
      <alignment vertical="top"/>
    </xf>
    <xf numFmtId="242" fontId="7" fillId="0" borderId="0"/>
    <xf numFmtId="213" fontId="64" fillId="53" borderId="0">
      <alignment vertical="top"/>
    </xf>
    <xf numFmtId="214" fontId="64" fillId="80" borderId="0">
      <alignment vertical="top"/>
    </xf>
    <xf numFmtId="10" fontId="7" fillId="0" borderId="0"/>
    <xf numFmtId="214" fontId="64" fillId="53" borderId="0">
      <alignment vertical="top"/>
    </xf>
    <xf numFmtId="215" fontId="64" fillId="80" borderId="0">
      <alignment vertical="top"/>
    </xf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4" fontId="149" fillId="0" borderId="0"/>
    <xf numFmtId="174" fontId="149" fillId="0" borderId="0"/>
    <xf numFmtId="243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7" fontId="3" fillId="0" borderId="0"/>
    <xf numFmtId="0" fontId="150" fillId="0" borderId="0" applyNumberFormat="0" applyFill="0" applyBorder="0" applyAlignment="0" applyProtection="0"/>
    <xf numFmtId="227" fontId="3" fillId="0" borderId="0"/>
    <xf numFmtId="0" fontId="150" fillId="0" borderId="0" applyNumberFormat="0" applyFill="0" applyBorder="0" applyAlignment="0" applyProtection="0"/>
    <xf numFmtId="227" fontId="3" fillId="0" borderId="0"/>
    <xf numFmtId="0" fontId="150" fillId="0" borderId="0" applyNumberFormat="0" applyFill="0" applyBorder="0" applyAlignment="0" applyProtection="0"/>
    <xf numFmtId="174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5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5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7" fontId="3" fillId="0" borderId="0"/>
    <xf numFmtId="227" fontId="3" fillId="0" borderId="0"/>
    <xf numFmtId="227" fontId="3" fillId="0" borderId="0"/>
    <xf numFmtId="227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4" fontId="153" fillId="50" borderId="35"/>
    <xf numFmtId="174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6" fontId="57" fillId="0" borderId="0" applyFont="0" applyFill="0" applyBorder="0" applyAlignment="0" applyProtection="0"/>
    <xf numFmtId="246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235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17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4" fontId="7" fillId="0" borderId="2">
      <alignment horizontal="right"/>
    </xf>
    <xf numFmtId="0" fontId="7" fillId="0" borderId="2">
      <alignment horizontal="right"/>
    </xf>
    <xf numFmtId="174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7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7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7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5" fontId="160" fillId="0" borderId="0"/>
    <xf numFmtId="0" fontId="7" fillId="0" borderId="0"/>
    <xf numFmtId="227" fontId="3" fillId="0" borderId="0"/>
    <xf numFmtId="227" fontId="3" fillId="0" borderId="0"/>
    <xf numFmtId="0" fontId="161" fillId="0" borderId="0"/>
    <xf numFmtId="0" fontId="162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7" fontId="3" fillId="0" borderId="0"/>
    <xf numFmtId="227" fontId="3" fillId="0" borderId="0"/>
    <xf numFmtId="0" fontId="17" fillId="0" borderId="0"/>
    <xf numFmtId="227" fontId="3" fillId="0" borderId="0"/>
    <xf numFmtId="0" fontId="3" fillId="0" borderId="0"/>
    <xf numFmtId="0" fontId="7" fillId="0" borderId="0"/>
    <xf numFmtId="227" fontId="3" fillId="0" borderId="0"/>
    <xf numFmtId="0" fontId="7" fillId="0" borderId="0"/>
    <xf numFmtId="227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174" fontId="3" fillId="0" borderId="0"/>
    <xf numFmtId="0" fontId="2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3" fillId="0" borderId="0"/>
    <xf numFmtId="0" fontId="162" fillId="0" borderId="0"/>
    <xf numFmtId="227" fontId="3" fillId="0" borderId="0"/>
    <xf numFmtId="0" fontId="3" fillId="0" borderId="0"/>
    <xf numFmtId="0" fontId="64" fillId="0" borderId="0"/>
    <xf numFmtId="227" fontId="3" fillId="0" borderId="0"/>
    <xf numFmtId="227" fontId="3" fillId="0" borderId="0"/>
    <xf numFmtId="0" fontId="3" fillId="0" borderId="0"/>
    <xf numFmtId="0" fontId="7" fillId="0" borderId="0"/>
    <xf numFmtId="0" fontId="2" fillId="0" borderId="0"/>
    <xf numFmtId="174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5" fontId="11" fillId="0" borderId="0"/>
    <xf numFmtId="0" fontId="3" fillId="0" borderId="0"/>
    <xf numFmtId="0" fontId="7" fillId="0" borderId="0"/>
    <xf numFmtId="0" fontId="3" fillId="0" borderId="0"/>
    <xf numFmtId="227" fontId="3" fillId="0" borderId="0"/>
    <xf numFmtId="174" fontId="3" fillId="0" borderId="0"/>
    <xf numFmtId="227" fontId="3" fillId="0" borderId="0"/>
    <xf numFmtId="0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0" fontId="3" fillId="0" borderId="0"/>
    <xf numFmtId="175" fontId="160" fillId="0" borderId="0"/>
    <xf numFmtId="0" fontId="7" fillId="0" borderId="0"/>
    <xf numFmtId="0" fontId="7" fillId="0" borderId="0"/>
    <xf numFmtId="227" fontId="3" fillId="0" borderId="0"/>
    <xf numFmtId="174" fontId="57" fillId="0" borderId="0"/>
    <xf numFmtId="0" fontId="2" fillId="0" borderId="0"/>
    <xf numFmtId="174" fontId="121" fillId="0" borderId="0"/>
    <xf numFmtId="174" fontId="57" fillId="0" borderId="0"/>
    <xf numFmtId="227" fontId="3" fillId="0" borderId="0"/>
    <xf numFmtId="174" fontId="57" fillId="0" borderId="0"/>
    <xf numFmtId="174" fontId="121" fillId="0" borderId="0"/>
    <xf numFmtId="174" fontId="57" fillId="0" borderId="0"/>
    <xf numFmtId="174" fontId="121" fillId="0" borderId="0"/>
    <xf numFmtId="174" fontId="57" fillId="0" borderId="0"/>
    <xf numFmtId="174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0" borderId="0"/>
    <xf numFmtId="0" fontId="7" fillId="0" borderId="0" applyNumberFormat="0" applyFont="0" applyFill="0" applyBorder="0" applyAlignment="0" applyProtection="0"/>
    <xf numFmtId="174" fontId="121" fillId="0" borderId="0"/>
    <xf numFmtId="0" fontId="7" fillId="0" borderId="0"/>
    <xf numFmtId="0" fontId="7" fillId="0" borderId="0"/>
    <xf numFmtId="174" fontId="57" fillId="0" borderId="0"/>
    <xf numFmtId="0" fontId="3" fillId="0" borderId="0"/>
    <xf numFmtId="174" fontId="121" fillId="0" borderId="0"/>
    <xf numFmtId="174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7" fontId="3" fillId="0" borderId="0"/>
    <xf numFmtId="174" fontId="3" fillId="0" borderId="0"/>
    <xf numFmtId="0" fontId="2" fillId="0" borderId="0"/>
    <xf numFmtId="227" fontId="3" fillId="0" borderId="0"/>
    <xf numFmtId="0" fontId="3" fillId="0" borderId="0"/>
    <xf numFmtId="0" fontId="2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3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74" fontId="3" fillId="0" borderId="0"/>
    <xf numFmtId="0" fontId="164" fillId="0" borderId="0"/>
    <xf numFmtId="0" fontId="3" fillId="0" borderId="0"/>
    <xf numFmtId="175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7" fontId="3" fillId="0" borderId="0"/>
    <xf numFmtId="0" fontId="3" fillId="0" borderId="0"/>
    <xf numFmtId="174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8" fontId="31" fillId="0" borderId="0"/>
    <xf numFmtId="227" fontId="3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0" fontId="161" fillId="0" borderId="0"/>
    <xf numFmtId="227" fontId="3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0" fontId="7" fillId="0" borderId="0"/>
    <xf numFmtId="0" fontId="7" fillId="0" borderId="0"/>
    <xf numFmtId="227" fontId="3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227" fontId="3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2" fillId="0" borderId="0"/>
    <xf numFmtId="174" fontId="31" fillId="0" borderId="0"/>
    <xf numFmtId="227" fontId="3" fillId="0" borderId="0"/>
    <xf numFmtId="0" fontId="7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2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2" fillId="0" borderId="0"/>
    <xf numFmtId="174" fontId="31" fillId="0" borderId="0"/>
    <xf numFmtId="174" fontId="31" fillId="0" borderId="0"/>
    <xf numFmtId="174" fontId="2" fillId="0" borderId="0"/>
    <xf numFmtId="174" fontId="31" fillId="0" borderId="0"/>
    <xf numFmtId="0" fontId="79" fillId="0" borderId="0">
      <alignment horizontal="left"/>
    </xf>
    <xf numFmtId="0" fontId="7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7" fontId="3" fillId="0" borderId="0"/>
    <xf numFmtId="0" fontId="7" fillId="0" borderId="0"/>
    <xf numFmtId="227" fontId="3" fillId="0" borderId="0"/>
    <xf numFmtId="0" fontId="3" fillId="0" borderId="0"/>
    <xf numFmtId="227" fontId="3" fillId="0" borderId="0"/>
    <xf numFmtId="0" fontId="31" fillId="0" borderId="0"/>
    <xf numFmtId="227" fontId="3" fillId="0" borderId="0"/>
    <xf numFmtId="0" fontId="3" fillId="0" borderId="0"/>
    <xf numFmtId="227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74" fontId="3" fillId="0" borderId="0"/>
    <xf numFmtId="0" fontId="2" fillId="0" borderId="0"/>
    <xf numFmtId="0" fontId="2" fillId="0" borderId="0"/>
    <xf numFmtId="0" fontId="2" fillId="0" borderId="0"/>
    <xf numFmtId="227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7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74" fontId="3" fillId="0" borderId="0"/>
    <xf numFmtId="174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74" fontId="3" fillId="0" borderId="0"/>
    <xf numFmtId="0" fontId="2" fillId="0" borderId="0"/>
    <xf numFmtId="0" fontId="2" fillId="0" borderId="0"/>
    <xf numFmtId="227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174" fontId="3" fillId="0" borderId="0"/>
    <xf numFmtId="174" fontId="3" fillId="0" borderId="0"/>
    <xf numFmtId="174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7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7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7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7" fontId="3" fillId="0" borderId="0"/>
    <xf numFmtId="0" fontId="2" fillId="0" borderId="0"/>
    <xf numFmtId="0" fontId="2" fillId="0" borderId="0"/>
    <xf numFmtId="227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7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7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7" fontId="3" fillId="0" borderId="0"/>
    <xf numFmtId="227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7" fontId="3" fillId="0" borderId="0"/>
    <xf numFmtId="227" fontId="3" fillId="0" borderId="0"/>
    <xf numFmtId="9" fontId="7" fillId="0" borderId="0" applyFont="0" applyFill="0" applyBorder="0" applyAlignment="0" applyProtection="0"/>
    <xf numFmtId="227" fontId="3" fillId="0" borderId="0"/>
    <xf numFmtId="9" fontId="151" fillId="0" borderId="0" applyFont="0" applyFill="0" applyBorder="0" applyAlignment="0" applyProtection="0"/>
    <xf numFmtId="227" fontId="3" fillId="0" borderId="0"/>
    <xf numFmtId="9" fontId="151" fillId="0" borderId="0" applyFont="0" applyFill="0" applyBorder="0" applyAlignment="0" applyProtection="0"/>
    <xf numFmtId="227" fontId="3" fillId="0" borderId="0"/>
    <xf numFmtId="9" fontId="151" fillId="0" borderId="0" applyFont="0" applyFill="0" applyBorder="0" applyAlignment="0" applyProtection="0"/>
    <xf numFmtId="227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7" fontId="3" fillId="0" borderId="0"/>
    <xf numFmtId="227" fontId="3" fillId="0" borderId="0"/>
    <xf numFmtId="9" fontId="31" fillId="0" borderId="0" applyFont="0" applyFill="0" applyBorder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7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7" fontId="3" fillId="0" borderId="0"/>
    <xf numFmtId="9" fontId="31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7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7" fontId="3" fillId="0" borderId="0"/>
    <xf numFmtId="9" fontId="31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227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7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4" fontId="13" fillId="0" borderId="0"/>
    <xf numFmtId="0" fontId="13" fillId="0" borderId="0"/>
    <xf numFmtId="174" fontId="13" fillId="0" borderId="0"/>
    <xf numFmtId="0" fontId="7" fillId="0" borderId="0"/>
    <xf numFmtId="0" fontId="3" fillId="0" borderId="0">
      <alignment vertical="justify"/>
    </xf>
    <xf numFmtId="227" fontId="3" fillId="0" borderId="0"/>
    <xf numFmtId="0" fontId="41" fillId="0" borderId="38">
      <alignment horizontal="center" vertical="top" wrapText="1"/>
    </xf>
    <xf numFmtId="227" fontId="3" fillId="0" borderId="0"/>
    <xf numFmtId="0" fontId="24" fillId="0" borderId="38">
      <alignment horizontal="center" vertical="top" wrapText="1"/>
    </xf>
    <xf numFmtId="227" fontId="3" fillId="0" borderId="0"/>
    <xf numFmtId="0" fontId="24" fillId="0" borderId="38">
      <alignment horizontal="left" vertical="top" wrapText="1"/>
    </xf>
    <xf numFmtId="227" fontId="3" fillId="0" borderId="0"/>
    <xf numFmtId="0" fontId="41" fillId="0" borderId="38">
      <alignment horizontal="center" vertical="top" wrapText="1"/>
    </xf>
    <xf numFmtId="227" fontId="3" fillId="0" borderId="0"/>
    <xf numFmtId="0" fontId="24" fillId="0" borderId="38">
      <alignment horizontal="center" vertical="top" wrapText="1"/>
    </xf>
    <xf numFmtId="227" fontId="3" fillId="0" borderId="0"/>
    <xf numFmtId="0" fontId="24" fillId="0" borderId="38">
      <alignment horizontal="left" vertical="top" wrapText="1"/>
    </xf>
    <xf numFmtId="235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9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0" fontId="2" fillId="0" borderId="0" applyFont="0" applyFill="0" applyBorder="0" applyAlignment="0" applyProtection="0"/>
    <xf numFmtId="250" fontId="2" fillId="0" borderId="0" applyFont="0" applyFill="0" applyBorder="0" applyAlignment="0" applyProtection="0"/>
    <xf numFmtId="250" fontId="31" fillId="0" borderId="0" applyFont="0" applyFill="0" applyBorder="0" applyAlignment="0" applyProtection="0"/>
    <xf numFmtId="250" fontId="2" fillId="0" borderId="0" applyFont="0" applyFill="0" applyBorder="0" applyAlignment="0" applyProtection="0"/>
    <xf numFmtId="0" fontId="7" fillId="0" borderId="0"/>
    <xf numFmtId="250" fontId="31" fillId="0" borderId="0" applyFont="0" applyFill="0" applyBorder="0" applyAlignment="0" applyProtection="0"/>
    <xf numFmtId="250" fontId="2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2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169" fontId="31" fillId="0" borderId="0" applyFont="0" applyFill="0" applyBorder="0" applyAlignment="0" applyProtection="0"/>
    <xf numFmtId="227" fontId="3" fillId="0" borderId="0"/>
    <xf numFmtId="169" fontId="3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161" fillId="0" borderId="0" applyFont="0" applyFill="0" applyBorder="0" applyAlignment="0" applyProtection="0"/>
    <xf numFmtId="0" fontId="7" fillId="0" borderId="0"/>
    <xf numFmtId="169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161" fillId="0" borderId="0" applyFont="0" applyFill="0" applyBorder="0" applyAlignment="0" applyProtection="0"/>
    <xf numFmtId="169" fontId="31" fillId="0" borderId="0" applyFont="0" applyFill="0" applyBorder="0" applyAlignment="0" applyProtection="0"/>
    <xf numFmtId="0" fontId="7" fillId="0" borderId="0"/>
    <xf numFmtId="169" fontId="2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7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7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130" fillId="81" borderId="2" applyProtection="0">
      <alignment horizontal="center" vertical="center" wrapText="1"/>
    </xf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0" fontId="7" fillId="0" borderId="0"/>
    <xf numFmtId="0" fontId="2" fillId="0" borderId="0"/>
    <xf numFmtId="0" fontId="172" fillId="0" borderId="0" applyNumberFormat="0" applyFill="0" applyAlignment="0" applyProtection="0">
      <alignment vertical="center"/>
    </xf>
    <xf numFmtId="253" fontId="2" fillId="0" borderId="0" applyFont="0" applyFill="0" applyBorder="0" applyAlignment="0" applyProtection="0"/>
    <xf numFmtId="0" fontId="172" fillId="0" borderId="0" applyNumberFormat="0" applyFill="0" applyAlignment="0" applyProtection="0">
      <alignment vertical="center"/>
    </xf>
    <xf numFmtId="0" fontId="173" fillId="0" borderId="0">
      <alignment vertical="center"/>
    </xf>
  </cellStyleXfs>
  <cellXfs count="205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168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0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72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71" fontId="7" fillId="0" borderId="40" xfId="3" applyNumberFormat="1" applyBorder="1" applyAlignment="1">
      <alignment vertical="center"/>
    </xf>
    <xf numFmtId="172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0" fillId="0" borderId="40" xfId="0" applyBorder="1"/>
    <xf numFmtId="0" fontId="9" fillId="0" borderId="0" xfId="1" applyFont="1" applyAlignment="1">
      <alignment horizontal="right" vertical="center" wrapText="1"/>
    </xf>
    <xf numFmtId="3" fontId="0" fillId="0" borderId="0" xfId="0" applyNumberFormat="1"/>
    <xf numFmtId="3" fontId="7" fillId="0" borderId="0" xfId="1" applyNumberFormat="1" applyFont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172" fontId="7" fillId="0" borderId="40" xfId="1" applyNumberFormat="1" applyFont="1" applyBorder="1" applyAlignment="1">
      <alignment horizontal="center" vertical="center" wrapText="1"/>
    </xf>
    <xf numFmtId="175" fontId="0" fillId="0" borderId="0" xfId="0" applyNumberFormat="1" applyAlignment="1">
      <alignment horizontal="center"/>
    </xf>
    <xf numFmtId="0" fontId="8" fillId="0" borderId="41" xfId="1" applyFont="1" applyBorder="1" applyAlignment="1">
      <alignment horizontal="center" vertical="center" wrapText="1"/>
    </xf>
    <xf numFmtId="1" fontId="8" fillId="0" borderId="40" xfId="3" applyNumberFormat="1" applyFont="1" applyBorder="1" applyAlignment="1">
      <alignment horizontal="center" vertical="center" wrapText="1"/>
    </xf>
    <xf numFmtId="252" fontId="0" fillId="0" borderId="40" xfId="0" applyNumberFormat="1" applyBorder="1"/>
    <xf numFmtId="172" fontId="9" fillId="0" borderId="40" xfId="1" applyNumberFormat="1" applyFont="1" applyBorder="1" applyAlignment="1">
      <alignment horizontal="right" vertical="center" wrapText="1"/>
    </xf>
    <xf numFmtId="0" fontId="7" fillId="0" borderId="49" xfId="1" applyFont="1" applyBorder="1" applyAlignment="1">
      <alignment horizontal="center" vertical="center"/>
    </xf>
    <xf numFmtId="172" fontId="7" fillId="0" borderId="49" xfId="1" applyNumberFormat="1" applyFont="1" applyBorder="1" applyAlignment="1">
      <alignment horizontal="center" vertical="center"/>
    </xf>
    <xf numFmtId="3" fontId="7" fillId="0" borderId="47" xfId="1" applyNumberFormat="1" applyFont="1" applyBorder="1" applyAlignment="1">
      <alignment horizontal="center" vertical="center" wrapText="1"/>
    </xf>
    <xf numFmtId="3" fontId="0" fillId="0" borderId="40" xfId="0" applyNumberFormat="1" applyBorder="1"/>
    <xf numFmtId="0" fontId="0" fillId="0" borderId="42" xfId="0" applyBorder="1"/>
    <xf numFmtId="0" fontId="0" fillId="0" borderId="58" xfId="0" applyBorder="1" applyAlignment="1">
      <alignment horizontal="center"/>
    </xf>
    <xf numFmtId="0" fontId="7" fillId="0" borderId="58" xfId="1" applyFont="1" applyBorder="1" applyAlignment="1">
      <alignment horizontal="center" vertical="center" wrapText="1"/>
    </xf>
    <xf numFmtId="1" fontId="7" fillId="0" borderId="58" xfId="3" applyNumberFormat="1" applyBorder="1" applyAlignment="1">
      <alignment horizontal="center" vertical="center" wrapText="1"/>
    </xf>
    <xf numFmtId="0" fontId="0" fillId="0" borderId="60" xfId="0" applyBorder="1"/>
    <xf numFmtId="0" fontId="0" fillId="0" borderId="61" xfId="0" applyBorder="1"/>
    <xf numFmtId="0" fontId="7" fillId="0" borderId="61" xfId="1" applyFont="1" applyBorder="1" applyAlignment="1">
      <alignment horizontal="right" vertical="center" wrapText="1"/>
    </xf>
    <xf numFmtId="0" fontId="8" fillId="0" borderId="61" xfId="1" applyFont="1" applyBorder="1" applyAlignment="1">
      <alignment vertical="center" wrapText="1"/>
    </xf>
    <xf numFmtId="0" fontId="9" fillId="0" borderId="61" xfId="1" applyFont="1" applyBorder="1" applyAlignment="1">
      <alignment horizontal="right" vertical="center" wrapText="1"/>
    </xf>
    <xf numFmtId="0" fontId="0" fillId="0" borderId="61" xfId="0" applyBorder="1" applyAlignment="1">
      <alignment horizontal="right" indent="2"/>
    </xf>
    <xf numFmtId="0" fontId="0" fillId="0" borderId="61" xfId="0" applyBorder="1" applyAlignment="1">
      <alignment horizontal="left" indent="2"/>
    </xf>
    <xf numFmtId="0" fontId="9" fillId="0" borderId="62" xfId="1" applyFont="1" applyBorder="1" applyAlignment="1">
      <alignment horizontal="right" vertical="center" wrapText="1"/>
    </xf>
    <xf numFmtId="1" fontId="9" fillId="0" borderId="49" xfId="3" applyNumberFormat="1" applyFont="1" applyBorder="1" applyAlignment="1">
      <alignment horizontal="center" vertical="center" wrapText="1"/>
    </xf>
    <xf numFmtId="172" fontId="7" fillId="0" borderId="49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52" xfId="0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7" fillId="0" borderId="46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 wrapText="1"/>
    </xf>
    <xf numFmtId="1" fontId="7" fillId="0" borderId="46" xfId="3" applyNumberFormat="1" applyBorder="1" applyAlignment="1">
      <alignment horizontal="center" vertical="center" wrapText="1"/>
    </xf>
    <xf numFmtId="1" fontId="9" fillId="0" borderId="46" xfId="3" applyNumberFormat="1" applyFont="1" applyBorder="1" applyAlignment="1">
      <alignment horizontal="center" vertical="center" wrapText="1"/>
    </xf>
    <xf numFmtId="1" fontId="7" fillId="0" borderId="47" xfId="3" applyNumberFormat="1" applyBorder="1" applyAlignment="1">
      <alignment horizontal="center" vertical="center" wrapText="1"/>
    </xf>
    <xf numFmtId="1" fontId="9" fillId="0" borderId="48" xfId="3" applyNumberFormat="1" applyFont="1" applyBorder="1" applyAlignment="1">
      <alignment horizontal="center" vertical="center" wrapText="1"/>
    </xf>
    <xf numFmtId="1" fontId="7" fillId="0" borderId="50" xfId="3" applyNumberFormat="1" applyBorder="1" applyAlignment="1">
      <alignment horizontal="center" vertical="center" wrapText="1"/>
    </xf>
    <xf numFmtId="1" fontId="8" fillId="0" borderId="46" xfId="3" applyNumberFormat="1" applyFont="1" applyBorder="1" applyAlignment="1">
      <alignment horizontal="center" vertical="center" wrapText="1"/>
    </xf>
    <xf numFmtId="1" fontId="7" fillId="0" borderId="58" xfId="1" applyNumberFormat="1" applyFont="1" applyBorder="1" applyAlignment="1">
      <alignment horizontal="center" vertical="center" wrapText="1"/>
    </xf>
    <xf numFmtId="0" fontId="0" fillId="0" borderId="58" xfId="0" applyBorder="1"/>
    <xf numFmtId="0" fontId="0" fillId="0" borderId="62" xfId="0" applyBorder="1"/>
    <xf numFmtId="0" fontId="7" fillId="0" borderId="67" xfId="1" applyFont="1" applyBorder="1" applyAlignment="1">
      <alignment horizontal="right" vertical="center" wrapText="1"/>
    </xf>
    <xf numFmtId="0" fontId="0" fillId="0" borderId="59" xfId="0" applyBorder="1" applyAlignment="1">
      <alignment horizontal="center"/>
    </xf>
    <xf numFmtId="0" fontId="8" fillId="0" borderId="54" xfId="1" applyFont="1" applyBorder="1" applyAlignment="1">
      <alignment horizontal="center" vertical="center" wrapText="1"/>
    </xf>
    <xf numFmtId="0" fontId="8" fillId="0" borderId="56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3" fontId="168" fillId="0" borderId="54" xfId="0" applyNumberFormat="1" applyFont="1" applyBorder="1" applyAlignment="1">
      <alignment horizontal="center"/>
    </xf>
    <xf numFmtId="0" fontId="0" fillId="0" borderId="60" xfId="0" applyBorder="1" applyAlignment="1">
      <alignment horizontal="left" wrapText="1" indent="2"/>
    </xf>
    <xf numFmtId="0" fontId="0" fillId="0" borderId="61" xfId="0" applyBorder="1" applyAlignment="1">
      <alignment horizontal="left" wrapText="1" indent="2"/>
    </xf>
    <xf numFmtId="3" fontId="0" fillId="0" borderId="42" xfId="0" applyNumberFormat="1" applyBorder="1"/>
    <xf numFmtId="0" fontId="0" fillId="0" borderId="74" xfId="0" applyBorder="1" applyAlignment="1">
      <alignment horizontal="left" indent="2"/>
    </xf>
    <xf numFmtId="3" fontId="0" fillId="0" borderId="41" xfId="0" applyNumberFormat="1" applyBorder="1"/>
    <xf numFmtId="0" fontId="168" fillId="0" borderId="0" xfId="0" applyFont="1" applyAlignment="1">
      <alignment horizontal="left"/>
    </xf>
    <xf numFmtId="0" fontId="0" fillId="0" borderId="61" xfId="0" applyBorder="1" applyAlignment="1">
      <alignment horizontal="right"/>
    </xf>
    <xf numFmtId="3" fontId="7" fillId="0" borderId="68" xfId="1" applyNumberFormat="1" applyFont="1" applyBorder="1" applyAlignment="1">
      <alignment horizontal="center" vertical="center" wrapText="1"/>
    </xf>
    <xf numFmtId="3" fontId="8" fillId="0" borderId="58" xfId="1" applyNumberFormat="1" applyFont="1" applyBorder="1" applyAlignment="1">
      <alignment horizontal="center" vertical="center" wrapText="1"/>
    </xf>
    <xf numFmtId="172" fontId="7" fillId="0" borderId="58" xfId="1" applyNumberFormat="1" applyFont="1" applyBorder="1" applyAlignment="1">
      <alignment horizontal="center" vertical="center" wrapText="1"/>
    </xf>
    <xf numFmtId="172" fontId="7" fillId="0" borderId="59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1" fontId="7" fillId="0" borderId="48" xfId="3" applyNumberFormat="1" applyBorder="1" applyAlignment="1">
      <alignment horizontal="center" vertical="center" wrapText="1"/>
    </xf>
    <xf numFmtId="3" fontId="7" fillId="0" borderId="40" xfId="4" applyNumberFormat="1" applyFont="1" applyBorder="1" applyAlignment="1">
      <alignment horizontal="center" vertical="center"/>
    </xf>
    <xf numFmtId="0" fontId="0" fillId="82" borderId="0" xfId="0" applyFill="1" applyAlignment="1">
      <alignment horizontal="center"/>
    </xf>
    <xf numFmtId="0" fontId="8" fillId="0" borderId="61" xfId="1" applyFont="1" applyBorder="1" applyAlignment="1">
      <alignment horizontal="center" vertical="center" wrapText="1"/>
    </xf>
    <xf numFmtId="1" fontId="8" fillId="0" borderId="41" xfId="3" applyNumberFormat="1" applyFont="1" applyBorder="1" applyAlignment="1">
      <alignment horizontal="center" vertical="center" wrapText="1"/>
    </xf>
    <xf numFmtId="1" fontId="8" fillId="0" borderId="65" xfId="3" applyNumberFormat="1" applyFont="1" applyBorder="1" applyAlignment="1">
      <alignment horizontal="center" vertical="center" wrapText="1"/>
    </xf>
    <xf numFmtId="0" fontId="0" fillId="0" borderId="70" xfId="0" applyBorder="1"/>
    <xf numFmtId="0" fontId="0" fillId="0" borderId="57" xfId="0" applyBorder="1" applyAlignment="1">
      <alignment horizontal="center"/>
    </xf>
    <xf numFmtId="3" fontId="7" fillId="0" borderId="58" xfId="1" applyNumberFormat="1" applyFont="1" applyBorder="1" applyAlignment="1">
      <alignment horizontal="center" vertical="center" wrapText="1"/>
    </xf>
    <xf numFmtId="251" fontId="7" fillId="82" borderId="59" xfId="3" applyNumberFormat="1" applyFill="1" applyBorder="1" applyAlignment="1">
      <alignment horizontal="center" vertical="center" wrapText="1"/>
    </xf>
    <xf numFmtId="0" fontId="8" fillId="0" borderId="66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3" fontId="168" fillId="0" borderId="40" xfId="0" applyNumberFormat="1" applyFont="1" applyBorder="1" applyAlignment="1">
      <alignment horizontal="center"/>
    </xf>
    <xf numFmtId="0" fontId="0" fillId="0" borderId="46" xfId="0" applyBorder="1" applyAlignment="1">
      <alignment horizontal="left" indent="2"/>
    </xf>
    <xf numFmtId="251" fontId="7" fillId="0" borderId="40" xfId="1" applyNumberFormat="1" applyFont="1" applyBorder="1" applyAlignment="1">
      <alignment horizontal="center" vertical="center" wrapText="1"/>
    </xf>
    <xf numFmtId="251" fontId="7" fillId="82" borderId="40" xfId="1" applyNumberFormat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0" fontId="0" fillId="0" borderId="40" xfId="0" applyBorder="1" applyAlignment="1">
      <alignment horizontal="center"/>
    </xf>
    <xf numFmtId="3" fontId="7" fillId="0" borderId="49" xfId="1" applyNumberFormat="1" applyFont="1" applyBorder="1" applyAlignment="1">
      <alignment horizontal="center" vertical="center" wrapText="1"/>
    </xf>
    <xf numFmtId="3" fontId="0" fillId="0" borderId="49" xfId="0" applyNumberFormat="1" applyBorder="1"/>
    <xf numFmtId="0" fontId="0" fillId="0" borderId="49" xfId="0" applyBorder="1"/>
    <xf numFmtId="0" fontId="7" fillId="0" borderId="44" xfId="1" applyFont="1" applyBorder="1" applyAlignment="1">
      <alignment horizontal="center" vertical="center" wrapText="1"/>
    </xf>
    <xf numFmtId="0" fontId="7" fillId="0" borderId="45" xfId="1" applyFont="1" applyBorder="1" applyAlignment="1">
      <alignment horizontal="center" vertical="center" wrapText="1"/>
    </xf>
    <xf numFmtId="1" fontId="7" fillId="0" borderId="49" xfId="3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0" xfId="0" applyBorder="1" applyAlignment="1">
      <alignment horizontal="left" indent="2"/>
    </xf>
    <xf numFmtId="0" fontId="0" fillId="0" borderId="57" xfId="0" applyBorder="1"/>
    <xf numFmtId="0" fontId="0" fillId="0" borderId="40" xfId="0" applyBorder="1" applyAlignment="1">
      <alignment horizontal="left" indent="2"/>
    </xf>
    <xf numFmtId="0" fontId="0" fillId="82" borderId="0" xfId="0" applyFill="1" applyAlignment="1">
      <alignment horizontal="left"/>
    </xf>
    <xf numFmtId="0" fontId="7" fillId="82" borderId="61" xfId="1" applyFont="1" applyFill="1" applyBorder="1" applyAlignment="1">
      <alignment horizontal="right" vertical="center" wrapText="1"/>
    </xf>
    <xf numFmtId="3" fontId="0" fillId="82" borderId="46" xfId="0" applyNumberFormat="1" applyFill="1" applyBorder="1"/>
    <xf numFmtId="0" fontId="0" fillId="82" borderId="40" xfId="0" applyFill="1" applyBorder="1" applyAlignment="1">
      <alignment horizontal="center"/>
    </xf>
    <xf numFmtId="0" fontId="0" fillId="82" borderId="47" xfId="0" applyFill="1" applyBorder="1" applyAlignment="1">
      <alignment horizontal="center"/>
    </xf>
    <xf numFmtId="0" fontId="0" fillId="82" borderId="58" xfId="0" applyFill="1" applyBorder="1" applyAlignment="1">
      <alignment horizontal="center"/>
    </xf>
    <xf numFmtId="0" fontId="7" fillId="82" borderId="62" xfId="1" applyFont="1" applyFill="1" applyBorder="1" applyAlignment="1">
      <alignment horizontal="right" vertical="center" wrapText="1"/>
    </xf>
    <xf numFmtId="3" fontId="0" fillId="82" borderId="48" xfId="0" applyNumberFormat="1" applyFill="1" applyBorder="1"/>
    <xf numFmtId="0" fontId="0" fillId="82" borderId="49" xfId="0" applyFill="1" applyBorder="1" applyAlignment="1">
      <alignment horizontal="center"/>
    </xf>
    <xf numFmtId="0" fontId="0" fillId="82" borderId="50" xfId="0" applyFill="1" applyBorder="1" applyAlignment="1">
      <alignment horizontal="center"/>
    </xf>
    <xf numFmtId="0" fontId="0" fillId="82" borderId="59" xfId="0" applyFill="1" applyBorder="1" applyAlignment="1">
      <alignment horizontal="center"/>
    </xf>
    <xf numFmtId="251" fontId="7" fillId="82" borderId="57" xfId="1" applyNumberFormat="1" applyFont="1" applyFill="1" applyBorder="1" applyAlignment="1">
      <alignment horizontal="center" vertical="center" wrapText="1"/>
    </xf>
    <xf numFmtId="3" fontId="7" fillId="82" borderId="42" xfId="1" applyNumberFormat="1" applyFont="1" applyFill="1" applyBorder="1" applyAlignment="1">
      <alignment horizontal="right" vertical="center" wrapText="1"/>
    </xf>
    <xf numFmtId="0" fontId="7" fillId="82" borderId="42" xfId="1" applyFont="1" applyFill="1" applyBorder="1" applyAlignment="1">
      <alignment horizontal="center" vertical="center" wrapText="1"/>
    </xf>
    <xf numFmtId="251" fontId="7" fillId="82" borderId="58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251" fontId="7" fillId="82" borderId="70" xfId="1" applyNumberFormat="1" applyFont="1" applyFill="1" applyBorder="1" applyAlignment="1">
      <alignment horizontal="center" vertical="center" wrapText="1"/>
    </xf>
    <xf numFmtId="3" fontId="7" fillId="82" borderId="41" xfId="1" applyNumberFormat="1" applyFont="1" applyFill="1" applyBorder="1" applyAlignment="1">
      <alignment horizontal="right" vertical="center" wrapText="1"/>
    </xf>
    <xf numFmtId="0" fontId="7" fillId="82" borderId="41" xfId="1" applyFont="1" applyFill="1" applyBorder="1" applyAlignment="1">
      <alignment horizontal="center" vertical="center" wrapText="1"/>
    </xf>
    <xf numFmtId="0" fontId="0" fillId="0" borderId="63" xfId="0" applyBorder="1"/>
    <xf numFmtId="3" fontId="7" fillId="82" borderId="51" xfId="1" applyNumberFormat="1" applyFont="1" applyFill="1" applyBorder="1" applyAlignment="1">
      <alignment horizontal="right" vertical="center" wrapText="1"/>
    </xf>
    <xf numFmtId="3" fontId="0" fillId="82" borderId="40" xfId="0" applyNumberFormat="1" applyFill="1" applyBorder="1" applyAlignment="1">
      <alignment horizontal="center"/>
    </xf>
    <xf numFmtId="3" fontId="0" fillId="82" borderId="40" xfId="0" applyNumberFormat="1" applyFill="1" applyBorder="1"/>
    <xf numFmtId="0" fontId="8" fillId="82" borderId="40" xfId="1" applyFont="1" applyFill="1" applyBorder="1" applyAlignment="1">
      <alignment horizontal="center" vertical="center" wrapText="1"/>
    </xf>
    <xf numFmtId="3" fontId="7" fillId="82" borderId="40" xfId="4" applyNumberFormat="1" applyFont="1" applyFill="1" applyBorder="1" applyAlignment="1">
      <alignment horizontal="center" vertical="center"/>
    </xf>
    <xf numFmtId="3" fontId="7" fillId="82" borderId="40" xfId="1" applyNumberFormat="1" applyFont="1" applyFill="1" applyBorder="1" applyAlignment="1">
      <alignment horizontal="center" vertical="center"/>
    </xf>
    <xf numFmtId="1" fontId="9" fillId="82" borderId="40" xfId="3" applyNumberFormat="1" applyFont="1" applyFill="1" applyBorder="1" applyAlignment="1">
      <alignment horizontal="center" vertical="center" wrapText="1"/>
    </xf>
    <xf numFmtId="0" fontId="7" fillId="82" borderId="49" xfId="1" applyFont="1" applyFill="1" applyBorder="1" applyAlignment="1">
      <alignment horizontal="center" vertical="center"/>
    </xf>
    <xf numFmtId="0" fontId="168" fillId="0" borderId="35" xfId="0" applyFont="1" applyBorder="1"/>
    <xf numFmtId="0" fontId="8" fillId="0" borderId="53" xfId="1" applyFont="1" applyBorder="1" applyAlignment="1">
      <alignment horizontal="center" vertical="center" wrapText="1"/>
    </xf>
    <xf numFmtId="0" fontId="0" fillId="0" borderId="54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0" fontId="170" fillId="0" borderId="67" xfId="1" applyFont="1" applyBorder="1" applyAlignment="1">
      <alignment horizontal="center" vertical="center" wrapText="1"/>
    </xf>
    <xf numFmtId="1" fontId="170" fillId="0" borderId="43" xfId="3" applyNumberFormat="1" applyFont="1" applyBorder="1" applyAlignment="1">
      <alignment horizontal="center" vertical="center" wrapText="1"/>
    </xf>
    <xf numFmtId="1" fontId="170" fillId="0" borderId="44" xfId="3" applyNumberFormat="1" applyFont="1" applyBorder="1" applyAlignment="1">
      <alignment horizontal="center" vertical="center" wrapText="1"/>
    </xf>
    <xf numFmtId="1" fontId="170" fillId="0" borderId="45" xfId="3" applyNumberFormat="1" applyFont="1" applyBorder="1" applyAlignment="1">
      <alignment horizontal="center" vertical="center" wrapText="1"/>
    </xf>
    <xf numFmtId="1" fontId="170" fillId="0" borderId="68" xfId="3" applyNumberFormat="1" applyFont="1" applyBorder="1" applyAlignment="1">
      <alignment horizontal="center" vertical="center" wrapText="1"/>
    </xf>
    <xf numFmtId="0" fontId="170" fillId="0" borderId="69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68" xfId="1" applyFont="1" applyBorder="1" applyAlignment="1">
      <alignment horizontal="center" vertical="center" wrapText="1"/>
    </xf>
    <xf numFmtId="0" fontId="168" fillId="0" borderId="44" xfId="0" applyFont="1" applyBorder="1" applyAlignment="1">
      <alignment horizontal="center" vertical="center"/>
    </xf>
    <xf numFmtId="0" fontId="168" fillId="0" borderId="67" xfId="0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 wrapText="1"/>
    </xf>
    <xf numFmtId="0" fontId="8" fillId="0" borderId="73" xfId="1" applyFont="1" applyBorder="1" applyAlignment="1">
      <alignment horizontal="center" vertical="center" wrapText="1"/>
    </xf>
    <xf numFmtId="0" fontId="8" fillId="0" borderId="69" xfId="1" applyFont="1" applyBorder="1" applyAlignment="1">
      <alignment horizontal="center" vertical="center" wrapText="1"/>
    </xf>
    <xf numFmtId="0" fontId="168" fillId="0" borderId="69" xfId="0" applyFont="1" applyBorder="1" applyAlignment="1">
      <alignment horizontal="center" vertical="center"/>
    </xf>
    <xf numFmtId="1" fontId="7" fillId="0" borderId="0" xfId="3" applyNumberFormat="1" applyAlignment="1">
      <alignment horizontal="center" vertical="center" wrapText="1"/>
    </xf>
    <xf numFmtId="172" fontId="7" fillId="0" borderId="0" xfId="1" applyNumberFormat="1" applyFont="1" applyAlignment="1">
      <alignment horizontal="center" vertical="center" wrapText="1"/>
    </xf>
    <xf numFmtId="0" fontId="8" fillId="0" borderId="71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3" fontId="7" fillId="0" borderId="42" xfId="1" applyNumberFormat="1" applyFont="1" applyBorder="1" applyAlignment="1">
      <alignment horizontal="center" vertical="center" wrapText="1"/>
    </xf>
    <xf numFmtId="3" fontId="7" fillId="82" borderId="75" xfId="1" applyNumberFormat="1" applyFont="1" applyFill="1" applyBorder="1" applyAlignment="1">
      <alignment horizontal="right" vertical="center" wrapText="1"/>
    </xf>
    <xf numFmtId="3" fontId="7" fillId="0" borderId="76" xfId="1" applyNumberFormat="1" applyFont="1" applyBorder="1" applyAlignment="1">
      <alignment horizontal="center" vertical="center" wrapText="1"/>
    </xf>
    <xf numFmtId="0" fontId="1" fillId="0" borderId="0" xfId="0" applyFont="1"/>
    <xf numFmtId="0" fontId="171" fillId="0" borderId="0" xfId="0" applyFont="1" applyAlignment="1">
      <alignment horizontal="left"/>
    </xf>
    <xf numFmtId="3" fontId="7" fillId="0" borderId="51" xfId="1" applyNumberFormat="1" applyFont="1" applyBorder="1" applyAlignment="1">
      <alignment horizontal="right" vertical="center" wrapText="1"/>
    </xf>
    <xf numFmtId="3" fontId="7" fillId="0" borderId="75" xfId="1" applyNumberFormat="1" applyFont="1" applyBorder="1" applyAlignment="1">
      <alignment horizontal="right" vertical="center" wrapText="1"/>
    </xf>
    <xf numFmtId="0" fontId="171" fillId="0" borderId="77" xfId="0" applyFont="1" applyBorder="1" applyAlignment="1">
      <alignment horizontal="center" vertical="center"/>
    </xf>
    <xf numFmtId="3" fontId="7" fillId="0" borderId="78" xfId="1" applyNumberFormat="1" applyFont="1" applyBorder="1" applyAlignment="1">
      <alignment horizontal="center" vertical="center" wrapText="1"/>
    </xf>
    <xf numFmtId="3" fontId="7" fillId="0" borderId="79" xfId="1" applyNumberFormat="1" applyFont="1" applyBorder="1" applyAlignment="1">
      <alignment horizontal="center" vertical="center" wrapText="1"/>
    </xf>
    <xf numFmtId="172" fontId="8" fillId="0" borderId="40" xfId="1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72" fontId="7" fillId="82" borderId="40" xfId="1" applyNumberFormat="1" applyFont="1" applyFill="1" applyBorder="1" applyAlignment="1">
      <alignment horizontal="center" vertical="center" wrapText="1"/>
    </xf>
    <xf numFmtId="1" fontId="7" fillId="0" borderId="44" xfId="3" applyNumberFormat="1" applyBorder="1" applyAlignment="1">
      <alignment horizontal="center" vertical="center" wrapText="1"/>
    </xf>
    <xf numFmtId="172" fontId="8" fillId="0" borderId="44" xfId="1" applyNumberFormat="1" applyFont="1" applyBorder="1" applyAlignment="1">
      <alignment horizontal="center" vertical="center" wrapText="1"/>
    </xf>
    <xf numFmtId="175" fontId="0" fillId="0" borderId="80" xfId="0" applyNumberFormat="1" applyBorder="1" applyAlignment="1">
      <alignment horizontal="center"/>
    </xf>
    <xf numFmtId="172" fontId="7" fillId="82" borderId="49" xfId="1" applyNumberFormat="1" applyFont="1" applyFill="1" applyBorder="1" applyAlignment="1">
      <alignment horizontal="center" vertical="center" wrapText="1"/>
    </xf>
    <xf numFmtId="0" fontId="171" fillId="0" borderId="77" xfId="0" applyFont="1" applyBorder="1" applyAlignment="1">
      <alignment horizontal="center" vertical="center" wrapText="1"/>
    </xf>
    <xf numFmtId="0" fontId="7" fillId="0" borderId="40" xfId="1" applyFont="1" applyBorder="1" applyAlignment="1">
      <alignment vertical="center"/>
    </xf>
    <xf numFmtId="0" fontId="8" fillId="0" borderId="40" xfId="1" applyFont="1" applyBorder="1" applyAlignment="1">
      <alignment vertical="center" wrapText="1"/>
    </xf>
    <xf numFmtId="0" fontId="7" fillId="0" borderId="40" xfId="1" applyFont="1" applyBorder="1" applyAlignment="1">
      <alignment horizontal="right" vertical="center" wrapText="1"/>
    </xf>
    <xf numFmtId="1" fontId="8" fillId="0" borderId="40" xfId="3" applyNumberFormat="1" applyFont="1" applyBorder="1" applyAlignment="1">
      <alignment horizontal="left" vertical="center" wrapText="1"/>
    </xf>
    <xf numFmtId="0" fontId="7" fillId="0" borderId="43" xfId="1" applyFont="1" applyBorder="1" applyAlignment="1">
      <alignment vertical="center"/>
    </xf>
    <xf numFmtId="0" fontId="8" fillId="0" borderId="44" xfId="1" applyFont="1" applyBorder="1" applyAlignment="1">
      <alignment vertical="center" wrapText="1"/>
    </xf>
    <xf numFmtId="2" fontId="7" fillId="0" borderId="45" xfId="1" applyNumberFormat="1" applyFont="1" applyBorder="1" applyAlignment="1">
      <alignment horizontal="left" vertical="center" wrapText="1"/>
    </xf>
    <xf numFmtId="0" fontId="7" fillId="0" borderId="46" xfId="1" applyFont="1" applyBorder="1" applyAlignment="1">
      <alignment vertical="center"/>
    </xf>
    <xf numFmtId="2" fontId="7" fillId="0" borderId="47" xfId="1" applyNumberFormat="1" applyFont="1" applyBorder="1" applyAlignment="1">
      <alignment horizontal="left" vertical="center" wrapText="1"/>
    </xf>
    <xf numFmtId="0" fontId="7" fillId="0" borderId="48" xfId="1" applyFont="1" applyBorder="1" applyAlignment="1">
      <alignment vertical="center"/>
    </xf>
    <xf numFmtId="0" fontId="8" fillId="0" borderId="49" xfId="1" applyFont="1" applyBorder="1" applyAlignment="1">
      <alignment vertical="center" wrapText="1"/>
    </xf>
    <xf numFmtId="0" fontId="7" fillId="0" borderId="50" xfId="1" applyFont="1" applyBorder="1" applyAlignment="1">
      <alignment vertical="center"/>
    </xf>
    <xf numFmtId="0" fontId="7" fillId="82" borderId="0" xfId="1" applyFont="1" applyFill="1" applyAlignment="1">
      <alignment horizontal="center" vertical="center"/>
    </xf>
    <xf numFmtId="1" fontId="7" fillId="0" borderId="40" xfId="3" applyNumberFormat="1" applyBorder="1" applyAlignment="1">
      <alignment horizontal="right" vertical="center" wrapText="1"/>
    </xf>
    <xf numFmtId="4" fontId="8" fillId="0" borderId="40" xfId="1" applyNumberFormat="1" applyFont="1" applyBorder="1" applyAlignment="1">
      <alignment horizontal="center" vertical="center" wrapText="1"/>
    </xf>
    <xf numFmtId="0" fontId="0" fillId="0" borderId="74" xfId="0" applyBorder="1" applyAlignment="1">
      <alignment horizontal="right"/>
    </xf>
    <xf numFmtId="0" fontId="0" fillId="82" borderId="46" xfId="0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8792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14" xfId="28788" xr:uid="{F331C461-3273-4225-88C6-F24AFBFF76EB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2" xfId="27298" xr:uid="{00000000-0005-0000-0000-00009E6A0000}"/>
    <cellStyle name="Обычный 11 2 2" xfId="27299" xr:uid="{00000000-0005-0000-0000-00009F6A0000}"/>
    <cellStyle name="Обычный 11 3" xfId="27300" xr:uid="{00000000-0005-0000-0000-0000A06A0000}"/>
    <cellStyle name="Обычный 11 4" xfId="27301" xr:uid="{00000000-0005-0000-0000-0000A16A0000}"/>
    <cellStyle name="Обычный 11 5" xfId="27302" xr:uid="{00000000-0005-0000-0000-0000A26A0000}"/>
    <cellStyle name="Обычный 11 6" xfId="28791" xr:uid="{A4F2C338-71F2-413D-A41A-6C7EAAA4961A}"/>
    <cellStyle name="Обычный 12" xfId="27303" xr:uid="{00000000-0005-0000-0000-0000A36A0000}"/>
    <cellStyle name="Обычный 12 2" xfId="27304" xr:uid="{00000000-0005-0000-0000-0000A46A0000}"/>
    <cellStyle name="Обычный 12 2 2" xfId="27305" xr:uid="{00000000-0005-0000-0000-0000A56A0000}"/>
    <cellStyle name="Обычный 12 2 2 2" xfId="27306" xr:uid="{00000000-0005-0000-0000-0000A66A0000}"/>
    <cellStyle name="Обычный 12 2 2 3" xfId="27307" xr:uid="{00000000-0005-0000-0000-0000A76A0000}"/>
    <cellStyle name="Обычный 12 2 2_2013Прогноз" xfId="27308" xr:uid="{00000000-0005-0000-0000-0000A86A0000}"/>
    <cellStyle name="Обычный 12 2 3" xfId="27309" xr:uid="{00000000-0005-0000-0000-0000A96A0000}"/>
    <cellStyle name="Обычный 12 2 4" xfId="27310" xr:uid="{00000000-0005-0000-0000-0000AA6A0000}"/>
    <cellStyle name="Обычный 12 2 5" xfId="27311" xr:uid="{00000000-0005-0000-0000-0000AB6A0000}"/>
    <cellStyle name="Обычный 12 2_2013Прогноз" xfId="27312" xr:uid="{00000000-0005-0000-0000-0000AC6A0000}"/>
    <cellStyle name="Обычный 12 3" xfId="27313" xr:uid="{00000000-0005-0000-0000-0000AD6A0000}"/>
    <cellStyle name="Обычный 12 3 2" xfId="27314" xr:uid="{00000000-0005-0000-0000-0000AE6A0000}"/>
    <cellStyle name="Обычный 12 3 3" xfId="27315" xr:uid="{00000000-0005-0000-0000-0000AF6A0000}"/>
    <cellStyle name="Обычный 12 3 4" xfId="27316" xr:uid="{00000000-0005-0000-0000-0000B06A0000}"/>
    <cellStyle name="Обычный 12 3_2013Прогноз" xfId="27317" xr:uid="{00000000-0005-0000-0000-0000B16A0000}"/>
    <cellStyle name="Обычный 12 4" xfId="27318" xr:uid="{00000000-0005-0000-0000-0000B26A0000}"/>
    <cellStyle name="Обычный 12 4 2" xfId="27319" xr:uid="{00000000-0005-0000-0000-0000B36A0000}"/>
    <cellStyle name="Обычный 12 5" xfId="27320" xr:uid="{00000000-0005-0000-0000-0000B46A0000}"/>
    <cellStyle name="Обычный 12 6" xfId="27321" xr:uid="{00000000-0005-0000-0000-0000B56A0000}"/>
    <cellStyle name="Обычный 12_2013Прогноз" xfId="27322" xr:uid="{00000000-0005-0000-0000-0000B66A0000}"/>
    <cellStyle name="Обычный 13" xfId="27323" xr:uid="{00000000-0005-0000-0000-0000B76A0000}"/>
    <cellStyle name="Обычный 13 2" xfId="27324" xr:uid="{00000000-0005-0000-0000-0000B86A0000}"/>
    <cellStyle name="Обычный 13 3" xfId="27325" xr:uid="{00000000-0005-0000-0000-0000B96A0000}"/>
    <cellStyle name="Обычный 13 4" xfId="1" xr:uid="{00000000-0005-0000-0000-0000BA6A0000}"/>
    <cellStyle name="Обычный 14" xfId="27326" xr:uid="{00000000-0005-0000-0000-0000BB6A0000}"/>
    <cellStyle name="Обычный 14 2" xfId="27327" xr:uid="{00000000-0005-0000-0000-0000BC6A0000}"/>
    <cellStyle name="Обычный 14 3" xfId="27328" xr:uid="{00000000-0005-0000-0000-0000BD6A0000}"/>
    <cellStyle name="Обычный 15" xfId="27329" xr:uid="{00000000-0005-0000-0000-0000BE6A0000}"/>
    <cellStyle name="Обычный 15 2" xfId="27330" xr:uid="{00000000-0005-0000-0000-0000BF6A0000}"/>
    <cellStyle name="Обычный 15 2 2" xfId="27331" xr:uid="{00000000-0005-0000-0000-0000C06A0000}"/>
    <cellStyle name="Обычный 15 3" xfId="27332" xr:uid="{00000000-0005-0000-0000-0000C16A0000}"/>
    <cellStyle name="Обычный 15 3 2" xfId="27333" xr:uid="{00000000-0005-0000-0000-0000C26A0000}"/>
    <cellStyle name="Обычный 15 4" xfId="27334" xr:uid="{00000000-0005-0000-0000-0000C36A0000}"/>
    <cellStyle name="Обычный 15_2014БП" xfId="27335" xr:uid="{00000000-0005-0000-0000-0000C46A0000}"/>
    <cellStyle name="Обычный 16" xfId="27336" xr:uid="{00000000-0005-0000-0000-0000C56A0000}"/>
    <cellStyle name="Обычный 16 2" xfId="27337" xr:uid="{00000000-0005-0000-0000-0000C66A0000}"/>
    <cellStyle name="Обычный 16 3" xfId="27338" xr:uid="{00000000-0005-0000-0000-0000C76A0000}"/>
    <cellStyle name="Обычный 16 4" xfId="27339" xr:uid="{00000000-0005-0000-0000-0000C86A0000}"/>
    <cellStyle name="Обычный 16 5" xfId="27340" xr:uid="{00000000-0005-0000-0000-0000C96A0000}"/>
    <cellStyle name="Обычный 16 6" xfId="27341" xr:uid="{00000000-0005-0000-0000-0000CA6A0000}"/>
    <cellStyle name="Обычный 17" xfId="27342" xr:uid="{00000000-0005-0000-0000-0000CB6A0000}"/>
    <cellStyle name="Обычный 17 2" xfId="27343" xr:uid="{00000000-0005-0000-0000-0000CC6A0000}"/>
    <cellStyle name="Обычный 17 2 2" xfId="27344" xr:uid="{00000000-0005-0000-0000-0000CD6A0000}"/>
    <cellStyle name="Обычный 17 2 3" xfId="27345" xr:uid="{00000000-0005-0000-0000-0000CE6A0000}"/>
    <cellStyle name="Обычный 17 2 4" xfId="27346" xr:uid="{00000000-0005-0000-0000-0000CF6A0000}"/>
    <cellStyle name="Обычный 17 2 5" xfId="27347" xr:uid="{00000000-0005-0000-0000-0000D06A0000}"/>
    <cellStyle name="Обычный 17 3" xfId="27348" xr:uid="{00000000-0005-0000-0000-0000D16A0000}"/>
    <cellStyle name="Обычный 17 4" xfId="27349" xr:uid="{00000000-0005-0000-0000-0000D26A0000}"/>
    <cellStyle name="Обычный 17 5" xfId="27350" xr:uid="{00000000-0005-0000-0000-0000D36A0000}"/>
    <cellStyle name="Обычный 17 6" xfId="27351" xr:uid="{00000000-0005-0000-0000-0000D46A0000}"/>
    <cellStyle name="Обычный 17 7" xfId="27352" xr:uid="{00000000-0005-0000-0000-0000D56A0000}"/>
    <cellStyle name="Обычный 18" xfId="27353" xr:uid="{00000000-0005-0000-0000-0000D66A0000}"/>
    <cellStyle name="Обычный 18 2" xfId="27354" xr:uid="{00000000-0005-0000-0000-0000D76A0000}"/>
    <cellStyle name="Обычный 18 3" xfId="27355" xr:uid="{00000000-0005-0000-0000-0000D86A0000}"/>
    <cellStyle name="Обычный 19" xfId="27356" xr:uid="{00000000-0005-0000-0000-0000D96A0000}"/>
    <cellStyle name="Обычный 19 2" xfId="27357" xr:uid="{00000000-0005-0000-0000-0000DA6A0000}"/>
    <cellStyle name="Обычный 19 3" xfId="27358" xr:uid="{00000000-0005-0000-0000-0000DB6A0000}"/>
    <cellStyle name="Обычный 19 4" xfId="27359" xr:uid="{00000000-0005-0000-0000-0000DC6A0000}"/>
    <cellStyle name="Обычный 2" xfId="27360" xr:uid="{00000000-0005-0000-0000-0000DD6A0000}"/>
    <cellStyle name="Обычный 2 10" xfId="27361" xr:uid="{00000000-0005-0000-0000-0000DE6A0000}"/>
    <cellStyle name="Обычный 2 11" xfId="27362" xr:uid="{00000000-0005-0000-0000-0000DF6A0000}"/>
    <cellStyle name="Обычный 2 12" xfId="27363" xr:uid="{00000000-0005-0000-0000-0000E06A0000}"/>
    <cellStyle name="Обычный 2 16" xfId="27364" xr:uid="{00000000-0005-0000-0000-0000E16A0000}"/>
    <cellStyle name="Обычный 2 16 2" xfId="27365" xr:uid="{00000000-0005-0000-0000-0000E26A0000}"/>
    <cellStyle name="Обычный 2 16_Анализ МТР к СБП" xfId="27366" xr:uid="{00000000-0005-0000-0000-0000E36A0000}"/>
    <cellStyle name="Обычный 2 2" xfId="27367" xr:uid="{00000000-0005-0000-0000-0000E46A0000}"/>
    <cellStyle name="Обычный 2 2 10" xfId="27368" xr:uid="{00000000-0005-0000-0000-0000E56A0000}"/>
    <cellStyle name="Обычный 2 2 2" xfId="27369" xr:uid="{00000000-0005-0000-0000-0000E66A0000}"/>
    <cellStyle name="Обычный 2 2 2 2" xfId="27370" xr:uid="{00000000-0005-0000-0000-0000E76A0000}"/>
    <cellStyle name="Обычный 2 2 2 3" xfId="27371" xr:uid="{00000000-0005-0000-0000-0000E86A0000}"/>
    <cellStyle name="Обычный 2 2 2_2013Прогноз" xfId="27372" xr:uid="{00000000-0005-0000-0000-0000E96A0000}"/>
    <cellStyle name="Обычный 2 2 3" xfId="27373" xr:uid="{00000000-0005-0000-0000-0000EA6A0000}"/>
    <cellStyle name="Обычный 2 2 3 2" xfId="27374" xr:uid="{00000000-0005-0000-0000-0000EB6A0000}"/>
    <cellStyle name="Обычный 2 2 4" xfId="27375" xr:uid="{00000000-0005-0000-0000-0000EC6A0000}"/>
    <cellStyle name="Обычный 2 2 4 2" xfId="27376" xr:uid="{00000000-0005-0000-0000-0000ED6A0000}"/>
    <cellStyle name="Обычный 2 2 5" xfId="27377" xr:uid="{00000000-0005-0000-0000-0000EE6A0000}"/>
    <cellStyle name="Обычный 2 2 6" xfId="27378" xr:uid="{00000000-0005-0000-0000-0000EF6A0000}"/>
    <cellStyle name="Обычный 2 2 7" xfId="27379" xr:uid="{00000000-0005-0000-0000-0000F06A0000}"/>
    <cellStyle name="Обычный 2 2 8" xfId="27380" xr:uid="{00000000-0005-0000-0000-0000F16A0000}"/>
    <cellStyle name="Обычный 2 2 9" xfId="27381" xr:uid="{00000000-0005-0000-0000-0000F26A0000}"/>
    <cellStyle name="Обычный 2 2_2014БП" xfId="27382" xr:uid="{00000000-0005-0000-0000-0000F36A0000}"/>
    <cellStyle name="Обычный 2 3" xfId="27383" xr:uid="{00000000-0005-0000-0000-0000F46A0000}"/>
    <cellStyle name="Обычный 2 3 10" xfId="27384" xr:uid="{00000000-0005-0000-0000-0000F56A0000}"/>
    <cellStyle name="Обычный 2 3 11" xfId="27385" xr:uid="{00000000-0005-0000-0000-0000F66A0000}"/>
    <cellStyle name="Обычный 2 3 2" xfId="27386" xr:uid="{00000000-0005-0000-0000-0000F76A0000}"/>
    <cellStyle name="Обычный 2 3 2 2" xfId="27387" xr:uid="{00000000-0005-0000-0000-0000F86A0000}"/>
    <cellStyle name="Обычный 2 3 2 3" xfId="27388" xr:uid="{00000000-0005-0000-0000-0000F96A0000}"/>
    <cellStyle name="Обычный 2 3 2 4" xfId="27389" xr:uid="{00000000-0005-0000-0000-0000FA6A0000}"/>
    <cellStyle name="Обычный 2 3 2_2013Прогноз" xfId="27390" xr:uid="{00000000-0005-0000-0000-0000FB6A0000}"/>
    <cellStyle name="Обычный 2 3 3" xfId="27391" xr:uid="{00000000-0005-0000-0000-0000FC6A0000}"/>
    <cellStyle name="Обычный 2 3 3 2" xfId="27392" xr:uid="{00000000-0005-0000-0000-0000FD6A0000}"/>
    <cellStyle name="Обычный 2 3 3 3" xfId="27393" xr:uid="{00000000-0005-0000-0000-0000FE6A0000}"/>
    <cellStyle name="Обычный 2 3 3_2013Прогноз" xfId="27394" xr:uid="{00000000-0005-0000-0000-0000FF6A0000}"/>
    <cellStyle name="Обычный 2 3 4" xfId="27395" xr:uid="{00000000-0005-0000-0000-0000006B0000}"/>
    <cellStyle name="Обычный 2 3 4 2" xfId="27396" xr:uid="{00000000-0005-0000-0000-0000016B0000}"/>
    <cellStyle name="Обычный 2 3 4_2013Прогноз" xfId="27397" xr:uid="{00000000-0005-0000-0000-0000026B0000}"/>
    <cellStyle name="Обычный 2 3 5" xfId="27398" xr:uid="{00000000-0005-0000-0000-0000036B0000}"/>
    <cellStyle name="Обычный 2 3 6" xfId="27399" xr:uid="{00000000-0005-0000-0000-0000046B0000}"/>
    <cellStyle name="Обычный 2 3 7" xfId="27400" xr:uid="{00000000-0005-0000-0000-0000056B0000}"/>
    <cellStyle name="Обычный 2 3 8" xfId="27401" xr:uid="{00000000-0005-0000-0000-0000066B0000}"/>
    <cellStyle name="Обычный 2 3 9" xfId="27402" xr:uid="{00000000-0005-0000-0000-0000076B0000}"/>
    <cellStyle name="Обычный 2 3_2014БП" xfId="27403" xr:uid="{00000000-0005-0000-0000-0000086B0000}"/>
    <cellStyle name="Обычный 2 4" xfId="27404" xr:uid="{00000000-0005-0000-0000-0000096B0000}"/>
    <cellStyle name="Обычный 2 4 2" xfId="27405" xr:uid="{00000000-0005-0000-0000-00000A6B0000}"/>
    <cellStyle name="Обычный 2 4 3" xfId="27406" xr:uid="{00000000-0005-0000-0000-00000B6B0000}"/>
    <cellStyle name="Обычный 2 4 4" xfId="27407" xr:uid="{00000000-0005-0000-0000-00000C6B0000}"/>
    <cellStyle name="Обычный 2 4 5" xfId="27408" xr:uid="{00000000-0005-0000-0000-00000D6B0000}"/>
    <cellStyle name="Обычный 2 4 6" xfId="27409" xr:uid="{00000000-0005-0000-0000-00000E6B0000}"/>
    <cellStyle name="Обычный 2 4 7" xfId="27410" xr:uid="{00000000-0005-0000-0000-00000F6B0000}"/>
    <cellStyle name="Обычный 2 5" xfId="27411" xr:uid="{00000000-0005-0000-0000-0000106B0000}"/>
    <cellStyle name="Обычный 2 5 2" xfId="27412" xr:uid="{00000000-0005-0000-0000-0000116B0000}"/>
    <cellStyle name="Обычный 2 5 3" xfId="27413" xr:uid="{00000000-0005-0000-0000-0000126B0000}"/>
    <cellStyle name="Обычный 2 6" xfId="27414" xr:uid="{00000000-0005-0000-0000-0000136B0000}"/>
    <cellStyle name="Обычный 2 6 2" xfId="27415" xr:uid="{00000000-0005-0000-0000-0000146B0000}"/>
    <cellStyle name="Обычный 2 6 3" xfId="27416" xr:uid="{00000000-0005-0000-0000-0000156B0000}"/>
    <cellStyle name="Обычный 2 6 4" xfId="27417" xr:uid="{00000000-0005-0000-0000-0000166B0000}"/>
    <cellStyle name="Обычный 2 6_2013Прогноз" xfId="27418" xr:uid="{00000000-0005-0000-0000-0000176B0000}"/>
    <cellStyle name="Обычный 2 7" xfId="27419" xr:uid="{00000000-0005-0000-0000-0000186B0000}"/>
    <cellStyle name="Обычный 2 8" xfId="27420" xr:uid="{00000000-0005-0000-0000-0000196B0000}"/>
    <cellStyle name="Обычный 2 9" xfId="27421" xr:uid="{00000000-0005-0000-0000-00001A6B0000}"/>
    <cellStyle name="Обычный 2_2012Прогноз" xfId="27422" xr:uid="{00000000-0005-0000-0000-00001B6B0000}"/>
    <cellStyle name="Обычный 20" xfId="27423" xr:uid="{00000000-0005-0000-0000-00001C6B0000}"/>
    <cellStyle name="Обычный 20 2" xfId="27424" xr:uid="{00000000-0005-0000-0000-00001D6B0000}"/>
    <cellStyle name="Обычный 20 3" xfId="27425" xr:uid="{00000000-0005-0000-0000-00001E6B0000}"/>
    <cellStyle name="Обычный 21" xfId="27426" xr:uid="{00000000-0005-0000-0000-00001F6B0000}"/>
    <cellStyle name="Обычный 21 2" xfId="27427" xr:uid="{00000000-0005-0000-0000-0000206B0000}"/>
    <cellStyle name="Обычный 21 3" xfId="27428" xr:uid="{00000000-0005-0000-0000-0000216B0000}"/>
    <cellStyle name="Обычный 22" xfId="27429" xr:uid="{00000000-0005-0000-0000-0000226B0000}"/>
    <cellStyle name="Обычный 22 2" xfId="27430" xr:uid="{00000000-0005-0000-0000-0000236B0000}"/>
    <cellStyle name="Обычный 22 3" xfId="27431" xr:uid="{00000000-0005-0000-0000-0000246B0000}"/>
    <cellStyle name="Обычный 22 4" xfId="27432" xr:uid="{00000000-0005-0000-0000-0000256B0000}"/>
    <cellStyle name="Обычный 22 5" xfId="27433" xr:uid="{00000000-0005-0000-0000-0000266B0000}"/>
    <cellStyle name="Обычный 22 6" xfId="27434" xr:uid="{00000000-0005-0000-0000-0000276B0000}"/>
    <cellStyle name="Обычный 23" xfId="27435" xr:uid="{00000000-0005-0000-0000-0000286B0000}"/>
    <cellStyle name="Обычный 23 2" xfId="27436" xr:uid="{00000000-0005-0000-0000-0000296B0000}"/>
    <cellStyle name="Обычный 23 2 2" xfId="27437" xr:uid="{00000000-0005-0000-0000-00002A6B0000}"/>
    <cellStyle name="Обычный 23 2 3" xfId="27438" xr:uid="{00000000-0005-0000-0000-00002B6B0000}"/>
    <cellStyle name="Обычный 23 2_2013Прогноз" xfId="27439" xr:uid="{00000000-0005-0000-0000-00002C6B0000}"/>
    <cellStyle name="Обычный 23 3" xfId="27440" xr:uid="{00000000-0005-0000-0000-00002D6B0000}"/>
    <cellStyle name="Обычный 23 4" xfId="27441" xr:uid="{00000000-0005-0000-0000-00002E6B0000}"/>
    <cellStyle name="Обычный 23 5" xfId="27442" xr:uid="{00000000-0005-0000-0000-00002F6B0000}"/>
    <cellStyle name="Обычный 23_2013Прогноз" xfId="27443" xr:uid="{00000000-0005-0000-0000-0000306B0000}"/>
    <cellStyle name="Обычный 24" xfId="27444" xr:uid="{00000000-0005-0000-0000-0000316B0000}"/>
    <cellStyle name="Обычный 24 10" xfId="27445" xr:uid="{00000000-0005-0000-0000-0000326B0000}"/>
    <cellStyle name="Обычный 24 11" xfId="27446" xr:uid="{00000000-0005-0000-0000-0000336B0000}"/>
    <cellStyle name="Обычный 24 2" xfId="27447" xr:uid="{00000000-0005-0000-0000-0000346B0000}"/>
    <cellStyle name="Обычный 24 2 2" xfId="27448" xr:uid="{00000000-0005-0000-0000-0000356B0000}"/>
    <cellStyle name="Обычный 24 2 3" xfId="27449" xr:uid="{00000000-0005-0000-0000-0000366B0000}"/>
    <cellStyle name="Обычный 24 2_2013Прогноз" xfId="27450" xr:uid="{00000000-0005-0000-0000-0000376B0000}"/>
    <cellStyle name="Обычный 24 3" xfId="27451" xr:uid="{00000000-0005-0000-0000-0000386B0000}"/>
    <cellStyle name="Обычный 24 4" xfId="27452" xr:uid="{00000000-0005-0000-0000-0000396B0000}"/>
    <cellStyle name="Обычный 24 5" xfId="27453" xr:uid="{00000000-0005-0000-0000-00003A6B0000}"/>
    <cellStyle name="Обычный 24 6" xfId="27454" xr:uid="{00000000-0005-0000-0000-00003B6B0000}"/>
    <cellStyle name="Обычный 24 7" xfId="27455" xr:uid="{00000000-0005-0000-0000-00003C6B0000}"/>
    <cellStyle name="Обычный 24 8" xfId="27456" xr:uid="{00000000-0005-0000-0000-00003D6B0000}"/>
    <cellStyle name="Обычный 24 9" xfId="27457" xr:uid="{00000000-0005-0000-0000-00003E6B0000}"/>
    <cellStyle name="Обычный 24_2013Прогноз" xfId="27458" xr:uid="{00000000-0005-0000-0000-00003F6B0000}"/>
    <cellStyle name="Обычный 25" xfId="27459" xr:uid="{00000000-0005-0000-0000-0000406B0000}"/>
    <cellStyle name="Обычный 25 2" xfId="27460" xr:uid="{00000000-0005-0000-0000-0000416B0000}"/>
    <cellStyle name="Обычный 25 3" xfId="27461" xr:uid="{00000000-0005-0000-0000-0000426B0000}"/>
    <cellStyle name="Обычный 25_2013Прогноз" xfId="27462" xr:uid="{00000000-0005-0000-0000-0000436B0000}"/>
    <cellStyle name="Обычный 26" xfId="27463" xr:uid="{00000000-0005-0000-0000-0000446B0000}"/>
    <cellStyle name="Обычный 27" xfId="27464" xr:uid="{00000000-0005-0000-0000-0000456B0000}"/>
    <cellStyle name="Обычный 28" xfId="27465" xr:uid="{00000000-0005-0000-0000-0000466B0000}"/>
    <cellStyle name="Обычный 29" xfId="27466" xr:uid="{00000000-0005-0000-0000-0000476B0000}"/>
    <cellStyle name="Обычный 3" xfId="27467" xr:uid="{00000000-0005-0000-0000-0000486B0000}"/>
    <cellStyle name="Обычный 3 10" xfId="27468" xr:uid="{00000000-0005-0000-0000-0000496B0000}"/>
    <cellStyle name="Обычный 3 11" xfId="27469" xr:uid="{00000000-0005-0000-0000-00004A6B0000}"/>
    <cellStyle name="Обычный 3 12" xfId="27470" xr:uid="{00000000-0005-0000-0000-00004B6B0000}"/>
    <cellStyle name="Обычный 3 13" xfId="27471" xr:uid="{00000000-0005-0000-0000-00004C6B0000}"/>
    <cellStyle name="Обычный 3 2" xfId="27472" xr:uid="{00000000-0005-0000-0000-00004D6B0000}"/>
    <cellStyle name="Обычный 3 2 2" xfId="27473" xr:uid="{00000000-0005-0000-0000-00004E6B0000}"/>
    <cellStyle name="Обычный 3 2 2 2" xfId="27474" xr:uid="{00000000-0005-0000-0000-00004F6B0000}"/>
    <cellStyle name="Обычный 3 2 2 3" xfId="27475" xr:uid="{00000000-0005-0000-0000-0000506B0000}"/>
    <cellStyle name="Обычный 3 2 2_2013Прогноз" xfId="27476" xr:uid="{00000000-0005-0000-0000-0000516B0000}"/>
    <cellStyle name="Обычный 3 2 3" xfId="27477" xr:uid="{00000000-0005-0000-0000-0000526B0000}"/>
    <cellStyle name="Обычный 3 2 3 2" xfId="27478" xr:uid="{00000000-0005-0000-0000-0000536B0000}"/>
    <cellStyle name="Обычный 3 2 4" xfId="27479" xr:uid="{00000000-0005-0000-0000-0000546B0000}"/>
    <cellStyle name="Обычный 3 2 5" xfId="27480" xr:uid="{00000000-0005-0000-0000-0000556B0000}"/>
    <cellStyle name="Обычный 3 2 6" xfId="27481" xr:uid="{00000000-0005-0000-0000-0000566B0000}"/>
    <cellStyle name="Обычный 3 2 7" xfId="27482" xr:uid="{00000000-0005-0000-0000-0000576B0000}"/>
    <cellStyle name="Обычный 3 2 8" xfId="27483" xr:uid="{00000000-0005-0000-0000-0000586B0000}"/>
    <cellStyle name="Обычный 3 2_2013Прогноз" xfId="27484" xr:uid="{00000000-0005-0000-0000-0000596B0000}"/>
    <cellStyle name="Обычный 3 3" xfId="27485" xr:uid="{00000000-0005-0000-0000-00005A6B0000}"/>
    <cellStyle name="Обычный 3 3 2" xfId="27486" xr:uid="{00000000-0005-0000-0000-00005B6B0000}"/>
    <cellStyle name="Обычный 3 3 3" xfId="27487" xr:uid="{00000000-0005-0000-0000-00005C6B0000}"/>
    <cellStyle name="Обычный 3 4" xfId="27488" xr:uid="{00000000-0005-0000-0000-00005D6B0000}"/>
    <cellStyle name="Обычный 3 4 2" xfId="27489" xr:uid="{00000000-0005-0000-0000-00005E6B0000}"/>
    <cellStyle name="Обычный 3 5" xfId="27490" xr:uid="{00000000-0005-0000-0000-00005F6B0000}"/>
    <cellStyle name="Обычный 3 5 2" xfId="28786" xr:uid="{1DA7DAB5-D5C4-4E74-A661-48CC8761BB26}"/>
    <cellStyle name="Обычный 3 6" xfId="27491" xr:uid="{00000000-0005-0000-0000-0000606B0000}"/>
    <cellStyle name="Обычный 3 7" xfId="27492" xr:uid="{00000000-0005-0000-0000-0000616B0000}"/>
    <cellStyle name="Обычный 3 8" xfId="27493" xr:uid="{00000000-0005-0000-0000-0000626B0000}"/>
    <cellStyle name="Обычный 3 9" xfId="27494" xr:uid="{00000000-0005-0000-0000-0000636B0000}"/>
    <cellStyle name="Обычный 3_2014БП" xfId="27495" xr:uid="{00000000-0005-0000-0000-0000646B0000}"/>
    <cellStyle name="Обычный 30" xfId="27496" xr:uid="{00000000-0005-0000-0000-0000656B0000}"/>
    <cellStyle name="Обычный 31" xfId="27497" xr:uid="{00000000-0005-0000-0000-0000666B0000}"/>
    <cellStyle name="Обычный 32" xfId="27498" xr:uid="{00000000-0005-0000-0000-0000676B0000}"/>
    <cellStyle name="Обычный 33" xfId="27499" xr:uid="{00000000-0005-0000-0000-0000686B0000}"/>
    <cellStyle name="Обычный 34" xfId="27500" xr:uid="{00000000-0005-0000-0000-0000696B0000}"/>
    <cellStyle name="Обычный 35" xfId="27501" xr:uid="{00000000-0005-0000-0000-00006A6B0000}"/>
    <cellStyle name="Обычный 36" xfId="27502" xr:uid="{00000000-0005-0000-0000-00006B6B0000}"/>
    <cellStyle name="Обычный 37" xfId="27503" xr:uid="{00000000-0005-0000-0000-00006C6B0000}"/>
    <cellStyle name="Обычный 38" xfId="27504" xr:uid="{00000000-0005-0000-0000-00006D6B0000}"/>
    <cellStyle name="Обычный 39" xfId="27505" xr:uid="{00000000-0005-0000-0000-00006E6B0000}"/>
    <cellStyle name="Обычный 4" xfId="27506" xr:uid="{00000000-0005-0000-0000-00006F6B0000}"/>
    <cellStyle name="Обычный 4 10" xfId="27507" xr:uid="{00000000-0005-0000-0000-0000706B0000}"/>
    <cellStyle name="Обычный 4 11" xfId="27508" xr:uid="{00000000-0005-0000-0000-0000716B0000}"/>
    <cellStyle name="Обычный 4 12" xfId="27509" xr:uid="{00000000-0005-0000-0000-0000726B0000}"/>
    <cellStyle name="Обычный 4 13" xfId="27510" xr:uid="{00000000-0005-0000-0000-0000736B0000}"/>
    <cellStyle name="Обычный 4 14" xfId="27511" xr:uid="{00000000-0005-0000-0000-0000746B0000}"/>
    <cellStyle name="Обычный 4 2" xfId="27512" xr:uid="{00000000-0005-0000-0000-0000756B0000}"/>
    <cellStyle name="Обычный 4 2 2" xfId="27513" xr:uid="{00000000-0005-0000-0000-0000766B0000}"/>
    <cellStyle name="Обычный 4 2 2 2" xfId="27514" xr:uid="{00000000-0005-0000-0000-0000776B0000}"/>
    <cellStyle name="Обычный 4 2 2 2 2" xfId="27515" xr:uid="{00000000-0005-0000-0000-0000786B0000}"/>
    <cellStyle name="Обычный 4 2 2 2 2 2" xfId="27516" xr:uid="{00000000-0005-0000-0000-0000796B0000}"/>
    <cellStyle name="Обычный 4 2 2 2 2 2 2" xfId="27517" xr:uid="{00000000-0005-0000-0000-00007A6B0000}"/>
    <cellStyle name="Обычный 4 2 2 2 2 2 3" xfId="27518" xr:uid="{00000000-0005-0000-0000-00007B6B0000}"/>
    <cellStyle name="Обычный 4 2 2 2 2 2_2013Прогноз" xfId="27519" xr:uid="{00000000-0005-0000-0000-00007C6B0000}"/>
    <cellStyle name="Обычный 4 2 2 2 2 3" xfId="27520" xr:uid="{00000000-0005-0000-0000-00007D6B0000}"/>
    <cellStyle name="Обычный 4 2 2 2 2 4" xfId="27521" xr:uid="{00000000-0005-0000-0000-00007E6B0000}"/>
    <cellStyle name="Обычный 4 2 2 2 2_2013Прогноз" xfId="27522" xr:uid="{00000000-0005-0000-0000-00007F6B0000}"/>
    <cellStyle name="Обычный 4 2 2 2 3" xfId="27523" xr:uid="{00000000-0005-0000-0000-0000806B0000}"/>
    <cellStyle name="Обычный 4 2 2 2 3 2" xfId="27524" xr:uid="{00000000-0005-0000-0000-0000816B0000}"/>
    <cellStyle name="Обычный 4 2 2 2 3 3" xfId="27525" xr:uid="{00000000-0005-0000-0000-0000826B0000}"/>
    <cellStyle name="Обычный 4 2 2 2 3_2013Прогноз" xfId="27526" xr:uid="{00000000-0005-0000-0000-0000836B0000}"/>
    <cellStyle name="Обычный 4 2 2 2 4" xfId="27527" xr:uid="{00000000-0005-0000-0000-0000846B0000}"/>
    <cellStyle name="Обычный 4 2 2 2 5" xfId="27528" xr:uid="{00000000-0005-0000-0000-0000856B0000}"/>
    <cellStyle name="Обычный 4 2 2 2_2013Прогноз" xfId="27529" xr:uid="{00000000-0005-0000-0000-0000866B0000}"/>
    <cellStyle name="Обычный 4 2 2 3" xfId="27530" xr:uid="{00000000-0005-0000-0000-0000876B0000}"/>
    <cellStyle name="Обычный 4 2 2 3 2" xfId="27531" xr:uid="{00000000-0005-0000-0000-0000886B0000}"/>
    <cellStyle name="Обычный 4 2 2 3 2 2" xfId="27532" xr:uid="{00000000-0005-0000-0000-0000896B0000}"/>
    <cellStyle name="Обычный 4 2 2 3 2 3" xfId="27533" xr:uid="{00000000-0005-0000-0000-00008A6B0000}"/>
    <cellStyle name="Обычный 4 2 2 3 2_2013Прогноз" xfId="27534" xr:uid="{00000000-0005-0000-0000-00008B6B0000}"/>
    <cellStyle name="Обычный 4 2 2 3 3" xfId="27535" xr:uid="{00000000-0005-0000-0000-00008C6B0000}"/>
    <cellStyle name="Обычный 4 2 2 3 4" xfId="27536" xr:uid="{00000000-0005-0000-0000-00008D6B0000}"/>
    <cellStyle name="Обычный 4 2 2 3_2013Прогноз" xfId="27537" xr:uid="{00000000-0005-0000-0000-00008E6B0000}"/>
    <cellStyle name="Обычный 4 2 2 4" xfId="27538" xr:uid="{00000000-0005-0000-0000-00008F6B0000}"/>
    <cellStyle name="Обычный 4 2 2 4 2" xfId="27539" xr:uid="{00000000-0005-0000-0000-0000906B0000}"/>
    <cellStyle name="Обычный 4 2 2 4 3" xfId="27540" xr:uid="{00000000-0005-0000-0000-0000916B0000}"/>
    <cellStyle name="Обычный 4 2 2 4_2013Прогноз" xfId="27541" xr:uid="{00000000-0005-0000-0000-0000926B0000}"/>
    <cellStyle name="Обычный 4 2 2 5" xfId="27542" xr:uid="{00000000-0005-0000-0000-0000936B0000}"/>
    <cellStyle name="Обычный 4 2 2 6" xfId="27543" xr:uid="{00000000-0005-0000-0000-0000946B0000}"/>
    <cellStyle name="Обычный 4 2 2 7" xfId="27544" xr:uid="{00000000-0005-0000-0000-0000956B0000}"/>
    <cellStyle name="Обычный 4 2 2_2013Прогноз" xfId="27545" xr:uid="{00000000-0005-0000-0000-0000966B0000}"/>
    <cellStyle name="Обычный 4 2 3" xfId="27546" xr:uid="{00000000-0005-0000-0000-0000976B0000}"/>
    <cellStyle name="Обычный 4 2 3 2" xfId="27547" xr:uid="{00000000-0005-0000-0000-0000986B0000}"/>
    <cellStyle name="Обычный 4 2 3 2 2" xfId="27548" xr:uid="{00000000-0005-0000-0000-0000996B0000}"/>
    <cellStyle name="Обычный 4 2 3 2 2 2" xfId="27549" xr:uid="{00000000-0005-0000-0000-00009A6B0000}"/>
    <cellStyle name="Обычный 4 2 3 2 2 3" xfId="27550" xr:uid="{00000000-0005-0000-0000-00009B6B0000}"/>
    <cellStyle name="Обычный 4 2 3 2 2_2013Прогноз" xfId="27551" xr:uid="{00000000-0005-0000-0000-00009C6B0000}"/>
    <cellStyle name="Обычный 4 2 3 2 3" xfId="27552" xr:uid="{00000000-0005-0000-0000-00009D6B0000}"/>
    <cellStyle name="Обычный 4 2 3 2 4" xfId="27553" xr:uid="{00000000-0005-0000-0000-00009E6B0000}"/>
    <cellStyle name="Обычный 4 2 3 2_2013Прогноз" xfId="27554" xr:uid="{00000000-0005-0000-0000-00009F6B0000}"/>
    <cellStyle name="Обычный 4 2 3 3" xfId="27555" xr:uid="{00000000-0005-0000-0000-0000A06B0000}"/>
    <cellStyle name="Обычный 4 2 3 3 2" xfId="27556" xr:uid="{00000000-0005-0000-0000-0000A16B0000}"/>
    <cellStyle name="Обычный 4 2 3 3 3" xfId="27557" xr:uid="{00000000-0005-0000-0000-0000A26B0000}"/>
    <cellStyle name="Обычный 4 2 3 3_2013Прогноз" xfId="27558" xr:uid="{00000000-0005-0000-0000-0000A36B0000}"/>
    <cellStyle name="Обычный 4 2 3 4" xfId="27559" xr:uid="{00000000-0005-0000-0000-0000A46B0000}"/>
    <cellStyle name="Обычный 4 2 3 5" xfId="27560" xr:uid="{00000000-0005-0000-0000-0000A56B0000}"/>
    <cellStyle name="Обычный 4 2 3_2013Прогноз" xfId="27561" xr:uid="{00000000-0005-0000-0000-0000A66B0000}"/>
    <cellStyle name="Обычный 4 2 4" xfId="27562" xr:uid="{00000000-0005-0000-0000-0000A76B0000}"/>
    <cellStyle name="Обычный 4 3" xfId="27563" xr:uid="{00000000-0005-0000-0000-0000A86B0000}"/>
    <cellStyle name="Обычный 4 3 2" xfId="27564" xr:uid="{00000000-0005-0000-0000-0000A96B0000}"/>
    <cellStyle name="Обычный 4 3 2 2" xfId="27565" xr:uid="{00000000-0005-0000-0000-0000AA6B0000}"/>
    <cellStyle name="Обычный 4 3 2 2 2" xfId="27566" xr:uid="{00000000-0005-0000-0000-0000AB6B0000}"/>
    <cellStyle name="Обычный 4 3 2 2 2 2" xfId="27567" xr:uid="{00000000-0005-0000-0000-0000AC6B0000}"/>
    <cellStyle name="Обычный 4 3 2 2 2 3" xfId="27568" xr:uid="{00000000-0005-0000-0000-0000AD6B0000}"/>
    <cellStyle name="Обычный 4 3 2 2 2_2013Прогноз" xfId="27569" xr:uid="{00000000-0005-0000-0000-0000AE6B0000}"/>
    <cellStyle name="Обычный 4 3 2 2 3" xfId="27570" xr:uid="{00000000-0005-0000-0000-0000AF6B0000}"/>
    <cellStyle name="Обычный 4 3 2 2 4" xfId="27571" xr:uid="{00000000-0005-0000-0000-0000B06B0000}"/>
    <cellStyle name="Обычный 4 3 2 2_2013Прогноз" xfId="27572" xr:uid="{00000000-0005-0000-0000-0000B16B0000}"/>
    <cellStyle name="Обычный 4 3 2 3" xfId="27573" xr:uid="{00000000-0005-0000-0000-0000B26B0000}"/>
    <cellStyle name="Обычный 4 3 2 3 2" xfId="27574" xr:uid="{00000000-0005-0000-0000-0000B36B0000}"/>
    <cellStyle name="Обычный 4 3 2 3 3" xfId="27575" xr:uid="{00000000-0005-0000-0000-0000B46B0000}"/>
    <cellStyle name="Обычный 4 3 2 3_2013Прогноз" xfId="27576" xr:uid="{00000000-0005-0000-0000-0000B56B0000}"/>
    <cellStyle name="Обычный 4 3 2 4" xfId="27577" xr:uid="{00000000-0005-0000-0000-0000B66B0000}"/>
    <cellStyle name="Обычный 4 3 2 5" xfId="27578" xr:uid="{00000000-0005-0000-0000-0000B76B0000}"/>
    <cellStyle name="Обычный 4 3 2_2013Прогноз" xfId="27579" xr:uid="{00000000-0005-0000-0000-0000B86B0000}"/>
    <cellStyle name="Обычный 4 3 3" xfId="27580" xr:uid="{00000000-0005-0000-0000-0000B96B0000}"/>
    <cellStyle name="Обычный 4 3 4" xfId="28787" xr:uid="{44B18F94-3F4F-452E-984C-1CF216B165F7}"/>
    <cellStyle name="Обычный 4 3_2014БП" xfId="27581" xr:uid="{00000000-0005-0000-0000-0000BA6B0000}"/>
    <cellStyle name="Обычный 4 4" xfId="27582" xr:uid="{00000000-0005-0000-0000-0000BB6B0000}"/>
    <cellStyle name="Обычный 4 4 2" xfId="27583" xr:uid="{00000000-0005-0000-0000-0000BC6B0000}"/>
    <cellStyle name="Обычный 4 4 2 2" xfId="27584" xr:uid="{00000000-0005-0000-0000-0000BD6B0000}"/>
    <cellStyle name="Обычный 4 4 2 2 2" xfId="27585" xr:uid="{00000000-0005-0000-0000-0000BE6B0000}"/>
    <cellStyle name="Обычный 4 4 2 2 2 2" xfId="27586" xr:uid="{00000000-0005-0000-0000-0000BF6B0000}"/>
    <cellStyle name="Обычный 4 4 2 2 2 3" xfId="27587" xr:uid="{00000000-0005-0000-0000-0000C06B0000}"/>
    <cellStyle name="Обычный 4 4 2 2 2_2013Прогноз" xfId="27588" xr:uid="{00000000-0005-0000-0000-0000C16B0000}"/>
    <cellStyle name="Обычный 4 4 2 2 3" xfId="27589" xr:uid="{00000000-0005-0000-0000-0000C26B0000}"/>
    <cellStyle name="Обычный 4 4 2 2 4" xfId="27590" xr:uid="{00000000-0005-0000-0000-0000C36B0000}"/>
    <cellStyle name="Обычный 4 4 2 2_2013Прогноз" xfId="27591" xr:uid="{00000000-0005-0000-0000-0000C46B0000}"/>
    <cellStyle name="Обычный 4 4 2 3" xfId="27592" xr:uid="{00000000-0005-0000-0000-0000C56B0000}"/>
    <cellStyle name="Обычный 4 4 2 3 2" xfId="27593" xr:uid="{00000000-0005-0000-0000-0000C66B0000}"/>
    <cellStyle name="Обычный 4 4 2 3 3" xfId="27594" xr:uid="{00000000-0005-0000-0000-0000C76B0000}"/>
    <cellStyle name="Обычный 4 4 2 3_2013Прогноз" xfId="27595" xr:uid="{00000000-0005-0000-0000-0000C86B0000}"/>
    <cellStyle name="Обычный 4 4 2 4" xfId="27596" xr:uid="{00000000-0005-0000-0000-0000C96B0000}"/>
    <cellStyle name="Обычный 4 4 2 5" xfId="27597" xr:uid="{00000000-0005-0000-0000-0000CA6B0000}"/>
    <cellStyle name="Обычный 4 4 2_2013Прогноз" xfId="27598" xr:uid="{00000000-0005-0000-0000-0000CB6B0000}"/>
    <cellStyle name="Обычный 4 4 3" xfId="27599" xr:uid="{00000000-0005-0000-0000-0000CC6B0000}"/>
    <cellStyle name="Обычный 4 4 3 2" xfId="27600" xr:uid="{00000000-0005-0000-0000-0000CD6B0000}"/>
    <cellStyle name="Обычный 4 4 3 2 2" xfId="27601" xr:uid="{00000000-0005-0000-0000-0000CE6B0000}"/>
    <cellStyle name="Обычный 4 4 3 2 3" xfId="27602" xr:uid="{00000000-0005-0000-0000-0000CF6B0000}"/>
    <cellStyle name="Обычный 4 4 3 2_2013Прогноз" xfId="27603" xr:uid="{00000000-0005-0000-0000-0000D06B0000}"/>
    <cellStyle name="Обычный 4 4 3 3" xfId="27604" xr:uid="{00000000-0005-0000-0000-0000D16B0000}"/>
    <cellStyle name="Обычный 4 4 3 4" xfId="27605" xr:uid="{00000000-0005-0000-0000-0000D26B0000}"/>
    <cellStyle name="Обычный 4 4 3_2013Прогноз" xfId="27606" xr:uid="{00000000-0005-0000-0000-0000D36B0000}"/>
    <cellStyle name="Обычный 4 4 4" xfId="27607" xr:uid="{00000000-0005-0000-0000-0000D46B0000}"/>
    <cellStyle name="Обычный 4 4 4 2" xfId="27608" xr:uid="{00000000-0005-0000-0000-0000D56B0000}"/>
    <cellStyle name="Обычный 4 4 4 3" xfId="27609" xr:uid="{00000000-0005-0000-0000-0000D66B0000}"/>
    <cellStyle name="Обычный 4 4 4_2013Прогноз" xfId="27610" xr:uid="{00000000-0005-0000-0000-0000D76B0000}"/>
    <cellStyle name="Обычный 4 4 5" xfId="27611" xr:uid="{00000000-0005-0000-0000-0000D86B0000}"/>
    <cellStyle name="Обычный 4 4 6" xfId="27612" xr:uid="{00000000-0005-0000-0000-0000D96B0000}"/>
    <cellStyle name="Обычный 4 4 7" xfId="27613" xr:uid="{00000000-0005-0000-0000-0000DA6B0000}"/>
    <cellStyle name="Обычный 4 4_2013Прогноз" xfId="27614" xr:uid="{00000000-0005-0000-0000-0000DB6B0000}"/>
    <cellStyle name="Обычный 4 5" xfId="27615" xr:uid="{00000000-0005-0000-0000-0000DC6B0000}"/>
    <cellStyle name="Обычный 4 5 2" xfId="27616" xr:uid="{00000000-0005-0000-0000-0000DD6B0000}"/>
    <cellStyle name="Обычный 4 5 2 2" xfId="27617" xr:uid="{00000000-0005-0000-0000-0000DE6B0000}"/>
    <cellStyle name="Обычный 4 5 2 2 2" xfId="27618" xr:uid="{00000000-0005-0000-0000-0000DF6B0000}"/>
    <cellStyle name="Обычный 4 5 2 2 2 2" xfId="27619" xr:uid="{00000000-0005-0000-0000-0000E06B0000}"/>
    <cellStyle name="Обычный 4 5 2 2 2 3" xfId="27620" xr:uid="{00000000-0005-0000-0000-0000E16B0000}"/>
    <cellStyle name="Обычный 4 5 2 2 2_2013Прогноз" xfId="27621" xr:uid="{00000000-0005-0000-0000-0000E26B0000}"/>
    <cellStyle name="Обычный 4 5 2 2 3" xfId="27622" xr:uid="{00000000-0005-0000-0000-0000E36B0000}"/>
    <cellStyle name="Обычный 4 5 2 2 4" xfId="27623" xr:uid="{00000000-0005-0000-0000-0000E46B0000}"/>
    <cellStyle name="Обычный 4 5 2 2_2013Прогноз" xfId="27624" xr:uid="{00000000-0005-0000-0000-0000E56B0000}"/>
    <cellStyle name="Обычный 4 5 2 3" xfId="27625" xr:uid="{00000000-0005-0000-0000-0000E66B0000}"/>
    <cellStyle name="Обычный 4 5 2 3 2" xfId="27626" xr:uid="{00000000-0005-0000-0000-0000E76B0000}"/>
    <cellStyle name="Обычный 4 5 2 3 3" xfId="27627" xr:uid="{00000000-0005-0000-0000-0000E86B0000}"/>
    <cellStyle name="Обычный 4 5 2 3_2013Прогноз" xfId="27628" xr:uid="{00000000-0005-0000-0000-0000E96B0000}"/>
    <cellStyle name="Обычный 4 5 2 4" xfId="27629" xr:uid="{00000000-0005-0000-0000-0000EA6B0000}"/>
    <cellStyle name="Обычный 4 5 2 5" xfId="27630" xr:uid="{00000000-0005-0000-0000-0000EB6B0000}"/>
    <cellStyle name="Обычный 4 5 2_2013Прогноз" xfId="27631" xr:uid="{00000000-0005-0000-0000-0000EC6B0000}"/>
    <cellStyle name="Обычный 4 5 3" xfId="27632" xr:uid="{00000000-0005-0000-0000-0000ED6B0000}"/>
    <cellStyle name="Обычный 4 5 3 2" xfId="27633" xr:uid="{00000000-0005-0000-0000-0000EE6B0000}"/>
    <cellStyle name="Обычный 4 5 3 2 2" xfId="27634" xr:uid="{00000000-0005-0000-0000-0000EF6B0000}"/>
    <cellStyle name="Обычный 4 5 3 2 3" xfId="27635" xr:uid="{00000000-0005-0000-0000-0000F06B0000}"/>
    <cellStyle name="Обычный 4 5 3 2_2013Прогноз" xfId="27636" xr:uid="{00000000-0005-0000-0000-0000F16B0000}"/>
    <cellStyle name="Обычный 4 5 3 3" xfId="27637" xr:uid="{00000000-0005-0000-0000-0000F26B0000}"/>
    <cellStyle name="Обычный 4 5 3 4" xfId="27638" xr:uid="{00000000-0005-0000-0000-0000F36B0000}"/>
    <cellStyle name="Обычный 4 5 3_2013Прогноз" xfId="27639" xr:uid="{00000000-0005-0000-0000-0000F46B0000}"/>
    <cellStyle name="Обычный 4 5 4" xfId="27640" xr:uid="{00000000-0005-0000-0000-0000F56B0000}"/>
    <cellStyle name="Обычный 4 5 4 2" xfId="27641" xr:uid="{00000000-0005-0000-0000-0000F66B0000}"/>
    <cellStyle name="Обычный 4 5 4 3" xfId="27642" xr:uid="{00000000-0005-0000-0000-0000F76B0000}"/>
    <cellStyle name="Обычный 4 5 4_2013Прогноз" xfId="27643" xr:uid="{00000000-0005-0000-0000-0000F86B0000}"/>
    <cellStyle name="Обычный 4 5 5" xfId="27644" xr:uid="{00000000-0005-0000-0000-0000F96B0000}"/>
    <cellStyle name="Обычный 4 5 6" xfId="27645" xr:uid="{00000000-0005-0000-0000-0000FA6B0000}"/>
    <cellStyle name="Обычный 4 5 7" xfId="27646" xr:uid="{00000000-0005-0000-0000-0000FB6B0000}"/>
    <cellStyle name="Обычный 4 5_2013Прогноз" xfId="27647" xr:uid="{00000000-0005-0000-0000-0000FC6B0000}"/>
    <cellStyle name="Обычный 4 6" xfId="27648" xr:uid="{00000000-0005-0000-0000-0000FD6B0000}"/>
    <cellStyle name="Обычный 4 6 2" xfId="27649" xr:uid="{00000000-0005-0000-0000-0000FE6B0000}"/>
    <cellStyle name="Обычный 4 7" xfId="27650" xr:uid="{00000000-0005-0000-0000-0000FF6B0000}"/>
    <cellStyle name="Обычный 4 7 2" xfId="27651" xr:uid="{00000000-0005-0000-0000-0000006C0000}"/>
    <cellStyle name="Обычный 4 7 2 2" xfId="27652" xr:uid="{00000000-0005-0000-0000-0000016C0000}"/>
    <cellStyle name="Обычный 4 7 2 2 2" xfId="27653" xr:uid="{00000000-0005-0000-0000-0000026C0000}"/>
    <cellStyle name="Обычный 4 7 2 2 3" xfId="27654" xr:uid="{00000000-0005-0000-0000-0000036C0000}"/>
    <cellStyle name="Обычный 4 7 2 2_2013Прогноз" xfId="27655" xr:uid="{00000000-0005-0000-0000-0000046C0000}"/>
    <cellStyle name="Обычный 4 7 2 3" xfId="27656" xr:uid="{00000000-0005-0000-0000-0000056C0000}"/>
    <cellStyle name="Обычный 4 7 2 4" xfId="27657" xr:uid="{00000000-0005-0000-0000-0000066C0000}"/>
    <cellStyle name="Обычный 4 7 2_2013Прогноз" xfId="27658" xr:uid="{00000000-0005-0000-0000-0000076C0000}"/>
    <cellStyle name="Обычный 4 7 3" xfId="27659" xr:uid="{00000000-0005-0000-0000-0000086C0000}"/>
    <cellStyle name="Обычный 4 7 3 2" xfId="27660" xr:uid="{00000000-0005-0000-0000-0000096C0000}"/>
    <cellStyle name="Обычный 4 7 3 3" xfId="27661" xr:uid="{00000000-0005-0000-0000-00000A6C0000}"/>
    <cellStyle name="Обычный 4 7 3_2013Прогноз" xfId="27662" xr:uid="{00000000-0005-0000-0000-00000B6C0000}"/>
    <cellStyle name="Обычный 4 7 4" xfId="27663" xr:uid="{00000000-0005-0000-0000-00000C6C0000}"/>
    <cellStyle name="Обычный 4 7 5" xfId="27664" xr:uid="{00000000-0005-0000-0000-00000D6C0000}"/>
    <cellStyle name="Обычный 4 7_2013Прогноз" xfId="27665" xr:uid="{00000000-0005-0000-0000-00000E6C0000}"/>
    <cellStyle name="Обычный 4 8" xfId="27666" xr:uid="{00000000-0005-0000-0000-00000F6C0000}"/>
    <cellStyle name="Обычный 4 8 2" xfId="27667" xr:uid="{00000000-0005-0000-0000-0000106C0000}"/>
    <cellStyle name="Обычный 4 8 2 2" xfId="27668" xr:uid="{00000000-0005-0000-0000-0000116C0000}"/>
    <cellStyle name="Обычный 4 8 2 2 2" xfId="27669" xr:uid="{00000000-0005-0000-0000-0000126C0000}"/>
    <cellStyle name="Обычный 4 8 2 2 3" xfId="27670" xr:uid="{00000000-0005-0000-0000-0000136C0000}"/>
    <cellStyle name="Обычный 4 8 2 2_2013Прогноз" xfId="27671" xr:uid="{00000000-0005-0000-0000-0000146C0000}"/>
    <cellStyle name="Обычный 4 8 2 3" xfId="27672" xr:uid="{00000000-0005-0000-0000-0000156C0000}"/>
    <cellStyle name="Обычный 4 8 2 4" xfId="27673" xr:uid="{00000000-0005-0000-0000-0000166C0000}"/>
    <cellStyle name="Обычный 4 8 2_2013Прогноз" xfId="27674" xr:uid="{00000000-0005-0000-0000-0000176C0000}"/>
    <cellStyle name="Обычный 4 8 3" xfId="27675" xr:uid="{00000000-0005-0000-0000-0000186C0000}"/>
    <cellStyle name="Обычный 4 8 3 2" xfId="27676" xr:uid="{00000000-0005-0000-0000-0000196C0000}"/>
    <cellStyle name="Обычный 4 8 3 3" xfId="27677" xr:uid="{00000000-0005-0000-0000-00001A6C0000}"/>
    <cellStyle name="Обычный 4 8 3_2013Прогноз" xfId="27678" xr:uid="{00000000-0005-0000-0000-00001B6C0000}"/>
    <cellStyle name="Обычный 4 8 4" xfId="27679" xr:uid="{00000000-0005-0000-0000-00001C6C0000}"/>
    <cellStyle name="Обычный 4 8 5" xfId="27680" xr:uid="{00000000-0005-0000-0000-00001D6C0000}"/>
    <cellStyle name="Обычный 4 8_2013Прогноз" xfId="27681" xr:uid="{00000000-0005-0000-0000-00001E6C0000}"/>
    <cellStyle name="Обычный 4 9" xfId="27682" xr:uid="{00000000-0005-0000-0000-00001F6C0000}"/>
    <cellStyle name="Обычный 4_2014БП" xfId="27683" xr:uid="{00000000-0005-0000-0000-0000206C0000}"/>
    <cellStyle name="Обычный 40" xfId="27684" xr:uid="{00000000-0005-0000-0000-0000216C0000}"/>
    <cellStyle name="Обычный 41" xfId="27685" xr:uid="{00000000-0005-0000-0000-0000226C0000}"/>
    <cellStyle name="Обычный 42" xfId="27686" xr:uid="{00000000-0005-0000-0000-0000236C0000}"/>
    <cellStyle name="Обычный 43" xfId="27687" xr:uid="{00000000-0005-0000-0000-0000246C0000}"/>
    <cellStyle name="Обычный 44" xfId="27688" xr:uid="{00000000-0005-0000-0000-0000256C0000}"/>
    <cellStyle name="Обычный 45" xfId="27689" xr:uid="{00000000-0005-0000-0000-0000266C0000}"/>
    <cellStyle name="Обычный 46" xfId="27690" xr:uid="{00000000-0005-0000-0000-0000276C0000}"/>
    <cellStyle name="Обычный 47" xfId="27691" xr:uid="{00000000-0005-0000-0000-0000286C0000}"/>
    <cellStyle name="Обычный 48" xfId="27692" xr:uid="{00000000-0005-0000-0000-0000296C0000}"/>
    <cellStyle name="Обычный 49" xfId="27693" xr:uid="{00000000-0005-0000-0000-00002A6C0000}"/>
    <cellStyle name="Обычный 5" xfId="27694" xr:uid="{00000000-0005-0000-0000-00002B6C0000}"/>
    <cellStyle name="Обычный 5 10" xfId="27695" xr:uid="{00000000-0005-0000-0000-00002C6C0000}"/>
    <cellStyle name="Обычный 5 2" xfId="27696" xr:uid="{00000000-0005-0000-0000-00002D6C0000}"/>
    <cellStyle name="Обычный 5 2 2" xfId="27697" xr:uid="{00000000-0005-0000-0000-00002E6C0000}"/>
    <cellStyle name="Обычный 5 3" xfId="27698" xr:uid="{00000000-0005-0000-0000-00002F6C0000}"/>
    <cellStyle name="Обычный 5 3 2" xfId="27699" xr:uid="{00000000-0005-0000-0000-0000306C0000}"/>
    <cellStyle name="Обычный 5 4" xfId="27700" xr:uid="{00000000-0005-0000-0000-0000316C0000}"/>
    <cellStyle name="Обычный 5 4 2" xfId="27701" xr:uid="{00000000-0005-0000-0000-0000326C0000}"/>
    <cellStyle name="Обычный 5 5" xfId="27702" xr:uid="{00000000-0005-0000-0000-0000336C0000}"/>
    <cellStyle name="Обычный 5 5 2" xfId="27703" xr:uid="{00000000-0005-0000-0000-0000346C0000}"/>
    <cellStyle name="Обычный 5 6" xfId="27704" xr:uid="{00000000-0005-0000-0000-0000356C0000}"/>
    <cellStyle name="Обычный 5 6 2" xfId="27705" xr:uid="{00000000-0005-0000-0000-0000366C0000}"/>
    <cellStyle name="Обычный 5 7" xfId="27706" xr:uid="{00000000-0005-0000-0000-0000376C0000}"/>
    <cellStyle name="Обычный 5 8" xfId="27707" xr:uid="{00000000-0005-0000-0000-0000386C0000}"/>
    <cellStyle name="Обычный 5 9" xfId="27708" xr:uid="{00000000-0005-0000-0000-0000396C0000}"/>
    <cellStyle name="Обычный 5_2014БП" xfId="27709" xr:uid="{00000000-0005-0000-0000-00003A6C0000}"/>
    <cellStyle name="Обычный 50" xfId="27710" xr:uid="{00000000-0005-0000-0000-00003B6C0000}"/>
    <cellStyle name="Обычный 51" xfId="27711" xr:uid="{00000000-0005-0000-0000-00003C6C0000}"/>
    <cellStyle name="Обычный 52" xfId="27712" xr:uid="{00000000-0005-0000-0000-00003D6C0000}"/>
    <cellStyle name="Обычный 53" xfId="27713" xr:uid="{00000000-0005-0000-0000-00003E6C0000}"/>
    <cellStyle name="Обычный 54" xfId="27714" xr:uid="{00000000-0005-0000-0000-00003F6C0000}"/>
    <cellStyle name="Обычный 55" xfId="27715" xr:uid="{00000000-0005-0000-0000-0000406C0000}"/>
    <cellStyle name="Обычный 56" xfId="27716" xr:uid="{00000000-0005-0000-0000-0000416C0000}"/>
    <cellStyle name="Обычный 57" xfId="27717" xr:uid="{00000000-0005-0000-0000-0000426C0000}"/>
    <cellStyle name="Обычный 58" xfId="27718" xr:uid="{00000000-0005-0000-0000-0000436C0000}"/>
    <cellStyle name="Обычный 59" xfId="27719" xr:uid="{00000000-0005-0000-0000-0000446C0000}"/>
    <cellStyle name="Обычный 6" xfId="27720" xr:uid="{00000000-0005-0000-0000-0000456C0000}"/>
    <cellStyle name="Обычный 6 10" xfId="27721" xr:uid="{00000000-0005-0000-0000-0000466C0000}"/>
    <cellStyle name="Обычный 6 11" xfId="27722" xr:uid="{00000000-0005-0000-0000-0000476C0000}"/>
    <cellStyle name="Обычный 6 12" xfId="27723" xr:uid="{00000000-0005-0000-0000-0000486C0000}"/>
    <cellStyle name="Обычный 6 13" xfId="27724" xr:uid="{00000000-0005-0000-0000-0000496C0000}"/>
    <cellStyle name="Обычный 6 2" xfId="27725" xr:uid="{00000000-0005-0000-0000-00004A6C0000}"/>
    <cellStyle name="Обычный 6 2 10" xfId="27726" xr:uid="{00000000-0005-0000-0000-00004B6C0000}"/>
    <cellStyle name="Обычный 6 2 11" xfId="27727" xr:uid="{00000000-0005-0000-0000-00004C6C0000}"/>
    <cellStyle name="Обычный 6 2 2" xfId="27728" xr:uid="{00000000-0005-0000-0000-00004D6C0000}"/>
    <cellStyle name="Обычный 6 2 2 2" xfId="27729" xr:uid="{00000000-0005-0000-0000-00004E6C0000}"/>
    <cellStyle name="Обычный 6 2 2 2 2" xfId="27730" xr:uid="{00000000-0005-0000-0000-00004F6C0000}"/>
    <cellStyle name="Обычный 6 2 2 2 2 2" xfId="27731" xr:uid="{00000000-0005-0000-0000-0000506C0000}"/>
    <cellStyle name="Обычный 6 2 2 2 2 3" xfId="27732" xr:uid="{00000000-0005-0000-0000-0000516C0000}"/>
    <cellStyle name="Обычный 6 2 2 2 2_2013Прогноз" xfId="27733" xr:uid="{00000000-0005-0000-0000-0000526C0000}"/>
    <cellStyle name="Обычный 6 2 2 2 3" xfId="27734" xr:uid="{00000000-0005-0000-0000-0000536C0000}"/>
    <cellStyle name="Обычный 6 2 2 2 4" xfId="27735" xr:uid="{00000000-0005-0000-0000-0000546C0000}"/>
    <cellStyle name="Обычный 6 2 2 2_2013Прогноз" xfId="27736" xr:uid="{00000000-0005-0000-0000-0000556C0000}"/>
    <cellStyle name="Обычный 6 2 2 3" xfId="27737" xr:uid="{00000000-0005-0000-0000-0000566C0000}"/>
    <cellStyle name="Обычный 6 2 2 3 2" xfId="27738" xr:uid="{00000000-0005-0000-0000-0000576C0000}"/>
    <cellStyle name="Обычный 6 2 2 3 3" xfId="27739" xr:uid="{00000000-0005-0000-0000-0000586C0000}"/>
    <cellStyle name="Обычный 6 2 2 3_2013Прогноз" xfId="27740" xr:uid="{00000000-0005-0000-0000-0000596C0000}"/>
    <cellStyle name="Обычный 6 2 2 4" xfId="27741" xr:uid="{00000000-0005-0000-0000-00005A6C0000}"/>
    <cellStyle name="Обычный 6 2 2 5" xfId="27742" xr:uid="{00000000-0005-0000-0000-00005B6C0000}"/>
    <cellStyle name="Обычный 6 2 2_2013Прогноз" xfId="27743" xr:uid="{00000000-0005-0000-0000-00005C6C0000}"/>
    <cellStyle name="Обычный 6 2 3" xfId="27744" xr:uid="{00000000-0005-0000-0000-00005D6C0000}"/>
    <cellStyle name="Обычный 6 2 3 2" xfId="27745" xr:uid="{00000000-0005-0000-0000-00005E6C0000}"/>
    <cellStyle name="Обычный 6 2 3 2 2" xfId="27746" xr:uid="{00000000-0005-0000-0000-00005F6C0000}"/>
    <cellStyle name="Обычный 6 2 3 2 3" xfId="27747" xr:uid="{00000000-0005-0000-0000-0000606C0000}"/>
    <cellStyle name="Обычный 6 2 3 2_2013Прогноз" xfId="27748" xr:uid="{00000000-0005-0000-0000-0000616C0000}"/>
    <cellStyle name="Обычный 6 2 3 3" xfId="27749" xr:uid="{00000000-0005-0000-0000-0000626C0000}"/>
    <cellStyle name="Обычный 6 2 3 4" xfId="27750" xr:uid="{00000000-0005-0000-0000-0000636C0000}"/>
    <cellStyle name="Обычный 6 2 3_2013Прогноз" xfId="27751" xr:uid="{00000000-0005-0000-0000-0000646C0000}"/>
    <cellStyle name="Обычный 6 2 4" xfId="27752" xr:uid="{00000000-0005-0000-0000-0000656C0000}"/>
    <cellStyle name="Обычный 6 2 4 2" xfId="27753" xr:uid="{00000000-0005-0000-0000-0000666C0000}"/>
    <cellStyle name="Обычный 6 2 4 3" xfId="27754" xr:uid="{00000000-0005-0000-0000-0000676C0000}"/>
    <cellStyle name="Обычный 6 2 4_2013Прогноз" xfId="27755" xr:uid="{00000000-0005-0000-0000-0000686C0000}"/>
    <cellStyle name="Обычный 6 2 5" xfId="27756" xr:uid="{00000000-0005-0000-0000-0000696C0000}"/>
    <cellStyle name="Обычный 6 2 6" xfId="27757" xr:uid="{00000000-0005-0000-0000-00006A6C0000}"/>
    <cellStyle name="Обычный 6 2 7" xfId="27758" xr:uid="{00000000-0005-0000-0000-00006B6C0000}"/>
    <cellStyle name="Обычный 6 2 8" xfId="27759" xr:uid="{00000000-0005-0000-0000-00006C6C0000}"/>
    <cellStyle name="Обычный 6 2 9" xfId="27760" xr:uid="{00000000-0005-0000-0000-00006D6C0000}"/>
    <cellStyle name="Обычный 6 2_2013Прогноз" xfId="27761" xr:uid="{00000000-0005-0000-0000-00006E6C0000}"/>
    <cellStyle name="Обычный 6 3" xfId="27762" xr:uid="{00000000-0005-0000-0000-00006F6C0000}"/>
    <cellStyle name="Обычный 6 3 2" xfId="27763" xr:uid="{00000000-0005-0000-0000-0000706C0000}"/>
    <cellStyle name="Обычный 6 3 3" xfId="27764" xr:uid="{00000000-0005-0000-0000-0000716C0000}"/>
    <cellStyle name="Обычный 6 3 3 2" xfId="27765" xr:uid="{00000000-0005-0000-0000-0000726C0000}"/>
    <cellStyle name="Обычный 6 3 3 2 2" xfId="27766" xr:uid="{00000000-0005-0000-0000-0000736C0000}"/>
    <cellStyle name="Обычный 6 3 3 2 3" xfId="27767" xr:uid="{00000000-0005-0000-0000-0000746C0000}"/>
    <cellStyle name="Обычный 6 3 3 2_2013Прогноз" xfId="27768" xr:uid="{00000000-0005-0000-0000-0000756C0000}"/>
    <cellStyle name="Обычный 6 3 3 3" xfId="27769" xr:uid="{00000000-0005-0000-0000-0000766C0000}"/>
    <cellStyle name="Обычный 6 3 3 4" xfId="27770" xr:uid="{00000000-0005-0000-0000-0000776C0000}"/>
    <cellStyle name="Обычный 6 3 3_2013Прогноз" xfId="27771" xr:uid="{00000000-0005-0000-0000-0000786C0000}"/>
    <cellStyle name="Обычный 6 3 4" xfId="27772" xr:uid="{00000000-0005-0000-0000-0000796C0000}"/>
    <cellStyle name="Обычный 6 3 4 2" xfId="27773" xr:uid="{00000000-0005-0000-0000-00007A6C0000}"/>
    <cellStyle name="Обычный 6 3 4 3" xfId="27774" xr:uid="{00000000-0005-0000-0000-00007B6C0000}"/>
    <cellStyle name="Обычный 6 3 4_2013Прогноз" xfId="27775" xr:uid="{00000000-0005-0000-0000-00007C6C0000}"/>
    <cellStyle name="Обычный 6 3 5" xfId="27776" xr:uid="{00000000-0005-0000-0000-00007D6C0000}"/>
    <cellStyle name="Обычный 6 3 6" xfId="27777" xr:uid="{00000000-0005-0000-0000-00007E6C0000}"/>
    <cellStyle name="Обычный 6 3_2013Прогноз" xfId="27778" xr:uid="{00000000-0005-0000-0000-00007F6C0000}"/>
    <cellStyle name="Обычный 6 4" xfId="27779" xr:uid="{00000000-0005-0000-0000-0000806C0000}"/>
    <cellStyle name="Обычный 6 4 2" xfId="27780" xr:uid="{00000000-0005-0000-0000-0000816C0000}"/>
    <cellStyle name="Обычный 6 4 2 2" xfId="27781" xr:uid="{00000000-0005-0000-0000-0000826C0000}"/>
    <cellStyle name="Обычный 6 4 2 2 2" xfId="27782" xr:uid="{00000000-0005-0000-0000-0000836C0000}"/>
    <cellStyle name="Обычный 6 4 2 2 3" xfId="27783" xr:uid="{00000000-0005-0000-0000-0000846C0000}"/>
    <cellStyle name="Обычный 6 4 2 2_2013Прогноз" xfId="27784" xr:uid="{00000000-0005-0000-0000-0000856C0000}"/>
    <cellStyle name="Обычный 6 4 2 3" xfId="27785" xr:uid="{00000000-0005-0000-0000-0000866C0000}"/>
    <cellStyle name="Обычный 6 4 2 4" xfId="27786" xr:uid="{00000000-0005-0000-0000-0000876C0000}"/>
    <cellStyle name="Обычный 6 4 2_2013Прогноз" xfId="27787" xr:uid="{00000000-0005-0000-0000-0000886C0000}"/>
    <cellStyle name="Обычный 6 4 3" xfId="27788" xr:uid="{00000000-0005-0000-0000-0000896C0000}"/>
    <cellStyle name="Обычный 6 4 3 2" xfId="27789" xr:uid="{00000000-0005-0000-0000-00008A6C0000}"/>
    <cellStyle name="Обычный 6 4 3 3" xfId="27790" xr:uid="{00000000-0005-0000-0000-00008B6C0000}"/>
    <cellStyle name="Обычный 6 4 3_2013Прогноз" xfId="27791" xr:uid="{00000000-0005-0000-0000-00008C6C0000}"/>
    <cellStyle name="Обычный 6 4 4" xfId="27792" xr:uid="{00000000-0005-0000-0000-00008D6C0000}"/>
    <cellStyle name="Обычный 6 4 5" xfId="27793" xr:uid="{00000000-0005-0000-0000-00008E6C0000}"/>
    <cellStyle name="Обычный 6 4 6" xfId="27794" xr:uid="{00000000-0005-0000-0000-00008F6C0000}"/>
    <cellStyle name="Обычный 6 4_2013Прогноз" xfId="27795" xr:uid="{00000000-0005-0000-0000-0000906C0000}"/>
    <cellStyle name="Обычный 6 5" xfId="27796" xr:uid="{00000000-0005-0000-0000-0000916C0000}"/>
    <cellStyle name="Обычный 6 5 2" xfId="27797" xr:uid="{00000000-0005-0000-0000-0000926C0000}"/>
    <cellStyle name="Обычный 6 5 2 2" xfId="27798" xr:uid="{00000000-0005-0000-0000-0000936C0000}"/>
    <cellStyle name="Обычный 6 5 2 3" xfId="27799" xr:uid="{00000000-0005-0000-0000-0000946C0000}"/>
    <cellStyle name="Обычный 6 5 2_2013Прогноз" xfId="27800" xr:uid="{00000000-0005-0000-0000-0000956C0000}"/>
    <cellStyle name="Обычный 6 5 3" xfId="27801" xr:uid="{00000000-0005-0000-0000-0000966C0000}"/>
    <cellStyle name="Обычный 6 5 4" xfId="27802" xr:uid="{00000000-0005-0000-0000-0000976C0000}"/>
    <cellStyle name="Обычный 6 5 5" xfId="27803" xr:uid="{00000000-0005-0000-0000-0000986C0000}"/>
    <cellStyle name="Обычный 6 5_2013Прогноз" xfId="27804" xr:uid="{00000000-0005-0000-0000-0000996C0000}"/>
    <cellStyle name="Обычный 6 6" xfId="27805" xr:uid="{00000000-0005-0000-0000-00009A6C0000}"/>
    <cellStyle name="Обычный 6 6 2" xfId="27806" xr:uid="{00000000-0005-0000-0000-00009B6C0000}"/>
    <cellStyle name="Обычный 6 6 3" xfId="27807" xr:uid="{00000000-0005-0000-0000-00009C6C0000}"/>
    <cellStyle name="Обычный 6 6 4" xfId="27808" xr:uid="{00000000-0005-0000-0000-00009D6C0000}"/>
    <cellStyle name="Обычный 6 6_2013Прогноз" xfId="27809" xr:uid="{00000000-0005-0000-0000-00009E6C0000}"/>
    <cellStyle name="Обычный 6 7" xfId="27810" xr:uid="{00000000-0005-0000-0000-00009F6C0000}"/>
    <cellStyle name="Обычный 6 8" xfId="27811" xr:uid="{00000000-0005-0000-0000-0000A06C0000}"/>
    <cellStyle name="Обычный 6 9" xfId="27812" xr:uid="{00000000-0005-0000-0000-0000A16C0000}"/>
    <cellStyle name="Обычный 6_2013Прогноз" xfId="27813" xr:uid="{00000000-0005-0000-0000-0000A26C0000}"/>
    <cellStyle name="Обычный 60" xfId="27814" xr:uid="{00000000-0005-0000-0000-0000A36C0000}"/>
    <cellStyle name="Обычный 61" xfId="27815" xr:uid="{00000000-0005-0000-0000-0000A46C0000}"/>
    <cellStyle name="Обычный 62" xfId="27816" xr:uid="{00000000-0005-0000-0000-0000A56C0000}"/>
    <cellStyle name="Обычный 63" xfId="27817" xr:uid="{00000000-0005-0000-0000-0000A66C0000}"/>
    <cellStyle name="Обычный 64" xfId="27818" xr:uid="{00000000-0005-0000-0000-0000A76C0000}"/>
    <cellStyle name="Обычный 65" xfId="27819" xr:uid="{00000000-0005-0000-0000-0000A86C0000}"/>
    <cellStyle name="Обычный 66" xfId="27820" xr:uid="{00000000-0005-0000-0000-0000A96C0000}"/>
    <cellStyle name="Обычный 67" xfId="27821" xr:uid="{00000000-0005-0000-0000-0000AA6C0000}"/>
    <cellStyle name="Обычный 68" xfId="27822" xr:uid="{00000000-0005-0000-0000-0000AB6C0000}"/>
    <cellStyle name="Обычный 7" xfId="27823" xr:uid="{00000000-0005-0000-0000-0000AC6C0000}"/>
    <cellStyle name="Обычный 7 10" xfId="27824" xr:uid="{00000000-0005-0000-0000-0000AD6C0000}"/>
    <cellStyle name="Обычный 7 11" xfId="27825" xr:uid="{00000000-0005-0000-0000-0000AE6C0000}"/>
    <cellStyle name="Обычный 7 12" xfId="27826" xr:uid="{00000000-0005-0000-0000-0000AF6C0000}"/>
    <cellStyle name="Обычный 7 2" xfId="27827" xr:uid="{00000000-0005-0000-0000-0000B06C0000}"/>
    <cellStyle name="Обычный 7 2 10" xfId="27828" xr:uid="{00000000-0005-0000-0000-0000B16C0000}"/>
    <cellStyle name="Обычный 7 2 11" xfId="27829" xr:uid="{00000000-0005-0000-0000-0000B26C0000}"/>
    <cellStyle name="Обычный 7 2 2" xfId="27830" xr:uid="{00000000-0005-0000-0000-0000B36C0000}"/>
    <cellStyle name="Обычный 7 2 2 2" xfId="27831" xr:uid="{00000000-0005-0000-0000-0000B46C0000}"/>
    <cellStyle name="Обычный 7 2 2_2013Прогноз" xfId="27832" xr:uid="{00000000-0005-0000-0000-0000B56C0000}"/>
    <cellStyle name="Обычный 7 2 3" xfId="27833" xr:uid="{00000000-0005-0000-0000-0000B66C0000}"/>
    <cellStyle name="Обычный 7 2 3 2" xfId="27834" xr:uid="{00000000-0005-0000-0000-0000B76C0000}"/>
    <cellStyle name="Обычный 7 2 3 2 2" xfId="27835" xr:uid="{00000000-0005-0000-0000-0000B86C0000}"/>
    <cellStyle name="Обычный 7 2 3 2 3" xfId="27836" xr:uid="{00000000-0005-0000-0000-0000B96C0000}"/>
    <cellStyle name="Обычный 7 2 3 2_2013Прогноз" xfId="27837" xr:uid="{00000000-0005-0000-0000-0000BA6C0000}"/>
    <cellStyle name="Обычный 7 2 3 3" xfId="27838" xr:uid="{00000000-0005-0000-0000-0000BB6C0000}"/>
    <cellStyle name="Обычный 7 2 3 4" xfId="27839" xr:uid="{00000000-0005-0000-0000-0000BC6C0000}"/>
    <cellStyle name="Обычный 7 2 3_2013Прогноз" xfId="27840" xr:uid="{00000000-0005-0000-0000-0000BD6C0000}"/>
    <cellStyle name="Обычный 7 2 4" xfId="27841" xr:uid="{00000000-0005-0000-0000-0000BE6C0000}"/>
    <cellStyle name="Обычный 7 2 4 2" xfId="27842" xr:uid="{00000000-0005-0000-0000-0000BF6C0000}"/>
    <cellStyle name="Обычный 7 2 4 3" xfId="27843" xr:uid="{00000000-0005-0000-0000-0000C06C0000}"/>
    <cellStyle name="Обычный 7 2 4_2013Прогноз" xfId="27844" xr:uid="{00000000-0005-0000-0000-0000C16C0000}"/>
    <cellStyle name="Обычный 7 2 5" xfId="27845" xr:uid="{00000000-0005-0000-0000-0000C26C0000}"/>
    <cellStyle name="Обычный 7 2 6" xfId="27846" xr:uid="{00000000-0005-0000-0000-0000C36C0000}"/>
    <cellStyle name="Обычный 7 2 7" xfId="27847" xr:uid="{00000000-0005-0000-0000-0000C46C0000}"/>
    <cellStyle name="Обычный 7 2 8" xfId="27848" xr:uid="{00000000-0005-0000-0000-0000C56C0000}"/>
    <cellStyle name="Обычный 7 2 9" xfId="27849" xr:uid="{00000000-0005-0000-0000-0000C66C0000}"/>
    <cellStyle name="Обычный 7 2_2013Прогноз" xfId="27850" xr:uid="{00000000-0005-0000-0000-0000C76C0000}"/>
    <cellStyle name="Обычный 7 3" xfId="27851" xr:uid="{00000000-0005-0000-0000-0000C86C0000}"/>
    <cellStyle name="Обычный 7 3 2" xfId="27852" xr:uid="{00000000-0005-0000-0000-0000C96C0000}"/>
    <cellStyle name="Обычный 7 3 2 2" xfId="27853" xr:uid="{00000000-0005-0000-0000-0000CA6C0000}"/>
    <cellStyle name="Обычный 7 3 2 2 2" xfId="27854" xr:uid="{00000000-0005-0000-0000-0000CB6C0000}"/>
    <cellStyle name="Обычный 7 3 2 2 3" xfId="27855" xr:uid="{00000000-0005-0000-0000-0000CC6C0000}"/>
    <cellStyle name="Обычный 7 3 2 2_2013Прогноз" xfId="27856" xr:uid="{00000000-0005-0000-0000-0000CD6C0000}"/>
    <cellStyle name="Обычный 7 3 2 3" xfId="27857" xr:uid="{00000000-0005-0000-0000-0000CE6C0000}"/>
    <cellStyle name="Обычный 7 3 2 4" xfId="27858" xr:uid="{00000000-0005-0000-0000-0000CF6C0000}"/>
    <cellStyle name="Обычный 7 3 2_2013Прогноз" xfId="27859" xr:uid="{00000000-0005-0000-0000-0000D06C0000}"/>
    <cellStyle name="Обычный 7 3 3" xfId="27860" xr:uid="{00000000-0005-0000-0000-0000D16C0000}"/>
    <cellStyle name="Обычный 7 3 3 2" xfId="27861" xr:uid="{00000000-0005-0000-0000-0000D26C0000}"/>
    <cellStyle name="Обычный 7 3 3 3" xfId="27862" xr:uid="{00000000-0005-0000-0000-0000D36C0000}"/>
    <cellStyle name="Обычный 7 3 3_2013Прогноз" xfId="27863" xr:uid="{00000000-0005-0000-0000-0000D46C0000}"/>
    <cellStyle name="Обычный 7 3 4" xfId="27864" xr:uid="{00000000-0005-0000-0000-0000D56C0000}"/>
    <cellStyle name="Обычный 7 3 5" xfId="27865" xr:uid="{00000000-0005-0000-0000-0000D66C0000}"/>
    <cellStyle name="Обычный 7 3 6" xfId="27866" xr:uid="{00000000-0005-0000-0000-0000D76C0000}"/>
    <cellStyle name="Обычный 7 3_2013Прогноз" xfId="27867" xr:uid="{00000000-0005-0000-0000-0000D86C0000}"/>
    <cellStyle name="Обычный 7 4" xfId="27868" xr:uid="{00000000-0005-0000-0000-0000D96C0000}"/>
    <cellStyle name="Обычный 7 4 2" xfId="27869" xr:uid="{00000000-0005-0000-0000-0000DA6C0000}"/>
    <cellStyle name="Обычный 7 4 2 2" xfId="27870" xr:uid="{00000000-0005-0000-0000-0000DB6C0000}"/>
    <cellStyle name="Обычный 7 4 2 3" xfId="27871" xr:uid="{00000000-0005-0000-0000-0000DC6C0000}"/>
    <cellStyle name="Обычный 7 4 2_2013Прогноз" xfId="27872" xr:uid="{00000000-0005-0000-0000-0000DD6C0000}"/>
    <cellStyle name="Обычный 7 4 3" xfId="27873" xr:uid="{00000000-0005-0000-0000-0000DE6C0000}"/>
    <cellStyle name="Обычный 7 4 4" xfId="27874" xr:uid="{00000000-0005-0000-0000-0000DF6C0000}"/>
    <cellStyle name="Обычный 7 4 5" xfId="27875" xr:uid="{00000000-0005-0000-0000-0000E06C0000}"/>
    <cellStyle name="Обычный 7 4_2013Прогноз" xfId="27876" xr:uid="{00000000-0005-0000-0000-0000E16C0000}"/>
    <cellStyle name="Обычный 7 5" xfId="27877" xr:uid="{00000000-0005-0000-0000-0000E26C0000}"/>
    <cellStyle name="Обычный 7 5 2" xfId="27878" xr:uid="{00000000-0005-0000-0000-0000E36C0000}"/>
    <cellStyle name="Обычный 7 5 3" xfId="27879" xr:uid="{00000000-0005-0000-0000-0000E46C0000}"/>
    <cellStyle name="Обычный 7 5 4" xfId="27880" xr:uid="{00000000-0005-0000-0000-0000E56C0000}"/>
    <cellStyle name="Обычный 7 5_2013Прогноз" xfId="27881" xr:uid="{00000000-0005-0000-0000-0000E66C0000}"/>
    <cellStyle name="Обычный 7 6" xfId="27882" xr:uid="{00000000-0005-0000-0000-0000E76C0000}"/>
    <cellStyle name="Обычный 7 6 2" xfId="27883" xr:uid="{00000000-0005-0000-0000-0000E86C0000}"/>
    <cellStyle name="Обычный 7 7" xfId="27884" xr:uid="{00000000-0005-0000-0000-0000E96C0000}"/>
    <cellStyle name="Обычный 7 8" xfId="27885" xr:uid="{00000000-0005-0000-0000-0000EA6C0000}"/>
    <cellStyle name="Обычный 7 9" xfId="27886" xr:uid="{00000000-0005-0000-0000-0000EB6C0000}"/>
    <cellStyle name="Обычный 7_2013Прогноз" xfId="27887" xr:uid="{00000000-0005-0000-0000-0000EC6C0000}"/>
    <cellStyle name="Обычный 8" xfId="27888" xr:uid="{00000000-0005-0000-0000-0000ED6C0000}"/>
    <cellStyle name="Обычный 8 10" xfId="27889" xr:uid="{00000000-0005-0000-0000-0000EE6C0000}"/>
    <cellStyle name="Обычный 8 11" xfId="27890" xr:uid="{00000000-0005-0000-0000-0000EF6C0000}"/>
    <cellStyle name="Обычный 8 2" xfId="27891" xr:uid="{00000000-0005-0000-0000-0000F06C0000}"/>
    <cellStyle name="Обычный 8 2 2" xfId="27892" xr:uid="{00000000-0005-0000-0000-0000F16C0000}"/>
    <cellStyle name="Обычный 8 2 3" xfId="27893" xr:uid="{00000000-0005-0000-0000-0000F26C0000}"/>
    <cellStyle name="Обычный 8 2 3 2" xfId="27894" xr:uid="{00000000-0005-0000-0000-0000F36C0000}"/>
    <cellStyle name="Обычный 8 2 3 2 2" xfId="27895" xr:uid="{00000000-0005-0000-0000-0000F46C0000}"/>
    <cellStyle name="Обычный 8 2 3 2 2 2" xfId="27896" xr:uid="{00000000-0005-0000-0000-0000F56C0000}"/>
    <cellStyle name="Обычный 8 2 3 2 2 3" xfId="27897" xr:uid="{00000000-0005-0000-0000-0000F66C0000}"/>
    <cellStyle name="Обычный 8 2 3 2 2_2013Прогноз" xfId="27898" xr:uid="{00000000-0005-0000-0000-0000F76C0000}"/>
    <cellStyle name="Обычный 8 2 3 2 3" xfId="27899" xr:uid="{00000000-0005-0000-0000-0000F86C0000}"/>
    <cellStyle name="Обычный 8 2 3 2 4" xfId="27900" xr:uid="{00000000-0005-0000-0000-0000F96C0000}"/>
    <cellStyle name="Обычный 8 2 3 2_2013Прогноз" xfId="27901" xr:uid="{00000000-0005-0000-0000-0000FA6C0000}"/>
    <cellStyle name="Обычный 8 2 3 3" xfId="27902" xr:uid="{00000000-0005-0000-0000-0000FB6C0000}"/>
    <cellStyle name="Обычный 8 2 3 3 2" xfId="27903" xr:uid="{00000000-0005-0000-0000-0000FC6C0000}"/>
    <cellStyle name="Обычный 8 2 3 3 3" xfId="27904" xr:uid="{00000000-0005-0000-0000-0000FD6C0000}"/>
    <cellStyle name="Обычный 8 2 3 3_2013Прогноз" xfId="27905" xr:uid="{00000000-0005-0000-0000-0000FE6C0000}"/>
    <cellStyle name="Обычный 8 2 3 4" xfId="27906" xr:uid="{00000000-0005-0000-0000-0000FF6C0000}"/>
    <cellStyle name="Обычный 8 2 3 5" xfId="27907" xr:uid="{00000000-0005-0000-0000-0000006D0000}"/>
    <cellStyle name="Обычный 8 2 3_2013Прогноз" xfId="27908" xr:uid="{00000000-0005-0000-0000-0000016D0000}"/>
    <cellStyle name="Обычный 8 2 4" xfId="27909" xr:uid="{00000000-0005-0000-0000-0000026D0000}"/>
    <cellStyle name="Обычный 8 2 4 2" xfId="27910" xr:uid="{00000000-0005-0000-0000-0000036D0000}"/>
    <cellStyle name="Обычный 8 2 4 2 2" xfId="27911" xr:uid="{00000000-0005-0000-0000-0000046D0000}"/>
    <cellStyle name="Обычный 8 2 4 2 3" xfId="27912" xr:uid="{00000000-0005-0000-0000-0000056D0000}"/>
    <cellStyle name="Обычный 8 2 4 2_2013Прогноз" xfId="27913" xr:uid="{00000000-0005-0000-0000-0000066D0000}"/>
    <cellStyle name="Обычный 8 2 4 3" xfId="27914" xr:uid="{00000000-0005-0000-0000-0000076D0000}"/>
    <cellStyle name="Обычный 8 2 4 4" xfId="27915" xr:uid="{00000000-0005-0000-0000-0000086D0000}"/>
    <cellStyle name="Обычный 8 2 4_2013Прогноз" xfId="27916" xr:uid="{00000000-0005-0000-0000-0000096D0000}"/>
    <cellStyle name="Обычный 8 2 5" xfId="27917" xr:uid="{00000000-0005-0000-0000-00000A6D0000}"/>
    <cellStyle name="Обычный 8 2 5 2" xfId="27918" xr:uid="{00000000-0005-0000-0000-00000B6D0000}"/>
    <cellStyle name="Обычный 8 2 5 3" xfId="27919" xr:uid="{00000000-0005-0000-0000-00000C6D0000}"/>
    <cellStyle name="Обычный 8 2 5_2013Прогноз" xfId="27920" xr:uid="{00000000-0005-0000-0000-00000D6D0000}"/>
    <cellStyle name="Обычный 8 2 6" xfId="27921" xr:uid="{00000000-0005-0000-0000-00000E6D0000}"/>
    <cellStyle name="Обычный 8 2 7" xfId="27922" xr:uid="{00000000-0005-0000-0000-00000F6D0000}"/>
    <cellStyle name="Обычный 8 2_2013Прогноз" xfId="27923" xr:uid="{00000000-0005-0000-0000-0000106D0000}"/>
    <cellStyle name="Обычный 8 3" xfId="27924" xr:uid="{00000000-0005-0000-0000-0000116D0000}"/>
    <cellStyle name="Обычный 8 3 2" xfId="27925" xr:uid="{00000000-0005-0000-0000-0000126D0000}"/>
    <cellStyle name="Обычный 8 4" xfId="27926" xr:uid="{00000000-0005-0000-0000-0000136D0000}"/>
    <cellStyle name="Обычный 8 4 2" xfId="27927" xr:uid="{00000000-0005-0000-0000-0000146D0000}"/>
    <cellStyle name="Обычный 8 4_2013Прогноз" xfId="27928" xr:uid="{00000000-0005-0000-0000-0000156D0000}"/>
    <cellStyle name="Обычный 8 5" xfId="27929" xr:uid="{00000000-0005-0000-0000-0000166D0000}"/>
    <cellStyle name="Обычный 8 6" xfId="27930" xr:uid="{00000000-0005-0000-0000-0000176D0000}"/>
    <cellStyle name="Обычный 8 7" xfId="27931" xr:uid="{00000000-0005-0000-0000-0000186D0000}"/>
    <cellStyle name="Обычный 8 8" xfId="27932" xr:uid="{00000000-0005-0000-0000-0000196D0000}"/>
    <cellStyle name="Обычный 8 9" xfId="27933" xr:uid="{00000000-0005-0000-0000-00001A6D0000}"/>
    <cellStyle name="Обычный 8_2014БП" xfId="27934" xr:uid="{00000000-0005-0000-0000-00001B6D0000}"/>
    <cellStyle name="Обычный 9" xfId="27935" xr:uid="{00000000-0005-0000-0000-00001C6D0000}"/>
    <cellStyle name="Обычный 9 10" xfId="27936" xr:uid="{00000000-0005-0000-0000-00001D6D0000}"/>
    <cellStyle name="Обычный 9 2" xfId="27937" xr:uid="{00000000-0005-0000-0000-00001E6D0000}"/>
    <cellStyle name="Обычный 9 2 2" xfId="27938" xr:uid="{00000000-0005-0000-0000-00001F6D0000}"/>
    <cellStyle name="Обычный 9 2 3" xfId="27939" xr:uid="{00000000-0005-0000-0000-0000206D0000}"/>
    <cellStyle name="Обычный 9 2 3 2" xfId="27940" xr:uid="{00000000-0005-0000-0000-0000216D0000}"/>
    <cellStyle name="Обычный 9 2 3 2 2" xfId="27941" xr:uid="{00000000-0005-0000-0000-0000226D0000}"/>
    <cellStyle name="Обычный 9 2 3 2 3" xfId="27942" xr:uid="{00000000-0005-0000-0000-0000236D0000}"/>
    <cellStyle name="Обычный 9 2 3 2_2013Прогноз" xfId="27943" xr:uid="{00000000-0005-0000-0000-0000246D0000}"/>
    <cellStyle name="Обычный 9 2 3 3" xfId="27944" xr:uid="{00000000-0005-0000-0000-0000256D0000}"/>
    <cellStyle name="Обычный 9 2 3 4" xfId="27945" xr:uid="{00000000-0005-0000-0000-0000266D0000}"/>
    <cellStyle name="Обычный 9 2 3_2013Прогноз" xfId="27946" xr:uid="{00000000-0005-0000-0000-0000276D0000}"/>
    <cellStyle name="Обычный 9 2 4" xfId="27947" xr:uid="{00000000-0005-0000-0000-0000286D0000}"/>
    <cellStyle name="Обычный 9 2 4 2" xfId="27948" xr:uid="{00000000-0005-0000-0000-0000296D0000}"/>
    <cellStyle name="Обычный 9 2 4 3" xfId="27949" xr:uid="{00000000-0005-0000-0000-00002A6D0000}"/>
    <cellStyle name="Обычный 9 2 4_2013Прогноз" xfId="27950" xr:uid="{00000000-0005-0000-0000-00002B6D0000}"/>
    <cellStyle name="Обычный 9 2 5" xfId="27951" xr:uid="{00000000-0005-0000-0000-00002C6D0000}"/>
    <cellStyle name="Обычный 9 2 6" xfId="27952" xr:uid="{00000000-0005-0000-0000-00002D6D0000}"/>
    <cellStyle name="Обычный 9 2 7" xfId="27953" xr:uid="{00000000-0005-0000-0000-00002E6D0000}"/>
    <cellStyle name="Обычный 9 2 8" xfId="27954" xr:uid="{00000000-0005-0000-0000-00002F6D0000}"/>
    <cellStyle name="Обычный 9 2 9" xfId="27955" xr:uid="{00000000-0005-0000-0000-0000306D0000}"/>
    <cellStyle name="Обычный 9 2_2013Прогноз" xfId="27956" xr:uid="{00000000-0005-0000-0000-0000316D0000}"/>
    <cellStyle name="Обычный 9 3" xfId="27957" xr:uid="{00000000-0005-0000-0000-0000326D0000}"/>
    <cellStyle name="Обычный 9 3 2" xfId="27958" xr:uid="{00000000-0005-0000-0000-0000336D0000}"/>
    <cellStyle name="Обычный 9 3 2 2" xfId="27959" xr:uid="{00000000-0005-0000-0000-0000346D0000}"/>
    <cellStyle name="Обычный 9 3 2 3" xfId="27960" xr:uid="{00000000-0005-0000-0000-0000356D0000}"/>
    <cellStyle name="Обычный 9 3 2_2013Прогноз" xfId="27961" xr:uid="{00000000-0005-0000-0000-0000366D0000}"/>
    <cellStyle name="Обычный 9 3 3" xfId="27962" xr:uid="{00000000-0005-0000-0000-0000376D0000}"/>
    <cellStyle name="Обычный 9 3 4" xfId="27963" xr:uid="{00000000-0005-0000-0000-0000386D0000}"/>
    <cellStyle name="Обычный 9 3 5" xfId="27964" xr:uid="{00000000-0005-0000-0000-0000396D0000}"/>
    <cellStyle name="Обычный 9 3_2013Прогноз" xfId="27965" xr:uid="{00000000-0005-0000-0000-00003A6D0000}"/>
    <cellStyle name="Обычный 9 4" xfId="27966" xr:uid="{00000000-0005-0000-0000-00003B6D0000}"/>
    <cellStyle name="Обычный 9 4 2" xfId="27967" xr:uid="{00000000-0005-0000-0000-00003C6D0000}"/>
    <cellStyle name="Обычный 9 4 3" xfId="27968" xr:uid="{00000000-0005-0000-0000-00003D6D0000}"/>
    <cellStyle name="Обычный 9 4 4" xfId="27969" xr:uid="{00000000-0005-0000-0000-00003E6D0000}"/>
    <cellStyle name="Обычный 9 4_2013Прогноз" xfId="27970" xr:uid="{00000000-0005-0000-0000-00003F6D0000}"/>
    <cellStyle name="Обычный 9 5" xfId="27971" xr:uid="{00000000-0005-0000-0000-0000406D0000}"/>
    <cellStyle name="Обычный 9 5 2" xfId="27972" xr:uid="{00000000-0005-0000-0000-0000416D0000}"/>
    <cellStyle name="Обычный 9 5 3" xfId="27973" xr:uid="{00000000-0005-0000-0000-0000426D0000}"/>
    <cellStyle name="Обычный 9 6" xfId="27974" xr:uid="{00000000-0005-0000-0000-0000436D0000}"/>
    <cellStyle name="Обычный 9 6 2" xfId="27975" xr:uid="{00000000-0005-0000-0000-0000446D0000}"/>
    <cellStyle name="Обычный 9 6 3" xfId="27976" xr:uid="{00000000-0005-0000-0000-0000456D0000}"/>
    <cellStyle name="Обычный 9 7" xfId="27977" xr:uid="{00000000-0005-0000-0000-0000466D0000}"/>
    <cellStyle name="Обычный 9 8" xfId="27978" xr:uid="{00000000-0005-0000-0000-0000476D0000}"/>
    <cellStyle name="Обычный 9 9" xfId="27979" xr:uid="{00000000-0005-0000-0000-0000486D0000}"/>
    <cellStyle name="Обычный 9_2014БП" xfId="27980" xr:uid="{00000000-0005-0000-0000-0000496D0000}"/>
    <cellStyle name="Обычный_Карточка. Балансировка АС-2009, 06.06.08-факт.КТГ 2 2" xfId="4" xr:uid="{00000000-0005-0000-0000-00004A6D0000}"/>
    <cellStyle name="Обычный_Расчет 1 вариант (в БП с внеш фин)" xfId="3" xr:uid="{00000000-0005-0000-0000-00004B6D0000}"/>
    <cellStyle name="Плохой 2" xfId="27981" xr:uid="{00000000-0005-0000-0000-00004C6D0000}"/>
    <cellStyle name="Плохой 2 2" xfId="27982" xr:uid="{00000000-0005-0000-0000-00004D6D0000}"/>
    <cellStyle name="Плохой 2 3" xfId="27983" xr:uid="{00000000-0005-0000-0000-00004E6D0000}"/>
    <cellStyle name="Плохой 2_2014БП" xfId="27984" xr:uid="{00000000-0005-0000-0000-00004F6D0000}"/>
    <cellStyle name="Плохой 3" xfId="27985" xr:uid="{00000000-0005-0000-0000-0000506D0000}"/>
    <cellStyle name="Плохой 4" xfId="27986" xr:uid="{00000000-0005-0000-0000-0000516D0000}"/>
    <cellStyle name="Порядок заполнения" xfId="27987" xr:uid="{00000000-0005-0000-0000-0000526D0000}"/>
    <cellStyle name="Порядок заполнения 2" xfId="27988" xr:uid="{00000000-0005-0000-0000-0000536D0000}"/>
    <cellStyle name="Пояснение 2" xfId="27989" xr:uid="{00000000-0005-0000-0000-0000546D0000}"/>
    <cellStyle name="Пояснение 2 2" xfId="27990" xr:uid="{00000000-0005-0000-0000-0000556D0000}"/>
    <cellStyle name="Пояснение 2 3" xfId="27991" xr:uid="{00000000-0005-0000-0000-0000566D0000}"/>
    <cellStyle name="Пояснение 2_2014БП" xfId="27992" xr:uid="{00000000-0005-0000-0000-0000576D0000}"/>
    <cellStyle name="Пояснение 3" xfId="27993" xr:uid="{00000000-0005-0000-0000-0000586D0000}"/>
    <cellStyle name="Пояснение 4" xfId="27994" xr:uid="{00000000-0005-0000-0000-0000596D0000}"/>
    <cellStyle name="Примечание 10" xfId="27995" xr:uid="{00000000-0005-0000-0000-00005A6D0000}"/>
    <cellStyle name="Примечание 10 2" xfId="27996" xr:uid="{00000000-0005-0000-0000-00005B6D0000}"/>
    <cellStyle name="Примечание 10 2 2" xfId="27997" xr:uid="{00000000-0005-0000-0000-00005C6D0000}"/>
    <cellStyle name="Примечание 10 3" xfId="27998" xr:uid="{00000000-0005-0000-0000-00005D6D0000}"/>
    <cellStyle name="Примечание 11" xfId="27999" xr:uid="{00000000-0005-0000-0000-00005E6D0000}"/>
    <cellStyle name="Примечание 11 2" xfId="28000" xr:uid="{00000000-0005-0000-0000-00005F6D0000}"/>
    <cellStyle name="Примечание 11 2 2" xfId="28001" xr:uid="{00000000-0005-0000-0000-0000606D0000}"/>
    <cellStyle name="Примечание 11 3" xfId="28002" xr:uid="{00000000-0005-0000-0000-0000616D0000}"/>
    <cellStyle name="Примечание 12" xfId="28003" xr:uid="{00000000-0005-0000-0000-0000626D0000}"/>
    <cellStyle name="Примечание 12 2" xfId="28004" xr:uid="{00000000-0005-0000-0000-0000636D0000}"/>
    <cellStyle name="Примечание 12 2 2" xfId="28005" xr:uid="{00000000-0005-0000-0000-0000646D0000}"/>
    <cellStyle name="Примечание 12 3" xfId="28006" xr:uid="{00000000-0005-0000-0000-0000656D0000}"/>
    <cellStyle name="Примечание 13" xfId="28007" xr:uid="{00000000-0005-0000-0000-0000666D0000}"/>
    <cellStyle name="Примечание 13 2" xfId="28008" xr:uid="{00000000-0005-0000-0000-0000676D0000}"/>
    <cellStyle name="Примечание 14" xfId="28009" xr:uid="{00000000-0005-0000-0000-0000686D0000}"/>
    <cellStyle name="Примечание 14 2" xfId="28010" xr:uid="{00000000-0005-0000-0000-0000696D0000}"/>
    <cellStyle name="Примечание 15" xfId="28011" xr:uid="{00000000-0005-0000-0000-00006A6D0000}"/>
    <cellStyle name="Примечание 15 2" xfId="28012" xr:uid="{00000000-0005-0000-0000-00006B6D0000}"/>
    <cellStyle name="Примечание 16" xfId="28013" xr:uid="{00000000-0005-0000-0000-00006C6D0000}"/>
    <cellStyle name="Примечание 16 2" xfId="28014" xr:uid="{00000000-0005-0000-0000-00006D6D0000}"/>
    <cellStyle name="Примечание 17" xfId="28015" xr:uid="{00000000-0005-0000-0000-00006E6D0000}"/>
    <cellStyle name="Примечание 17 2" xfId="28016" xr:uid="{00000000-0005-0000-0000-00006F6D0000}"/>
    <cellStyle name="Примечание 18" xfId="28017" xr:uid="{00000000-0005-0000-0000-0000706D0000}"/>
    <cellStyle name="Примечание 18 2" xfId="28018" xr:uid="{00000000-0005-0000-0000-0000716D0000}"/>
    <cellStyle name="Примечание 19" xfId="28019" xr:uid="{00000000-0005-0000-0000-0000726D0000}"/>
    <cellStyle name="Примечание 19 2" xfId="28020" xr:uid="{00000000-0005-0000-0000-0000736D0000}"/>
    <cellStyle name="Примечание 2" xfId="28021" xr:uid="{00000000-0005-0000-0000-0000746D0000}"/>
    <cellStyle name="Примечание 2 10" xfId="28022" xr:uid="{00000000-0005-0000-0000-0000756D0000}"/>
    <cellStyle name="Примечание 2 10 2" xfId="28023" xr:uid="{00000000-0005-0000-0000-0000766D0000}"/>
    <cellStyle name="Примечание 2 11" xfId="28024" xr:uid="{00000000-0005-0000-0000-0000776D0000}"/>
    <cellStyle name="Примечание 2 11 2" xfId="28025" xr:uid="{00000000-0005-0000-0000-0000786D0000}"/>
    <cellStyle name="Примечание 2 12" xfId="28026" xr:uid="{00000000-0005-0000-0000-0000796D0000}"/>
    <cellStyle name="Примечание 2 13" xfId="28027" xr:uid="{00000000-0005-0000-0000-00007A6D0000}"/>
    <cellStyle name="Примечание 2 14" xfId="28028" xr:uid="{00000000-0005-0000-0000-00007B6D0000}"/>
    <cellStyle name="Примечание 2 2" xfId="28029" xr:uid="{00000000-0005-0000-0000-00007C6D0000}"/>
    <cellStyle name="Примечание 2 2 10" xfId="28030" xr:uid="{00000000-0005-0000-0000-00007D6D0000}"/>
    <cellStyle name="Примечание 2 2 2" xfId="28031" xr:uid="{00000000-0005-0000-0000-00007E6D0000}"/>
    <cellStyle name="Примечание 2 2 2 2" xfId="28032" xr:uid="{00000000-0005-0000-0000-00007F6D0000}"/>
    <cellStyle name="Примечание 2 2 2 2 2" xfId="28033" xr:uid="{00000000-0005-0000-0000-0000806D0000}"/>
    <cellStyle name="Примечание 2 2 2 2 2 2" xfId="28034" xr:uid="{00000000-0005-0000-0000-0000816D0000}"/>
    <cellStyle name="Примечание 2 2 2 2 3" xfId="28035" xr:uid="{00000000-0005-0000-0000-0000826D0000}"/>
    <cellStyle name="Примечание 2 2 2 2 3 2" xfId="28036" xr:uid="{00000000-0005-0000-0000-0000836D0000}"/>
    <cellStyle name="Примечание 2 2 2 2 4" xfId="28037" xr:uid="{00000000-0005-0000-0000-0000846D0000}"/>
    <cellStyle name="Примечание 2 2 2 2 4 2" xfId="28038" xr:uid="{00000000-0005-0000-0000-0000856D0000}"/>
    <cellStyle name="Примечание 2 2 2 2 5" xfId="28039" xr:uid="{00000000-0005-0000-0000-0000866D0000}"/>
    <cellStyle name="Примечание 2 2 2 2 5 2" xfId="28040" xr:uid="{00000000-0005-0000-0000-0000876D0000}"/>
    <cellStyle name="Примечание 2 2 2 2 6" xfId="28041" xr:uid="{00000000-0005-0000-0000-0000886D0000}"/>
    <cellStyle name="Примечание 2 2 2 2 7" xfId="28042" xr:uid="{00000000-0005-0000-0000-0000896D0000}"/>
    <cellStyle name="Примечание 2 2 2 2_2014БП" xfId="28043" xr:uid="{00000000-0005-0000-0000-00008A6D0000}"/>
    <cellStyle name="Примечание 2 2 2 3" xfId="28044" xr:uid="{00000000-0005-0000-0000-00008B6D0000}"/>
    <cellStyle name="Примечание 2 2 2 4" xfId="28045" xr:uid="{00000000-0005-0000-0000-00008C6D0000}"/>
    <cellStyle name="Примечание 2 2 2_2013Прогноз" xfId="28046" xr:uid="{00000000-0005-0000-0000-00008D6D0000}"/>
    <cellStyle name="Примечание 2 2 3" xfId="28047" xr:uid="{00000000-0005-0000-0000-00008E6D0000}"/>
    <cellStyle name="Примечание 2 2 3 2" xfId="28048" xr:uid="{00000000-0005-0000-0000-00008F6D0000}"/>
    <cellStyle name="Примечание 2 2 3 2 2" xfId="28049" xr:uid="{00000000-0005-0000-0000-0000906D0000}"/>
    <cellStyle name="Примечание 2 2 3 3" xfId="28050" xr:uid="{00000000-0005-0000-0000-0000916D0000}"/>
    <cellStyle name="Примечание 2 2 3 3 2" xfId="28051" xr:uid="{00000000-0005-0000-0000-0000926D0000}"/>
    <cellStyle name="Примечание 2 2 3 4" xfId="28052" xr:uid="{00000000-0005-0000-0000-0000936D0000}"/>
    <cellStyle name="Примечание 2 2 3 4 2" xfId="28053" xr:uid="{00000000-0005-0000-0000-0000946D0000}"/>
    <cellStyle name="Примечание 2 2 3 5" xfId="28054" xr:uid="{00000000-0005-0000-0000-0000956D0000}"/>
    <cellStyle name="Примечание 2 2 3 5 2" xfId="28055" xr:uid="{00000000-0005-0000-0000-0000966D0000}"/>
    <cellStyle name="Примечание 2 2 3 6" xfId="28056" xr:uid="{00000000-0005-0000-0000-0000976D0000}"/>
    <cellStyle name="Примечание 2 2 3 7" xfId="28057" xr:uid="{00000000-0005-0000-0000-0000986D0000}"/>
    <cellStyle name="Примечание 2 2 3_2014БП" xfId="28058" xr:uid="{00000000-0005-0000-0000-0000996D0000}"/>
    <cellStyle name="Примечание 2 2 4" xfId="28059" xr:uid="{00000000-0005-0000-0000-00009A6D0000}"/>
    <cellStyle name="Примечание 2 2 4 2" xfId="28060" xr:uid="{00000000-0005-0000-0000-00009B6D0000}"/>
    <cellStyle name="Примечание 2 2 4 2 2" xfId="28061" xr:uid="{00000000-0005-0000-0000-00009C6D0000}"/>
    <cellStyle name="Примечание 2 2 4 3" xfId="28062" xr:uid="{00000000-0005-0000-0000-00009D6D0000}"/>
    <cellStyle name="Примечание 2 2 4 3 2" xfId="28063" xr:uid="{00000000-0005-0000-0000-00009E6D0000}"/>
    <cellStyle name="Примечание 2 2 4 4" xfId="28064" xr:uid="{00000000-0005-0000-0000-00009F6D0000}"/>
    <cellStyle name="Примечание 2 2 4 4 2" xfId="28065" xr:uid="{00000000-0005-0000-0000-0000A06D0000}"/>
    <cellStyle name="Примечание 2 2 4 5" xfId="28066" xr:uid="{00000000-0005-0000-0000-0000A16D0000}"/>
    <cellStyle name="Примечание 2 2 4 5 2" xfId="28067" xr:uid="{00000000-0005-0000-0000-0000A26D0000}"/>
    <cellStyle name="Примечание 2 2 4 6" xfId="28068" xr:uid="{00000000-0005-0000-0000-0000A36D0000}"/>
    <cellStyle name="Примечание 2 2 4 7" xfId="28069" xr:uid="{00000000-0005-0000-0000-0000A46D0000}"/>
    <cellStyle name="Примечание 2 2 4_2014БП" xfId="28070" xr:uid="{00000000-0005-0000-0000-0000A56D0000}"/>
    <cellStyle name="Примечание 2 2 5" xfId="28071" xr:uid="{00000000-0005-0000-0000-0000A66D0000}"/>
    <cellStyle name="Примечание 2 2 5 2" xfId="28072" xr:uid="{00000000-0005-0000-0000-0000A76D0000}"/>
    <cellStyle name="Примечание 2 2 6" xfId="28073" xr:uid="{00000000-0005-0000-0000-0000A86D0000}"/>
    <cellStyle name="Примечание 2 2 6 2" xfId="28074" xr:uid="{00000000-0005-0000-0000-0000A96D0000}"/>
    <cellStyle name="Примечание 2 2 7" xfId="28075" xr:uid="{00000000-0005-0000-0000-0000AA6D0000}"/>
    <cellStyle name="Примечание 2 2 7 2" xfId="28076" xr:uid="{00000000-0005-0000-0000-0000AB6D0000}"/>
    <cellStyle name="Примечание 2 2 8" xfId="28077" xr:uid="{00000000-0005-0000-0000-0000AC6D0000}"/>
    <cellStyle name="Примечание 2 2 8 2" xfId="28078" xr:uid="{00000000-0005-0000-0000-0000AD6D0000}"/>
    <cellStyle name="Примечание 2 2 9" xfId="28079" xr:uid="{00000000-0005-0000-0000-0000AE6D0000}"/>
    <cellStyle name="Примечание 2 2 9 2" xfId="28080" xr:uid="{00000000-0005-0000-0000-0000AF6D0000}"/>
    <cellStyle name="Примечание 2 2_2013Прогноз" xfId="28081" xr:uid="{00000000-0005-0000-0000-0000B06D0000}"/>
    <cellStyle name="Примечание 2 3" xfId="28082" xr:uid="{00000000-0005-0000-0000-0000B16D0000}"/>
    <cellStyle name="Примечание 2 3 2" xfId="28083" xr:uid="{00000000-0005-0000-0000-0000B26D0000}"/>
    <cellStyle name="Примечание 2 3 2 2" xfId="28084" xr:uid="{00000000-0005-0000-0000-0000B36D0000}"/>
    <cellStyle name="Примечание 2 3 2 2 2" xfId="28085" xr:uid="{00000000-0005-0000-0000-0000B46D0000}"/>
    <cellStyle name="Примечание 2 3 2 3" xfId="28086" xr:uid="{00000000-0005-0000-0000-0000B56D0000}"/>
    <cellStyle name="Примечание 2 3 2 3 2" xfId="28087" xr:uid="{00000000-0005-0000-0000-0000B66D0000}"/>
    <cellStyle name="Примечание 2 3 2 4" xfId="28088" xr:uid="{00000000-0005-0000-0000-0000B76D0000}"/>
    <cellStyle name="Примечание 2 3 2 4 2" xfId="28089" xr:uid="{00000000-0005-0000-0000-0000B86D0000}"/>
    <cellStyle name="Примечание 2 3 2 5" xfId="28090" xr:uid="{00000000-0005-0000-0000-0000B96D0000}"/>
    <cellStyle name="Примечание 2 3 2 5 2" xfId="28091" xr:uid="{00000000-0005-0000-0000-0000BA6D0000}"/>
    <cellStyle name="Примечание 2 3 2 6" xfId="28092" xr:uid="{00000000-0005-0000-0000-0000BB6D0000}"/>
    <cellStyle name="Примечание 2 3 2 7" xfId="28093" xr:uid="{00000000-0005-0000-0000-0000BC6D0000}"/>
    <cellStyle name="Примечание 2 3 2_2014БП" xfId="28094" xr:uid="{00000000-0005-0000-0000-0000BD6D0000}"/>
    <cellStyle name="Примечание 2 3 3" xfId="28095" xr:uid="{00000000-0005-0000-0000-0000BE6D0000}"/>
    <cellStyle name="Примечание 2 3 4" xfId="28096" xr:uid="{00000000-0005-0000-0000-0000BF6D0000}"/>
    <cellStyle name="Примечание 2 3_2013Прогноз" xfId="28097" xr:uid="{00000000-0005-0000-0000-0000C06D0000}"/>
    <cellStyle name="Примечание 2 4" xfId="28098" xr:uid="{00000000-0005-0000-0000-0000C16D0000}"/>
    <cellStyle name="Примечание 2 4 2" xfId="28099" xr:uid="{00000000-0005-0000-0000-0000C26D0000}"/>
    <cellStyle name="Примечание 2 4 2 2" xfId="28100" xr:uid="{00000000-0005-0000-0000-0000C36D0000}"/>
    <cellStyle name="Примечание 2 4 3" xfId="28101" xr:uid="{00000000-0005-0000-0000-0000C46D0000}"/>
    <cellStyle name="Примечание 2 4 3 2" xfId="28102" xr:uid="{00000000-0005-0000-0000-0000C56D0000}"/>
    <cellStyle name="Примечание 2 4 4" xfId="28103" xr:uid="{00000000-0005-0000-0000-0000C66D0000}"/>
    <cellStyle name="Примечание 2 4 4 2" xfId="28104" xr:uid="{00000000-0005-0000-0000-0000C76D0000}"/>
    <cellStyle name="Примечание 2 4 5" xfId="28105" xr:uid="{00000000-0005-0000-0000-0000C86D0000}"/>
    <cellStyle name="Примечание 2 4 5 2" xfId="28106" xr:uid="{00000000-0005-0000-0000-0000C96D0000}"/>
    <cellStyle name="Примечание 2 4 6" xfId="28107" xr:uid="{00000000-0005-0000-0000-0000CA6D0000}"/>
    <cellStyle name="Примечание 2 4 7" xfId="28108" xr:uid="{00000000-0005-0000-0000-0000CB6D0000}"/>
    <cellStyle name="Примечание 2 4_2014БП" xfId="28109" xr:uid="{00000000-0005-0000-0000-0000CC6D0000}"/>
    <cellStyle name="Примечание 2 5" xfId="28110" xr:uid="{00000000-0005-0000-0000-0000CD6D0000}"/>
    <cellStyle name="Примечание 2 5 2" xfId="28111" xr:uid="{00000000-0005-0000-0000-0000CE6D0000}"/>
    <cellStyle name="Примечание 2 5 2 2" xfId="28112" xr:uid="{00000000-0005-0000-0000-0000CF6D0000}"/>
    <cellStyle name="Примечание 2 5 3" xfId="28113" xr:uid="{00000000-0005-0000-0000-0000D06D0000}"/>
    <cellStyle name="Примечание 2 5 3 2" xfId="28114" xr:uid="{00000000-0005-0000-0000-0000D16D0000}"/>
    <cellStyle name="Примечание 2 5 4" xfId="28115" xr:uid="{00000000-0005-0000-0000-0000D26D0000}"/>
    <cellStyle name="Примечание 2 5 4 2" xfId="28116" xr:uid="{00000000-0005-0000-0000-0000D36D0000}"/>
    <cellStyle name="Примечание 2 5 5" xfId="28117" xr:uid="{00000000-0005-0000-0000-0000D46D0000}"/>
    <cellStyle name="Примечание 2 5 5 2" xfId="28118" xr:uid="{00000000-0005-0000-0000-0000D56D0000}"/>
    <cellStyle name="Примечание 2 5 6" xfId="28119" xr:uid="{00000000-0005-0000-0000-0000D66D0000}"/>
    <cellStyle name="Примечание 2 5 7" xfId="28120" xr:uid="{00000000-0005-0000-0000-0000D76D0000}"/>
    <cellStyle name="Примечание 2 5_2014БП" xfId="28121" xr:uid="{00000000-0005-0000-0000-0000D86D0000}"/>
    <cellStyle name="Примечание 2 6" xfId="28122" xr:uid="{00000000-0005-0000-0000-0000D96D0000}"/>
    <cellStyle name="Примечание 2 6 2" xfId="28123" xr:uid="{00000000-0005-0000-0000-0000DA6D0000}"/>
    <cellStyle name="Примечание 2 7" xfId="28124" xr:uid="{00000000-0005-0000-0000-0000DB6D0000}"/>
    <cellStyle name="Примечание 2 7 2" xfId="28125" xr:uid="{00000000-0005-0000-0000-0000DC6D0000}"/>
    <cellStyle name="Примечание 2 8" xfId="28126" xr:uid="{00000000-0005-0000-0000-0000DD6D0000}"/>
    <cellStyle name="Примечание 2 8 2" xfId="28127" xr:uid="{00000000-0005-0000-0000-0000DE6D0000}"/>
    <cellStyle name="Примечание 2 9" xfId="28128" xr:uid="{00000000-0005-0000-0000-0000DF6D0000}"/>
    <cellStyle name="Примечание 2 9 2" xfId="28129" xr:uid="{00000000-0005-0000-0000-0000E06D0000}"/>
    <cellStyle name="Примечание 2_2013Прогноз" xfId="28130" xr:uid="{00000000-0005-0000-0000-0000E16D0000}"/>
    <cellStyle name="Примечание 20" xfId="28131" xr:uid="{00000000-0005-0000-0000-0000E26D0000}"/>
    <cellStyle name="Примечание 20 2" xfId="28132" xr:uid="{00000000-0005-0000-0000-0000E36D0000}"/>
    <cellStyle name="Примечание 21" xfId="28133" xr:uid="{00000000-0005-0000-0000-0000E46D0000}"/>
    <cellStyle name="Примечание 21 2" xfId="28134" xr:uid="{00000000-0005-0000-0000-0000E56D0000}"/>
    <cellStyle name="Примечание 22" xfId="28135" xr:uid="{00000000-0005-0000-0000-0000E66D0000}"/>
    <cellStyle name="Примечание 22 2" xfId="28136" xr:uid="{00000000-0005-0000-0000-0000E76D0000}"/>
    <cellStyle name="Примечание 23" xfId="28137" xr:uid="{00000000-0005-0000-0000-0000E86D0000}"/>
    <cellStyle name="Примечание 3" xfId="28138" xr:uid="{00000000-0005-0000-0000-0000E96D0000}"/>
    <cellStyle name="Примечание 3 10" xfId="28139" xr:uid="{00000000-0005-0000-0000-0000EA6D0000}"/>
    <cellStyle name="Примечание 3 10 2" xfId="28140" xr:uid="{00000000-0005-0000-0000-0000EB6D0000}"/>
    <cellStyle name="Примечание 3 11" xfId="28141" xr:uid="{00000000-0005-0000-0000-0000EC6D0000}"/>
    <cellStyle name="Примечание 3 11 2" xfId="28142" xr:uid="{00000000-0005-0000-0000-0000ED6D0000}"/>
    <cellStyle name="Примечание 3 12" xfId="28143" xr:uid="{00000000-0005-0000-0000-0000EE6D0000}"/>
    <cellStyle name="Примечание 3 12 2" xfId="28144" xr:uid="{00000000-0005-0000-0000-0000EF6D0000}"/>
    <cellStyle name="Примечание 3 13" xfId="28145" xr:uid="{00000000-0005-0000-0000-0000F06D0000}"/>
    <cellStyle name="Примечание 3 2" xfId="28146" xr:uid="{00000000-0005-0000-0000-0000F16D0000}"/>
    <cellStyle name="Примечание 3 2 2" xfId="28147" xr:uid="{00000000-0005-0000-0000-0000F26D0000}"/>
    <cellStyle name="Примечание 3 2 2 2" xfId="28148" xr:uid="{00000000-0005-0000-0000-0000F36D0000}"/>
    <cellStyle name="Примечание 3 2 2 2 2" xfId="28149" xr:uid="{00000000-0005-0000-0000-0000F46D0000}"/>
    <cellStyle name="Примечание 3 2 2 3" xfId="28150" xr:uid="{00000000-0005-0000-0000-0000F56D0000}"/>
    <cellStyle name="Примечание 3 2 2 3 2" xfId="28151" xr:uid="{00000000-0005-0000-0000-0000F66D0000}"/>
    <cellStyle name="Примечание 3 2 2 4" xfId="28152" xr:uid="{00000000-0005-0000-0000-0000F76D0000}"/>
    <cellStyle name="Примечание 3 2 2 4 2" xfId="28153" xr:uid="{00000000-0005-0000-0000-0000F86D0000}"/>
    <cellStyle name="Примечание 3 2 2 5" xfId="28154" xr:uid="{00000000-0005-0000-0000-0000F96D0000}"/>
    <cellStyle name="Примечание 3 2 2 5 2" xfId="28155" xr:uid="{00000000-0005-0000-0000-0000FA6D0000}"/>
    <cellStyle name="Примечание 3 2 2 6" xfId="28156" xr:uid="{00000000-0005-0000-0000-0000FB6D0000}"/>
    <cellStyle name="Примечание 3 2 2 7" xfId="28157" xr:uid="{00000000-0005-0000-0000-0000FC6D0000}"/>
    <cellStyle name="Примечание 3 2 2_2014БП" xfId="28158" xr:uid="{00000000-0005-0000-0000-0000FD6D0000}"/>
    <cellStyle name="Примечание 3 2 3" xfId="28159" xr:uid="{00000000-0005-0000-0000-0000FE6D0000}"/>
    <cellStyle name="Примечание 3 2 3 2" xfId="28160" xr:uid="{00000000-0005-0000-0000-0000FF6D0000}"/>
    <cellStyle name="Примечание 3 2 4" xfId="28161" xr:uid="{00000000-0005-0000-0000-0000006E0000}"/>
    <cellStyle name="Примечание 3 2 4 2" xfId="28162" xr:uid="{00000000-0005-0000-0000-0000016E0000}"/>
    <cellStyle name="Примечание 3 2 5" xfId="28163" xr:uid="{00000000-0005-0000-0000-0000026E0000}"/>
    <cellStyle name="Примечание 3 2 5 2" xfId="28164" xr:uid="{00000000-0005-0000-0000-0000036E0000}"/>
    <cellStyle name="Примечание 3 2 6" xfId="28165" xr:uid="{00000000-0005-0000-0000-0000046E0000}"/>
    <cellStyle name="Примечание 3 2 6 2" xfId="28166" xr:uid="{00000000-0005-0000-0000-0000056E0000}"/>
    <cellStyle name="Примечание 3 2 7" xfId="28167" xr:uid="{00000000-0005-0000-0000-0000066E0000}"/>
    <cellStyle name="Примечание 3 2 8" xfId="28168" xr:uid="{00000000-0005-0000-0000-0000076E0000}"/>
    <cellStyle name="Примечание 3 2_2013Прогноз" xfId="28169" xr:uid="{00000000-0005-0000-0000-0000086E0000}"/>
    <cellStyle name="Примечание 3 3" xfId="28170" xr:uid="{00000000-0005-0000-0000-0000096E0000}"/>
    <cellStyle name="Примечание 3 3 2" xfId="28171" xr:uid="{00000000-0005-0000-0000-00000A6E0000}"/>
    <cellStyle name="Примечание 3 3 2 2" xfId="28172" xr:uid="{00000000-0005-0000-0000-00000B6E0000}"/>
    <cellStyle name="Примечание 3 3 2 2 2" xfId="28173" xr:uid="{00000000-0005-0000-0000-00000C6E0000}"/>
    <cellStyle name="Примечание 3 3 2 3" xfId="28174" xr:uid="{00000000-0005-0000-0000-00000D6E0000}"/>
    <cellStyle name="Примечание 3 3 2 3 2" xfId="28175" xr:uid="{00000000-0005-0000-0000-00000E6E0000}"/>
    <cellStyle name="Примечание 3 3 2 4" xfId="28176" xr:uid="{00000000-0005-0000-0000-00000F6E0000}"/>
    <cellStyle name="Примечание 3 3 2 4 2" xfId="28177" xr:uid="{00000000-0005-0000-0000-0000106E0000}"/>
    <cellStyle name="Примечание 3 3 2 5" xfId="28178" xr:uid="{00000000-0005-0000-0000-0000116E0000}"/>
    <cellStyle name="Примечание 3 3 2 5 2" xfId="28179" xr:uid="{00000000-0005-0000-0000-0000126E0000}"/>
    <cellStyle name="Примечание 3 3 2 6" xfId="28180" xr:uid="{00000000-0005-0000-0000-0000136E0000}"/>
    <cellStyle name="Примечание 3 3 2 7" xfId="28181" xr:uid="{00000000-0005-0000-0000-0000146E0000}"/>
    <cellStyle name="Примечание 3 3 2_2014БП" xfId="28182" xr:uid="{00000000-0005-0000-0000-0000156E0000}"/>
    <cellStyle name="Примечание 3 3 3" xfId="28183" xr:uid="{00000000-0005-0000-0000-0000166E0000}"/>
    <cellStyle name="Примечание 3 3 3 2" xfId="28184" xr:uid="{00000000-0005-0000-0000-0000176E0000}"/>
    <cellStyle name="Примечание 3 3 4" xfId="28185" xr:uid="{00000000-0005-0000-0000-0000186E0000}"/>
    <cellStyle name="Примечание 3 3 4 2" xfId="28186" xr:uid="{00000000-0005-0000-0000-0000196E0000}"/>
    <cellStyle name="Примечание 3 3 5" xfId="28187" xr:uid="{00000000-0005-0000-0000-00001A6E0000}"/>
    <cellStyle name="Примечание 3 3 5 2" xfId="28188" xr:uid="{00000000-0005-0000-0000-00001B6E0000}"/>
    <cellStyle name="Примечание 3 3 6" xfId="28189" xr:uid="{00000000-0005-0000-0000-00001C6E0000}"/>
    <cellStyle name="Примечание 3 3 6 2" xfId="28190" xr:uid="{00000000-0005-0000-0000-00001D6E0000}"/>
    <cellStyle name="Примечание 3 3 7" xfId="28191" xr:uid="{00000000-0005-0000-0000-00001E6E0000}"/>
    <cellStyle name="Примечание 3 3 8" xfId="28192" xr:uid="{00000000-0005-0000-0000-00001F6E0000}"/>
    <cellStyle name="Примечание 3 3_2013Прогноз" xfId="28193" xr:uid="{00000000-0005-0000-0000-0000206E0000}"/>
    <cellStyle name="Примечание 3 4" xfId="28194" xr:uid="{00000000-0005-0000-0000-0000216E0000}"/>
    <cellStyle name="Примечание 3 4 2" xfId="28195" xr:uid="{00000000-0005-0000-0000-0000226E0000}"/>
    <cellStyle name="Примечание 3 4 2 2" xfId="28196" xr:uid="{00000000-0005-0000-0000-0000236E0000}"/>
    <cellStyle name="Примечание 3 4 3" xfId="28197" xr:uid="{00000000-0005-0000-0000-0000246E0000}"/>
    <cellStyle name="Примечание 3 4 3 2" xfId="28198" xr:uid="{00000000-0005-0000-0000-0000256E0000}"/>
    <cellStyle name="Примечание 3 4 4" xfId="28199" xr:uid="{00000000-0005-0000-0000-0000266E0000}"/>
    <cellStyle name="Примечание 3 4 4 2" xfId="28200" xr:uid="{00000000-0005-0000-0000-0000276E0000}"/>
    <cellStyle name="Примечание 3 4 5" xfId="28201" xr:uid="{00000000-0005-0000-0000-0000286E0000}"/>
    <cellStyle name="Примечание 3 4 5 2" xfId="28202" xr:uid="{00000000-0005-0000-0000-0000296E0000}"/>
    <cellStyle name="Примечание 3 4 6" xfId="28203" xr:uid="{00000000-0005-0000-0000-00002A6E0000}"/>
    <cellStyle name="Примечание 3 4 7" xfId="28204" xr:uid="{00000000-0005-0000-0000-00002B6E0000}"/>
    <cellStyle name="Примечание 3 4_2014БП" xfId="28205" xr:uid="{00000000-0005-0000-0000-00002C6E0000}"/>
    <cellStyle name="Примечание 3 5" xfId="28206" xr:uid="{00000000-0005-0000-0000-00002D6E0000}"/>
    <cellStyle name="Примечание 3 5 2" xfId="28207" xr:uid="{00000000-0005-0000-0000-00002E6E0000}"/>
    <cellStyle name="Примечание 3 5 2 2" xfId="28208" xr:uid="{00000000-0005-0000-0000-00002F6E0000}"/>
    <cellStyle name="Примечание 3 5 3" xfId="28209" xr:uid="{00000000-0005-0000-0000-0000306E0000}"/>
    <cellStyle name="Примечание 3 5 3 2" xfId="28210" xr:uid="{00000000-0005-0000-0000-0000316E0000}"/>
    <cellStyle name="Примечание 3 5 4" xfId="28211" xr:uid="{00000000-0005-0000-0000-0000326E0000}"/>
    <cellStyle name="Примечание 3 5 4 2" xfId="28212" xr:uid="{00000000-0005-0000-0000-0000336E0000}"/>
    <cellStyle name="Примечание 3 5 5" xfId="28213" xr:uid="{00000000-0005-0000-0000-0000346E0000}"/>
    <cellStyle name="Примечание 3 5 5 2" xfId="28214" xr:uid="{00000000-0005-0000-0000-0000356E0000}"/>
    <cellStyle name="Примечание 3 5 6" xfId="28215" xr:uid="{00000000-0005-0000-0000-0000366E0000}"/>
    <cellStyle name="Примечание 3 5 7" xfId="28216" xr:uid="{00000000-0005-0000-0000-0000376E0000}"/>
    <cellStyle name="Примечание 3 5_2014БП" xfId="28217" xr:uid="{00000000-0005-0000-0000-0000386E0000}"/>
    <cellStyle name="Примечание 3 6" xfId="28218" xr:uid="{00000000-0005-0000-0000-0000396E0000}"/>
    <cellStyle name="Примечание 3 6 2" xfId="28219" xr:uid="{00000000-0005-0000-0000-00003A6E0000}"/>
    <cellStyle name="Примечание 3 7" xfId="28220" xr:uid="{00000000-0005-0000-0000-00003B6E0000}"/>
    <cellStyle name="Примечание 3 7 2" xfId="28221" xr:uid="{00000000-0005-0000-0000-00003C6E0000}"/>
    <cellStyle name="Примечание 3 8" xfId="28222" xr:uid="{00000000-0005-0000-0000-00003D6E0000}"/>
    <cellStyle name="Примечание 3 8 2" xfId="28223" xr:uid="{00000000-0005-0000-0000-00003E6E0000}"/>
    <cellStyle name="Примечание 3 9" xfId="28224" xr:uid="{00000000-0005-0000-0000-00003F6E0000}"/>
    <cellStyle name="Примечание 3 9 2" xfId="28225" xr:uid="{00000000-0005-0000-0000-0000406E0000}"/>
    <cellStyle name="Примечание 3_2013Прогноз" xfId="28226" xr:uid="{00000000-0005-0000-0000-0000416E0000}"/>
    <cellStyle name="Примечание 4" xfId="28227" xr:uid="{00000000-0005-0000-0000-0000426E0000}"/>
    <cellStyle name="Примечание 4 10" xfId="28228" xr:uid="{00000000-0005-0000-0000-0000436E0000}"/>
    <cellStyle name="Примечание 4 10 2" xfId="28229" xr:uid="{00000000-0005-0000-0000-0000446E0000}"/>
    <cellStyle name="Примечание 4 11" xfId="28230" xr:uid="{00000000-0005-0000-0000-0000456E0000}"/>
    <cellStyle name="Примечание 4 12" xfId="28231" xr:uid="{00000000-0005-0000-0000-0000466E0000}"/>
    <cellStyle name="Примечание 4 2" xfId="28232" xr:uid="{00000000-0005-0000-0000-0000476E0000}"/>
    <cellStyle name="Примечание 4 2 2" xfId="28233" xr:uid="{00000000-0005-0000-0000-0000486E0000}"/>
    <cellStyle name="Примечание 4 2 2 2" xfId="28234" xr:uid="{00000000-0005-0000-0000-0000496E0000}"/>
    <cellStyle name="Примечание 4 2 3" xfId="28235" xr:uid="{00000000-0005-0000-0000-00004A6E0000}"/>
    <cellStyle name="Примечание 4 2 3 2" xfId="28236" xr:uid="{00000000-0005-0000-0000-00004B6E0000}"/>
    <cellStyle name="Примечание 4 2 4" xfId="28237" xr:uid="{00000000-0005-0000-0000-00004C6E0000}"/>
    <cellStyle name="Примечание 4 2 4 2" xfId="28238" xr:uid="{00000000-0005-0000-0000-00004D6E0000}"/>
    <cellStyle name="Примечание 4 2 5" xfId="28239" xr:uid="{00000000-0005-0000-0000-00004E6E0000}"/>
    <cellStyle name="Примечание 4 2 5 2" xfId="28240" xr:uid="{00000000-0005-0000-0000-00004F6E0000}"/>
    <cellStyle name="Примечание 4 2 6" xfId="28241" xr:uid="{00000000-0005-0000-0000-0000506E0000}"/>
    <cellStyle name="Примечание 4 2 7" xfId="28242" xr:uid="{00000000-0005-0000-0000-0000516E0000}"/>
    <cellStyle name="Примечание 4 2_2014БП" xfId="28243" xr:uid="{00000000-0005-0000-0000-0000526E0000}"/>
    <cellStyle name="Примечание 4 3" xfId="28244" xr:uid="{00000000-0005-0000-0000-0000536E0000}"/>
    <cellStyle name="Примечание 4 3 2" xfId="28245" xr:uid="{00000000-0005-0000-0000-0000546E0000}"/>
    <cellStyle name="Примечание 4 4" xfId="28246" xr:uid="{00000000-0005-0000-0000-0000556E0000}"/>
    <cellStyle name="Примечание 4 4 2" xfId="28247" xr:uid="{00000000-0005-0000-0000-0000566E0000}"/>
    <cellStyle name="Примечание 4 5" xfId="28248" xr:uid="{00000000-0005-0000-0000-0000576E0000}"/>
    <cellStyle name="Примечание 4 5 2" xfId="28249" xr:uid="{00000000-0005-0000-0000-0000586E0000}"/>
    <cellStyle name="Примечание 4 6" xfId="28250" xr:uid="{00000000-0005-0000-0000-0000596E0000}"/>
    <cellStyle name="Примечание 4 6 2" xfId="28251" xr:uid="{00000000-0005-0000-0000-00005A6E0000}"/>
    <cellStyle name="Примечание 4 7" xfId="28252" xr:uid="{00000000-0005-0000-0000-00005B6E0000}"/>
    <cellStyle name="Примечание 4 7 2" xfId="28253" xr:uid="{00000000-0005-0000-0000-00005C6E0000}"/>
    <cellStyle name="Примечание 4 8" xfId="28254" xr:uid="{00000000-0005-0000-0000-00005D6E0000}"/>
    <cellStyle name="Примечание 4 8 2" xfId="28255" xr:uid="{00000000-0005-0000-0000-00005E6E0000}"/>
    <cellStyle name="Примечание 4 9" xfId="28256" xr:uid="{00000000-0005-0000-0000-00005F6E0000}"/>
    <cellStyle name="Примечание 4 9 2" xfId="28257" xr:uid="{00000000-0005-0000-0000-0000606E0000}"/>
    <cellStyle name="Примечание 4_2013Прогноз" xfId="28258" xr:uid="{00000000-0005-0000-0000-0000616E0000}"/>
    <cellStyle name="Примечание 5" xfId="28259" xr:uid="{00000000-0005-0000-0000-0000626E0000}"/>
    <cellStyle name="Примечание 5 10" xfId="28260" xr:uid="{00000000-0005-0000-0000-0000636E0000}"/>
    <cellStyle name="Примечание 5 10 2" xfId="28261" xr:uid="{00000000-0005-0000-0000-0000646E0000}"/>
    <cellStyle name="Примечание 5 11" xfId="28262" xr:uid="{00000000-0005-0000-0000-0000656E0000}"/>
    <cellStyle name="Примечание 5 12" xfId="28263" xr:uid="{00000000-0005-0000-0000-0000666E0000}"/>
    <cellStyle name="Примечание 5 2" xfId="28264" xr:uid="{00000000-0005-0000-0000-0000676E0000}"/>
    <cellStyle name="Примечание 5 2 2" xfId="28265" xr:uid="{00000000-0005-0000-0000-0000686E0000}"/>
    <cellStyle name="Примечание 5 2 2 2" xfId="28266" xr:uid="{00000000-0005-0000-0000-0000696E0000}"/>
    <cellStyle name="Примечание 5 2 3" xfId="28267" xr:uid="{00000000-0005-0000-0000-00006A6E0000}"/>
    <cellStyle name="Примечание 5 2 3 2" xfId="28268" xr:uid="{00000000-0005-0000-0000-00006B6E0000}"/>
    <cellStyle name="Примечание 5 2 4" xfId="28269" xr:uid="{00000000-0005-0000-0000-00006C6E0000}"/>
    <cellStyle name="Примечание 5 2 4 2" xfId="28270" xr:uid="{00000000-0005-0000-0000-00006D6E0000}"/>
    <cellStyle name="Примечание 5 2 5" xfId="28271" xr:uid="{00000000-0005-0000-0000-00006E6E0000}"/>
    <cellStyle name="Примечание 5 2 5 2" xfId="28272" xr:uid="{00000000-0005-0000-0000-00006F6E0000}"/>
    <cellStyle name="Примечание 5 2 6" xfId="28273" xr:uid="{00000000-0005-0000-0000-0000706E0000}"/>
    <cellStyle name="Примечание 5 2 7" xfId="28274" xr:uid="{00000000-0005-0000-0000-0000716E0000}"/>
    <cellStyle name="Примечание 5 2_2014БП" xfId="28275" xr:uid="{00000000-0005-0000-0000-0000726E0000}"/>
    <cellStyle name="Примечание 5 3" xfId="28276" xr:uid="{00000000-0005-0000-0000-0000736E0000}"/>
    <cellStyle name="Примечание 5 3 2" xfId="28277" xr:uid="{00000000-0005-0000-0000-0000746E0000}"/>
    <cellStyle name="Примечание 5 4" xfId="28278" xr:uid="{00000000-0005-0000-0000-0000756E0000}"/>
    <cellStyle name="Примечание 5 4 2" xfId="28279" xr:uid="{00000000-0005-0000-0000-0000766E0000}"/>
    <cellStyle name="Примечание 5 5" xfId="28280" xr:uid="{00000000-0005-0000-0000-0000776E0000}"/>
    <cellStyle name="Примечание 5 5 2" xfId="28281" xr:uid="{00000000-0005-0000-0000-0000786E0000}"/>
    <cellStyle name="Примечание 5 6" xfId="28282" xr:uid="{00000000-0005-0000-0000-0000796E0000}"/>
    <cellStyle name="Примечание 5 6 2" xfId="28283" xr:uid="{00000000-0005-0000-0000-00007A6E0000}"/>
    <cellStyle name="Примечание 5 7" xfId="28284" xr:uid="{00000000-0005-0000-0000-00007B6E0000}"/>
    <cellStyle name="Примечание 5 7 2" xfId="28285" xr:uid="{00000000-0005-0000-0000-00007C6E0000}"/>
    <cellStyle name="Примечание 5 8" xfId="28286" xr:uid="{00000000-0005-0000-0000-00007D6E0000}"/>
    <cellStyle name="Примечание 5 8 2" xfId="28287" xr:uid="{00000000-0005-0000-0000-00007E6E0000}"/>
    <cellStyle name="Примечание 5 9" xfId="28288" xr:uid="{00000000-0005-0000-0000-00007F6E0000}"/>
    <cellStyle name="Примечание 5 9 2" xfId="28289" xr:uid="{00000000-0005-0000-0000-0000806E0000}"/>
    <cellStyle name="Примечание 5_2013Прогноз" xfId="28290" xr:uid="{00000000-0005-0000-0000-0000816E0000}"/>
    <cellStyle name="Примечание 6" xfId="28291" xr:uid="{00000000-0005-0000-0000-0000826E0000}"/>
    <cellStyle name="Примечание 6 2" xfId="28292" xr:uid="{00000000-0005-0000-0000-0000836E0000}"/>
    <cellStyle name="Примечание 6 2 2" xfId="28293" xr:uid="{00000000-0005-0000-0000-0000846E0000}"/>
    <cellStyle name="Примечание 6 3" xfId="28294" xr:uid="{00000000-0005-0000-0000-0000856E0000}"/>
    <cellStyle name="Примечание 6 3 2" xfId="28295" xr:uid="{00000000-0005-0000-0000-0000866E0000}"/>
    <cellStyle name="Примечание 6 4" xfId="28296" xr:uid="{00000000-0005-0000-0000-0000876E0000}"/>
    <cellStyle name="Примечание 6 4 2" xfId="28297" xr:uid="{00000000-0005-0000-0000-0000886E0000}"/>
    <cellStyle name="Примечание 6 5" xfId="28298" xr:uid="{00000000-0005-0000-0000-0000896E0000}"/>
    <cellStyle name="Примечание 6 5 2" xfId="28299" xr:uid="{00000000-0005-0000-0000-00008A6E0000}"/>
    <cellStyle name="Примечание 6 6" xfId="28300" xr:uid="{00000000-0005-0000-0000-00008B6E0000}"/>
    <cellStyle name="Примечание 6 6 2" xfId="28301" xr:uid="{00000000-0005-0000-0000-00008C6E0000}"/>
    <cellStyle name="Примечание 6 7" xfId="28302" xr:uid="{00000000-0005-0000-0000-00008D6E0000}"/>
    <cellStyle name="Примечание 6 8" xfId="28303" xr:uid="{00000000-0005-0000-0000-00008E6E0000}"/>
    <cellStyle name="Примечание 6_2013Прогноз" xfId="28304" xr:uid="{00000000-0005-0000-0000-00008F6E0000}"/>
    <cellStyle name="Примечание 7" xfId="28305" xr:uid="{00000000-0005-0000-0000-0000906E0000}"/>
    <cellStyle name="Примечание 7 2" xfId="28306" xr:uid="{00000000-0005-0000-0000-0000916E0000}"/>
    <cellStyle name="Примечание 7 2 2" xfId="28307" xr:uid="{00000000-0005-0000-0000-0000926E0000}"/>
    <cellStyle name="Примечание 7 3" xfId="28308" xr:uid="{00000000-0005-0000-0000-0000936E0000}"/>
    <cellStyle name="Примечание 7 3 2" xfId="28309" xr:uid="{00000000-0005-0000-0000-0000946E0000}"/>
    <cellStyle name="Примечание 7 4" xfId="28310" xr:uid="{00000000-0005-0000-0000-0000956E0000}"/>
    <cellStyle name="Примечание 7 4 2" xfId="28311" xr:uid="{00000000-0005-0000-0000-0000966E0000}"/>
    <cellStyle name="Примечание 7 5" xfId="28312" xr:uid="{00000000-0005-0000-0000-0000976E0000}"/>
    <cellStyle name="Примечание 7 5 2" xfId="28313" xr:uid="{00000000-0005-0000-0000-0000986E0000}"/>
    <cellStyle name="Примечание 7 6" xfId="28314" xr:uid="{00000000-0005-0000-0000-0000996E0000}"/>
    <cellStyle name="Примечание 7 6 2" xfId="28315" xr:uid="{00000000-0005-0000-0000-00009A6E0000}"/>
    <cellStyle name="Примечание 7 7" xfId="28316" xr:uid="{00000000-0005-0000-0000-00009B6E0000}"/>
    <cellStyle name="Примечание 7 8" xfId="28317" xr:uid="{00000000-0005-0000-0000-00009C6E0000}"/>
    <cellStyle name="Примечание 7_2013Прогноз" xfId="28318" xr:uid="{00000000-0005-0000-0000-00009D6E0000}"/>
    <cellStyle name="Примечание 8" xfId="28319" xr:uid="{00000000-0005-0000-0000-00009E6E0000}"/>
    <cellStyle name="Примечание 8 2" xfId="28320" xr:uid="{00000000-0005-0000-0000-00009F6E0000}"/>
    <cellStyle name="Примечание 8 2 2" xfId="28321" xr:uid="{00000000-0005-0000-0000-0000A06E0000}"/>
    <cellStyle name="Примечание 8 3" xfId="28322" xr:uid="{00000000-0005-0000-0000-0000A16E0000}"/>
    <cellStyle name="Примечание 8 3 2" xfId="28323" xr:uid="{00000000-0005-0000-0000-0000A26E0000}"/>
    <cellStyle name="Примечание 8 4" xfId="28324" xr:uid="{00000000-0005-0000-0000-0000A36E0000}"/>
    <cellStyle name="Примечание 8 4 2" xfId="28325" xr:uid="{00000000-0005-0000-0000-0000A46E0000}"/>
    <cellStyle name="Примечание 8 5" xfId="28326" xr:uid="{00000000-0005-0000-0000-0000A56E0000}"/>
    <cellStyle name="Примечание 8 5 2" xfId="28327" xr:uid="{00000000-0005-0000-0000-0000A66E0000}"/>
    <cellStyle name="Примечание 8 6" xfId="28328" xr:uid="{00000000-0005-0000-0000-0000A76E0000}"/>
    <cellStyle name="Примечание 8 6 2" xfId="28329" xr:uid="{00000000-0005-0000-0000-0000A86E0000}"/>
    <cellStyle name="Примечание 8 7" xfId="28330" xr:uid="{00000000-0005-0000-0000-0000A96E0000}"/>
    <cellStyle name="Примечание 8 8" xfId="28331" xr:uid="{00000000-0005-0000-0000-0000AA6E0000}"/>
    <cellStyle name="Примечание 8_2013Прогноз" xfId="28332" xr:uid="{00000000-0005-0000-0000-0000AB6E0000}"/>
    <cellStyle name="Примечание 9" xfId="28333" xr:uid="{00000000-0005-0000-0000-0000AC6E0000}"/>
    <cellStyle name="Примечание 9 2" xfId="28334" xr:uid="{00000000-0005-0000-0000-0000AD6E0000}"/>
    <cellStyle name="Примечание 9 2 2" xfId="28335" xr:uid="{00000000-0005-0000-0000-0000AE6E0000}"/>
    <cellStyle name="Примечание 9 3" xfId="28336" xr:uid="{00000000-0005-0000-0000-0000AF6E0000}"/>
    <cellStyle name="Примечание 9 3 2" xfId="28337" xr:uid="{00000000-0005-0000-0000-0000B06E0000}"/>
    <cellStyle name="Примечание 9 4" xfId="28338" xr:uid="{00000000-0005-0000-0000-0000B16E0000}"/>
    <cellStyle name="Примечание 9 4 2" xfId="28339" xr:uid="{00000000-0005-0000-0000-0000B26E0000}"/>
    <cellStyle name="Примечание 9 5" xfId="28340" xr:uid="{00000000-0005-0000-0000-0000B36E0000}"/>
    <cellStyle name="Примечание 9 5 2" xfId="28341" xr:uid="{00000000-0005-0000-0000-0000B46E0000}"/>
    <cellStyle name="Примечание 9 6" xfId="28342" xr:uid="{00000000-0005-0000-0000-0000B56E0000}"/>
    <cellStyle name="Примечание 9 6 2" xfId="28343" xr:uid="{00000000-0005-0000-0000-0000B66E0000}"/>
    <cellStyle name="Примечание 9 7" xfId="28344" xr:uid="{00000000-0005-0000-0000-0000B76E0000}"/>
    <cellStyle name="Примечание 9 8" xfId="28345" xr:uid="{00000000-0005-0000-0000-0000B86E0000}"/>
    <cellStyle name="Примечание 9_2013Прогноз" xfId="28346" xr:uid="{00000000-0005-0000-0000-0000B96E0000}"/>
    <cellStyle name="Процентный 10" xfId="28347" xr:uid="{00000000-0005-0000-0000-0000BA6E0000}"/>
    <cellStyle name="Процентный 10 2" xfId="28348" xr:uid="{00000000-0005-0000-0000-0000BB6E0000}"/>
    <cellStyle name="Процентный 10 3" xfId="28349" xr:uid="{00000000-0005-0000-0000-0000BC6E0000}"/>
    <cellStyle name="Процентный 11" xfId="28350" xr:uid="{00000000-0005-0000-0000-0000BD6E0000}"/>
    <cellStyle name="Процентный 11 2" xfId="28351" xr:uid="{00000000-0005-0000-0000-0000BE6E0000}"/>
    <cellStyle name="Процентный 11 2 2" xfId="28352" xr:uid="{00000000-0005-0000-0000-0000BF6E0000}"/>
    <cellStyle name="Процентный 11 2 3" xfId="28353" xr:uid="{00000000-0005-0000-0000-0000C06E0000}"/>
    <cellStyle name="Процентный 11 2 4" xfId="28354" xr:uid="{00000000-0005-0000-0000-0000C16E0000}"/>
    <cellStyle name="Процентный 11 3" xfId="28355" xr:uid="{00000000-0005-0000-0000-0000C26E0000}"/>
    <cellStyle name="Процентный 11 4" xfId="28356" xr:uid="{00000000-0005-0000-0000-0000C36E0000}"/>
    <cellStyle name="Процентный 11 5" xfId="28357" xr:uid="{00000000-0005-0000-0000-0000C46E0000}"/>
    <cellStyle name="Процентный 11 6" xfId="28358" xr:uid="{00000000-0005-0000-0000-0000C56E0000}"/>
    <cellStyle name="Процентный 11 7" xfId="28359" xr:uid="{00000000-0005-0000-0000-0000C66E0000}"/>
    <cellStyle name="Процентный 12" xfId="28360" xr:uid="{00000000-0005-0000-0000-0000C76E0000}"/>
    <cellStyle name="Процентный 13" xfId="28361" xr:uid="{00000000-0005-0000-0000-0000C86E0000}"/>
    <cellStyle name="Процентный 14" xfId="28362" xr:uid="{00000000-0005-0000-0000-0000C96E0000}"/>
    <cellStyle name="Процентный 15" xfId="28363" xr:uid="{00000000-0005-0000-0000-0000CA6E0000}"/>
    <cellStyle name="Процентный 16" xfId="28364" xr:uid="{00000000-0005-0000-0000-0000CB6E0000}"/>
    <cellStyle name="Процентный 2" xfId="28365" xr:uid="{00000000-0005-0000-0000-0000CC6E0000}"/>
    <cellStyle name="Процентный 2 2" xfId="28366" xr:uid="{00000000-0005-0000-0000-0000CD6E0000}"/>
    <cellStyle name="Процентный 2 2 2" xfId="28367" xr:uid="{00000000-0005-0000-0000-0000CE6E0000}"/>
    <cellStyle name="Процентный 2 2 3" xfId="28368" xr:uid="{00000000-0005-0000-0000-0000CF6E0000}"/>
    <cellStyle name="Процентный 2 3" xfId="28369" xr:uid="{00000000-0005-0000-0000-0000D06E0000}"/>
    <cellStyle name="Процентный 2 3 2" xfId="28370" xr:uid="{00000000-0005-0000-0000-0000D16E0000}"/>
    <cellStyle name="Процентный 2 4" xfId="28371" xr:uid="{00000000-0005-0000-0000-0000D26E0000}"/>
    <cellStyle name="Процентный 2 4 2" xfId="28372" xr:uid="{00000000-0005-0000-0000-0000D36E0000}"/>
    <cellStyle name="Процентный 2 5" xfId="28373" xr:uid="{00000000-0005-0000-0000-0000D46E0000}"/>
    <cellStyle name="Процентный 2 5 2" xfId="28374" xr:uid="{00000000-0005-0000-0000-0000D56E0000}"/>
    <cellStyle name="Процентный 2 6" xfId="28375" xr:uid="{00000000-0005-0000-0000-0000D66E0000}"/>
    <cellStyle name="Процентный 2 6 2" xfId="28376" xr:uid="{00000000-0005-0000-0000-0000D76E0000}"/>
    <cellStyle name="Процентный 2 7" xfId="28377" xr:uid="{00000000-0005-0000-0000-0000D86E0000}"/>
    <cellStyle name="Процентный 2 7 2" xfId="28378" xr:uid="{00000000-0005-0000-0000-0000D96E0000}"/>
    <cellStyle name="Процентный 2_2014БП" xfId="28379" xr:uid="{00000000-0005-0000-0000-0000DA6E0000}"/>
    <cellStyle name="Процентный 3" xfId="28380" xr:uid="{00000000-0005-0000-0000-0000DB6E0000}"/>
    <cellStyle name="Процентный 3 2" xfId="28381" xr:uid="{00000000-0005-0000-0000-0000DC6E0000}"/>
    <cellStyle name="Процентный 3 3" xfId="28382" xr:uid="{00000000-0005-0000-0000-0000DD6E0000}"/>
    <cellStyle name="Процентный 4" xfId="28383" xr:uid="{00000000-0005-0000-0000-0000DE6E0000}"/>
    <cellStyle name="Процентный 4 2" xfId="28384" xr:uid="{00000000-0005-0000-0000-0000DF6E0000}"/>
    <cellStyle name="Процентный 4 3" xfId="28385" xr:uid="{00000000-0005-0000-0000-0000E06E0000}"/>
    <cellStyle name="Процентный 4 4" xfId="28386" xr:uid="{00000000-0005-0000-0000-0000E16E0000}"/>
    <cellStyle name="Процентный 4 5" xfId="28387" xr:uid="{00000000-0005-0000-0000-0000E26E0000}"/>
    <cellStyle name="Процентный 4 6" xfId="28388" xr:uid="{00000000-0005-0000-0000-0000E36E0000}"/>
    <cellStyle name="Процентный 4 7" xfId="28389" xr:uid="{00000000-0005-0000-0000-0000E46E0000}"/>
    <cellStyle name="Процентный 5" xfId="28390" xr:uid="{00000000-0005-0000-0000-0000E56E0000}"/>
    <cellStyle name="Процентный 5 2" xfId="28391" xr:uid="{00000000-0005-0000-0000-0000E66E0000}"/>
    <cellStyle name="Процентный 5 2 2" xfId="28392" xr:uid="{00000000-0005-0000-0000-0000E76E0000}"/>
    <cellStyle name="Процентный 5 2 2 2" xfId="28393" xr:uid="{00000000-0005-0000-0000-0000E86E0000}"/>
    <cellStyle name="Процентный 5 2 2 3" xfId="28394" xr:uid="{00000000-0005-0000-0000-0000E96E0000}"/>
    <cellStyle name="Процентный 5 2 2_2014БП" xfId="28395" xr:uid="{00000000-0005-0000-0000-0000EA6E0000}"/>
    <cellStyle name="Процентный 5 2 3" xfId="28396" xr:uid="{00000000-0005-0000-0000-0000EB6E0000}"/>
    <cellStyle name="Процентный 5 2 4" xfId="28397" xr:uid="{00000000-0005-0000-0000-0000EC6E0000}"/>
    <cellStyle name="Процентный 5 2 5" xfId="28398" xr:uid="{00000000-0005-0000-0000-0000ED6E0000}"/>
    <cellStyle name="Процентный 5 2_2014БП" xfId="28399" xr:uid="{00000000-0005-0000-0000-0000EE6E0000}"/>
    <cellStyle name="Процентный 5 3" xfId="28400" xr:uid="{00000000-0005-0000-0000-0000EF6E0000}"/>
    <cellStyle name="Процентный 5 3 2" xfId="28401" xr:uid="{00000000-0005-0000-0000-0000F06E0000}"/>
    <cellStyle name="Процентный 5 3 3" xfId="28402" xr:uid="{00000000-0005-0000-0000-0000F16E0000}"/>
    <cellStyle name="Процентный 5 3 4" xfId="28403" xr:uid="{00000000-0005-0000-0000-0000F26E0000}"/>
    <cellStyle name="Процентный 5 3_2014БП" xfId="28404" xr:uid="{00000000-0005-0000-0000-0000F36E0000}"/>
    <cellStyle name="Процентный 5 4" xfId="28405" xr:uid="{00000000-0005-0000-0000-0000F46E0000}"/>
    <cellStyle name="Процентный 5 4 2" xfId="28406" xr:uid="{00000000-0005-0000-0000-0000F56E0000}"/>
    <cellStyle name="Процентный 5 5" xfId="28407" xr:uid="{00000000-0005-0000-0000-0000F66E0000}"/>
    <cellStyle name="Процентный 5 5 2" xfId="28408" xr:uid="{00000000-0005-0000-0000-0000F76E0000}"/>
    <cellStyle name="Процентный 5 6" xfId="28409" xr:uid="{00000000-0005-0000-0000-0000F86E0000}"/>
    <cellStyle name="Процентный 5 7" xfId="28410" xr:uid="{00000000-0005-0000-0000-0000F96E0000}"/>
    <cellStyle name="Процентный 5_2014БП" xfId="28411" xr:uid="{00000000-0005-0000-0000-0000FA6E0000}"/>
    <cellStyle name="Процентный 6" xfId="28412" xr:uid="{00000000-0005-0000-0000-0000FB6E0000}"/>
    <cellStyle name="Процентный 6 2" xfId="28413" xr:uid="{00000000-0005-0000-0000-0000FC6E0000}"/>
    <cellStyle name="Процентный 6 2 2" xfId="28414" xr:uid="{00000000-0005-0000-0000-0000FD6E0000}"/>
    <cellStyle name="Процентный 6 2 2 2" xfId="28415" xr:uid="{00000000-0005-0000-0000-0000FE6E0000}"/>
    <cellStyle name="Процентный 6 2 2 3" xfId="28416" xr:uid="{00000000-0005-0000-0000-0000FF6E0000}"/>
    <cellStyle name="Процентный 6 2 2_2014БП" xfId="28417" xr:uid="{00000000-0005-0000-0000-0000006F0000}"/>
    <cellStyle name="Процентный 6 2 3" xfId="28418" xr:uid="{00000000-0005-0000-0000-0000016F0000}"/>
    <cellStyle name="Процентный 6 2 4" xfId="28419" xr:uid="{00000000-0005-0000-0000-0000026F0000}"/>
    <cellStyle name="Процентный 6 2 5" xfId="28420" xr:uid="{00000000-0005-0000-0000-0000036F0000}"/>
    <cellStyle name="Процентный 6 2_2014БП" xfId="28421" xr:uid="{00000000-0005-0000-0000-0000046F0000}"/>
    <cellStyle name="Процентный 6 3" xfId="28422" xr:uid="{00000000-0005-0000-0000-0000056F0000}"/>
    <cellStyle name="Процентный 6 3 2" xfId="28423" xr:uid="{00000000-0005-0000-0000-0000066F0000}"/>
    <cellStyle name="Процентный 6 3 3" xfId="28424" xr:uid="{00000000-0005-0000-0000-0000076F0000}"/>
    <cellStyle name="Процентный 6 3 4" xfId="28425" xr:uid="{00000000-0005-0000-0000-0000086F0000}"/>
    <cellStyle name="Процентный 6 3_2014БП" xfId="28426" xr:uid="{00000000-0005-0000-0000-0000096F0000}"/>
    <cellStyle name="Процентный 6 4" xfId="28427" xr:uid="{00000000-0005-0000-0000-00000A6F0000}"/>
    <cellStyle name="Процентный 6 4 2" xfId="28428" xr:uid="{00000000-0005-0000-0000-00000B6F0000}"/>
    <cellStyle name="Процентный 6 5" xfId="28429" xr:uid="{00000000-0005-0000-0000-00000C6F0000}"/>
    <cellStyle name="Процентный 6 5 2" xfId="28430" xr:uid="{00000000-0005-0000-0000-00000D6F0000}"/>
    <cellStyle name="Процентный 6 6" xfId="28431" xr:uid="{00000000-0005-0000-0000-00000E6F0000}"/>
    <cellStyle name="Процентный 6 7" xfId="28432" xr:uid="{00000000-0005-0000-0000-00000F6F0000}"/>
    <cellStyle name="Процентный 6_2014БП" xfId="28433" xr:uid="{00000000-0005-0000-0000-0000106F0000}"/>
    <cellStyle name="Процентный 7" xfId="28434" xr:uid="{00000000-0005-0000-0000-0000116F0000}"/>
    <cellStyle name="Процентный 7 2" xfId="28435" xr:uid="{00000000-0005-0000-0000-0000126F0000}"/>
    <cellStyle name="Процентный 7 3" xfId="28436" xr:uid="{00000000-0005-0000-0000-0000136F0000}"/>
    <cellStyle name="Процентный 7 4" xfId="28437" xr:uid="{00000000-0005-0000-0000-0000146F0000}"/>
    <cellStyle name="Процентный 7 5" xfId="28438" xr:uid="{00000000-0005-0000-0000-0000156F0000}"/>
    <cellStyle name="Процентный 7 6" xfId="28439" xr:uid="{00000000-0005-0000-0000-0000166F0000}"/>
    <cellStyle name="Процентный 7 7" xfId="28440" xr:uid="{00000000-0005-0000-0000-0000176F0000}"/>
    <cellStyle name="Процентный 8" xfId="28441" xr:uid="{00000000-0005-0000-0000-0000186F0000}"/>
    <cellStyle name="Процентный 8 2" xfId="28442" xr:uid="{00000000-0005-0000-0000-0000196F0000}"/>
    <cellStyle name="Процентный 9" xfId="28443" xr:uid="{00000000-0005-0000-0000-00001A6F0000}"/>
    <cellStyle name="Процентный 9 2" xfId="28444" xr:uid="{00000000-0005-0000-0000-00001B6F0000}"/>
    <cellStyle name="руб" xfId="28445" xr:uid="{00000000-0005-0000-0000-00001C6F0000}"/>
    <cellStyle name="руб 2" xfId="28446" xr:uid="{00000000-0005-0000-0000-00001D6F0000}"/>
    <cellStyle name="руб 2 2" xfId="28447" xr:uid="{00000000-0005-0000-0000-00001E6F0000}"/>
    <cellStyle name="руб 2 2 2" xfId="28448" xr:uid="{00000000-0005-0000-0000-00001F6F0000}"/>
    <cellStyle name="руб 2 2 3" xfId="28449" xr:uid="{00000000-0005-0000-0000-0000206F0000}"/>
    <cellStyle name="руб 2 2 4" xfId="28450" xr:uid="{00000000-0005-0000-0000-0000216F0000}"/>
    <cellStyle name="руб 2 2 5" xfId="28451" xr:uid="{00000000-0005-0000-0000-0000226F0000}"/>
    <cellStyle name="руб 2 2_2014БП" xfId="28452" xr:uid="{00000000-0005-0000-0000-0000236F0000}"/>
    <cellStyle name="руб 2 3" xfId="28453" xr:uid="{00000000-0005-0000-0000-0000246F0000}"/>
    <cellStyle name="руб 2 3 2" xfId="28454" xr:uid="{00000000-0005-0000-0000-0000256F0000}"/>
    <cellStyle name="руб 2 4" xfId="28455" xr:uid="{00000000-0005-0000-0000-0000266F0000}"/>
    <cellStyle name="руб 2 4 2" xfId="28456" xr:uid="{00000000-0005-0000-0000-0000276F0000}"/>
    <cellStyle name="руб 2 5" xfId="28457" xr:uid="{00000000-0005-0000-0000-0000286F0000}"/>
    <cellStyle name="руб 2 5 2" xfId="28458" xr:uid="{00000000-0005-0000-0000-0000296F0000}"/>
    <cellStyle name="руб 2 6" xfId="28459" xr:uid="{00000000-0005-0000-0000-00002A6F0000}"/>
    <cellStyle name="руб 2 6 2" xfId="28460" xr:uid="{00000000-0005-0000-0000-00002B6F0000}"/>
    <cellStyle name="руб 2 7" xfId="28461" xr:uid="{00000000-0005-0000-0000-00002C6F0000}"/>
    <cellStyle name="руб 2 8" xfId="28462" xr:uid="{00000000-0005-0000-0000-00002D6F0000}"/>
    <cellStyle name="руб 2 9" xfId="28463" xr:uid="{00000000-0005-0000-0000-00002E6F0000}"/>
    <cellStyle name="руб 2_2013Прогноз" xfId="28464" xr:uid="{00000000-0005-0000-0000-00002F6F0000}"/>
    <cellStyle name="руб 3" xfId="28465" xr:uid="{00000000-0005-0000-0000-0000306F0000}"/>
    <cellStyle name="руб 3 2" xfId="28466" xr:uid="{00000000-0005-0000-0000-0000316F0000}"/>
    <cellStyle name="руб 3 3" xfId="28467" xr:uid="{00000000-0005-0000-0000-0000326F0000}"/>
    <cellStyle name="руб 3 4" xfId="28468" xr:uid="{00000000-0005-0000-0000-0000336F0000}"/>
    <cellStyle name="руб 3 5" xfId="28469" xr:uid="{00000000-0005-0000-0000-0000346F0000}"/>
    <cellStyle name="руб 3_2014БП" xfId="28470" xr:uid="{00000000-0005-0000-0000-0000356F0000}"/>
    <cellStyle name="руб_2013Прогноз" xfId="28471" xr:uid="{00000000-0005-0000-0000-0000366F0000}"/>
    <cellStyle name="Связанная ячейка 2" xfId="28472" xr:uid="{00000000-0005-0000-0000-0000376F0000}"/>
    <cellStyle name="Связанная ячейка 2 2" xfId="28473" xr:uid="{00000000-0005-0000-0000-0000386F0000}"/>
    <cellStyle name="Связанная ячейка 2 3" xfId="28474" xr:uid="{00000000-0005-0000-0000-0000396F0000}"/>
    <cellStyle name="Связанная ячейка 2_2014БП" xfId="28475" xr:uid="{00000000-0005-0000-0000-00003A6F0000}"/>
    <cellStyle name="Связанная ячейка 3" xfId="28476" xr:uid="{00000000-0005-0000-0000-00003B6F0000}"/>
    <cellStyle name="Связанная ячейка 4" xfId="28477" xr:uid="{00000000-0005-0000-0000-00003C6F0000}"/>
    <cellStyle name="Стиль 1" xfId="28478" xr:uid="{00000000-0005-0000-0000-00003D6F0000}"/>
    <cellStyle name="Стиль 1 2" xfId="28479" xr:uid="{00000000-0005-0000-0000-00003E6F0000}"/>
    <cellStyle name="Стиль 1 2 2" xfId="28480" xr:uid="{00000000-0005-0000-0000-00003F6F0000}"/>
    <cellStyle name="Стиль 1 2 3" xfId="28481" xr:uid="{00000000-0005-0000-0000-0000406F0000}"/>
    <cellStyle name="Стиль 1 2 4" xfId="28482" xr:uid="{00000000-0005-0000-0000-0000416F0000}"/>
    <cellStyle name="Стиль 1 2 5" xfId="28483" xr:uid="{00000000-0005-0000-0000-0000426F0000}"/>
    <cellStyle name="Стиль 1 2_2014БП" xfId="28484" xr:uid="{00000000-0005-0000-0000-0000436F0000}"/>
    <cellStyle name="Стиль 1 3" xfId="28485" xr:uid="{00000000-0005-0000-0000-0000446F0000}"/>
    <cellStyle name="Стиль 1 4" xfId="28486" xr:uid="{00000000-0005-0000-0000-0000456F0000}"/>
    <cellStyle name="Стиль 1 5" xfId="28487" xr:uid="{00000000-0005-0000-0000-0000466F0000}"/>
    <cellStyle name="Стиль 1 6" xfId="28488" xr:uid="{00000000-0005-0000-0000-0000476F0000}"/>
    <cellStyle name="Стиль 1 7" xfId="28489" xr:uid="{00000000-0005-0000-0000-0000486F0000}"/>
    <cellStyle name="Стиль 1 8" xfId="28490" xr:uid="{00000000-0005-0000-0000-0000496F0000}"/>
    <cellStyle name="Стиль 1 9" xfId="28491" xr:uid="{00000000-0005-0000-0000-00004A6F0000}"/>
    <cellStyle name="Стиль 1_2014БП" xfId="28492" xr:uid="{00000000-0005-0000-0000-00004B6F0000}"/>
    <cellStyle name="Стиль_названий" xfId="28493" xr:uid="{00000000-0005-0000-0000-00004C6F0000}"/>
    <cellStyle name="табл.заголовок" xfId="28494" xr:uid="{00000000-0005-0000-0000-00004D6F0000}"/>
    <cellStyle name="табл.заголовок 2" xfId="28495" xr:uid="{00000000-0005-0000-0000-00004E6F0000}"/>
    <cellStyle name="табл.номер столбца" xfId="28496" xr:uid="{00000000-0005-0000-0000-00004F6F0000}"/>
    <cellStyle name="табл.номер столбца 2" xfId="28497" xr:uid="{00000000-0005-0000-0000-0000506F0000}"/>
    <cellStyle name="табл.ячейуа" xfId="28498" xr:uid="{00000000-0005-0000-0000-0000516F0000}"/>
    <cellStyle name="табл.ячейуа 2" xfId="28499" xr:uid="{00000000-0005-0000-0000-0000526F0000}"/>
    <cellStyle name="ТАБЛИЦА СЕРАЯ заголовок" xfId="28500" xr:uid="{00000000-0005-0000-0000-0000536F0000}"/>
    <cellStyle name="ТАБЛИЦА СЕРАЯ заголовок 2" xfId="28501" xr:uid="{00000000-0005-0000-0000-0000546F0000}"/>
    <cellStyle name="ТАБЛИЦА СЕРАЯ номер столбца" xfId="28502" xr:uid="{00000000-0005-0000-0000-0000556F0000}"/>
    <cellStyle name="ТАБЛИЦА СЕРАЯ номер столбца 2" xfId="28503" xr:uid="{00000000-0005-0000-0000-0000566F0000}"/>
    <cellStyle name="ТАБЛИЦА СЕРАЯ ячейка" xfId="28504" xr:uid="{00000000-0005-0000-0000-0000576F0000}"/>
    <cellStyle name="ТАБЛИЦА СЕРАЯ ячейка 2" xfId="28505" xr:uid="{00000000-0005-0000-0000-0000586F0000}"/>
    <cellStyle name="Текст" xfId="28506" xr:uid="{00000000-0005-0000-0000-0000596F0000}"/>
    <cellStyle name="Текст предупреждения 2" xfId="28507" xr:uid="{00000000-0005-0000-0000-00005A6F0000}"/>
    <cellStyle name="Текст предупреждения 2 2" xfId="28508" xr:uid="{00000000-0005-0000-0000-00005B6F0000}"/>
    <cellStyle name="Текст предупреждения 2 3" xfId="28509" xr:uid="{00000000-0005-0000-0000-00005C6F0000}"/>
    <cellStyle name="Текст предупреждения 2_2014БП" xfId="28510" xr:uid="{00000000-0005-0000-0000-00005D6F0000}"/>
    <cellStyle name="Текст предупреждения 3" xfId="28511" xr:uid="{00000000-0005-0000-0000-00005E6F0000}"/>
    <cellStyle name="Текст предупреждения 4" xfId="28512" xr:uid="{00000000-0005-0000-0000-00005F6F0000}"/>
    <cellStyle name="тонны" xfId="28513" xr:uid="{00000000-0005-0000-0000-0000606F0000}"/>
    <cellStyle name="Тысячи [0]__PC" xfId="28514" xr:uid="{00000000-0005-0000-0000-0000616F0000}"/>
    <cellStyle name="Тысячи [а]" xfId="28515" xr:uid="{00000000-0005-0000-0000-0000626F0000}"/>
    <cellStyle name="Тысячи__PC" xfId="28516" xr:uid="{00000000-0005-0000-0000-0000636F0000}"/>
    <cellStyle name="Финансовый [0] 2" xfId="28517" xr:uid="{00000000-0005-0000-0000-0000646F0000}"/>
    <cellStyle name="Финансовый [0] 2 2" xfId="28518" xr:uid="{00000000-0005-0000-0000-0000656F0000}"/>
    <cellStyle name="Финансовый [0] 2 2 2" xfId="28519" xr:uid="{00000000-0005-0000-0000-0000666F0000}"/>
    <cellStyle name="Финансовый [0] 2 2 3" xfId="28520" xr:uid="{00000000-0005-0000-0000-0000676F0000}"/>
    <cellStyle name="Финансовый [0] 2 2_2014БП" xfId="28521" xr:uid="{00000000-0005-0000-0000-0000686F0000}"/>
    <cellStyle name="Финансовый [0] 2 3" xfId="28522" xr:uid="{00000000-0005-0000-0000-0000696F0000}"/>
    <cellStyle name="Финансовый [0] 2 4" xfId="28523" xr:uid="{00000000-0005-0000-0000-00006A6F0000}"/>
    <cellStyle name="Финансовый [0] 2_2014БП" xfId="28524" xr:uid="{00000000-0005-0000-0000-00006B6F0000}"/>
    <cellStyle name="Финансовый 10" xfId="28525" xr:uid="{00000000-0005-0000-0000-00006C6F0000}"/>
    <cellStyle name="Финансовый 11" xfId="28526" xr:uid="{00000000-0005-0000-0000-00006D6F0000}"/>
    <cellStyle name="Финансовый 12" xfId="28527" xr:uid="{00000000-0005-0000-0000-00006E6F0000}"/>
    <cellStyle name="Финансовый 13" xfId="28528" xr:uid="{00000000-0005-0000-0000-00006F6F0000}"/>
    <cellStyle name="Финансовый 13 2" xfId="28529" xr:uid="{00000000-0005-0000-0000-0000706F0000}"/>
    <cellStyle name="Финансовый 14" xfId="28530" xr:uid="{00000000-0005-0000-0000-0000716F0000}"/>
    <cellStyle name="Финансовый 15" xfId="28531" xr:uid="{00000000-0005-0000-0000-0000726F0000}"/>
    <cellStyle name="Финансовый 16" xfId="28532" xr:uid="{00000000-0005-0000-0000-0000736F0000}"/>
    <cellStyle name="Финансовый 17" xfId="28533" xr:uid="{00000000-0005-0000-0000-0000746F0000}"/>
    <cellStyle name="Финансовый 18" xfId="28534" xr:uid="{00000000-0005-0000-0000-0000756F0000}"/>
    <cellStyle name="Финансовый 19" xfId="28535" xr:uid="{00000000-0005-0000-0000-0000766F0000}"/>
    <cellStyle name="Финансовый 2" xfId="28536" xr:uid="{00000000-0005-0000-0000-0000776F0000}"/>
    <cellStyle name="Финансовый 2 2" xfId="2" xr:uid="{00000000-0005-0000-0000-0000786F0000}"/>
    <cellStyle name="Финансовый 2 2 2" xfId="28537" xr:uid="{00000000-0005-0000-0000-0000796F0000}"/>
    <cellStyle name="Финансовый 2 2 3" xfId="28538" xr:uid="{00000000-0005-0000-0000-00007A6F0000}"/>
    <cellStyle name="Финансовый 2 3" xfId="28539" xr:uid="{00000000-0005-0000-0000-00007B6F0000}"/>
    <cellStyle name="Финансовый 2 4" xfId="28540" xr:uid="{00000000-0005-0000-0000-00007C6F0000}"/>
    <cellStyle name="Финансовый 2 5" xfId="28789" xr:uid="{7AD4A46A-07DB-4B54-94B7-F5982258EA1F}"/>
    <cellStyle name="Финансовый 2_2014БП" xfId="28541" xr:uid="{00000000-0005-0000-0000-00007D6F0000}"/>
    <cellStyle name="Финансовый 3" xfId="28542" xr:uid="{00000000-0005-0000-0000-00007E6F0000}"/>
    <cellStyle name="Финансовый 3 2" xfId="28543" xr:uid="{00000000-0005-0000-0000-00007F6F0000}"/>
    <cellStyle name="Финансовый 3 2 2" xfId="28544" xr:uid="{00000000-0005-0000-0000-0000806F0000}"/>
    <cellStyle name="Финансовый 3 3" xfId="28545" xr:uid="{00000000-0005-0000-0000-0000816F0000}"/>
    <cellStyle name="Финансовый 3 4" xfId="28546" xr:uid="{00000000-0005-0000-0000-0000826F0000}"/>
    <cellStyle name="Финансовый 3_2014БП" xfId="28547" xr:uid="{00000000-0005-0000-0000-0000836F0000}"/>
    <cellStyle name="Финансовый 4" xfId="28548" xr:uid="{00000000-0005-0000-0000-0000846F0000}"/>
    <cellStyle name="Финансовый 4 2" xfId="28549" xr:uid="{00000000-0005-0000-0000-0000856F0000}"/>
    <cellStyle name="Финансовый 5" xfId="28550" xr:uid="{00000000-0005-0000-0000-0000866F0000}"/>
    <cellStyle name="Финансовый 5 2" xfId="28551" xr:uid="{00000000-0005-0000-0000-0000876F0000}"/>
    <cellStyle name="Финансовый 5 3" xfId="28552" xr:uid="{00000000-0005-0000-0000-0000886F0000}"/>
    <cellStyle name="Финансовый 5_2014БП" xfId="28553" xr:uid="{00000000-0005-0000-0000-0000896F0000}"/>
    <cellStyle name="Финансовый 6" xfId="28554" xr:uid="{00000000-0005-0000-0000-00008A6F0000}"/>
    <cellStyle name="Финансовый 6 2" xfId="28555" xr:uid="{00000000-0005-0000-0000-00008B6F0000}"/>
    <cellStyle name="Финансовый 7" xfId="28556" xr:uid="{00000000-0005-0000-0000-00008C6F0000}"/>
    <cellStyle name="Финансовый 7 2" xfId="28557" xr:uid="{00000000-0005-0000-0000-00008D6F0000}"/>
    <cellStyle name="Финансовый 8" xfId="28558" xr:uid="{00000000-0005-0000-0000-00008E6F0000}"/>
    <cellStyle name="Финансовый 9" xfId="28559" xr:uid="{00000000-0005-0000-0000-00008F6F0000}"/>
    <cellStyle name="Хороший 2" xfId="28560" xr:uid="{00000000-0005-0000-0000-0000906F0000}"/>
    <cellStyle name="Хороший 2 2" xfId="28561" xr:uid="{00000000-0005-0000-0000-0000916F0000}"/>
    <cellStyle name="Хороший 2 3" xfId="28562" xr:uid="{00000000-0005-0000-0000-0000926F0000}"/>
    <cellStyle name="Хороший 2_2014БП" xfId="28563" xr:uid="{00000000-0005-0000-0000-0000936F0000}"/>
    <cellStyle name="Хороший 3" xfId="28564" xr:uid="{00000000-0005-0000-0000-0000946F0000}"/>
    <cellStyle name="Хороший 4" xfId="28565" xr:uid="{00000000-0005-0000-0000-0000956F0000}"/>
    <cellStyle name="Цена" xfId="28566" xr:uid="{00000000-0005-0000-0000-0000966F0000}"/>
    <cellStyle name="Цена 10" xfId="28567" xr:uid="{00000000-0005-0000-0000-0000976F0000}"/>
    <cellStyle name="Цена 11" xfId="28568" xr:uid="{00000000-0005-0000-0000-0000986F0000}"/>
    <cellStyle name="Цена 12" xfId="28569" xr:uid="{00000000-0005-0000-0000-0000996F0000}"/>
    <cellStyle name="Цена 2" xfId="28570" xr:uid="{00000000-0005-0000-0000-00009A6F0000}"/>
    <cellStyle name="Цена 2 2" xfId="28571" xr:uid="{00000000-0005-0000-0000-00009B6F0000}"/>
    <cellStyle name="Цена 2 2 2" xfId="28572" xr:uid="{00000000-0005-0000-0000-00009C6F0000}"/>
    <cellStyle name="Цена 2 2 3" xfId="28573" xr:uid="{00000000-0005-0000-0000-00009D6F0000}"/>
    <cellStyle name="Цена 2 2 4" xfId="28574" xr:uid="{00000000-0005-0000-0000-00009E6F0000}"/>
    <cellStyle name="Цена 2 2 5" xfId="28575" xr:uid="{00000000-0005-0000-0000-00009F6F0000}"/>
    <cellStyle name="Цена 2 2 6" xfId="28576" xr:uid="{00000000-0005-0000-0000-0000A06F0000}"/>
    <cellStyle name="Цена 2 2_2014БП" xfId="28577" xr:uid="{00000000-0005-0000-0000-0000A16F0000}"/>
    <cellStyle name="Цена 2 3" xfId="28578" xr:uid="{00000000-0005-0000-0000-0000A26F0000}"/>
    <cellStyle name="Цена 2 3 2" xfId="28579" xr:uid="{00000000-0005-0000-0000-0000A36F0000}"/>
    <cellStyle name="Цена 2 4" xfId="28580" xr:uid="{00000000-0005-0000-0000-0000A46F0000}"/>
    <cellStyle name="Цена 2 4 2" xfId="28581" xr:uid="{00000000-0005-0000-0000-0000A56F0000}"/>
    <cellStyle name="Цена 2 5" xfId="28582" xr:uid="{00000000-0005-0000-0000-0000A66F0000}"/>
    <cellStyle name="Цена 2 5 2" xfId="28583" xr:uid="{00000000-0005-0000-0000-0000A76F0000}"/>
    <cellStyle name="Цена 2 6" xfId="28584" xr:uid="{00000000-0005-0000-0000-0000A86F0000}"/>
    <cellStyle name="Цена 2 6 2" xfId="28585" xr:uid="{00000000-0005-0000-0000-0000A96F0000}"/>
    <cellStyle name="Цена 2 7" xfId="28586" xr:uid="{00000000-0005-0000-0000-0000AA6F0000}"/>
    <cellStyle name="Цена 2 8" xfId="28587" xr:uid="{00000000-0005-0000-0000-0000AB6F0000}"/>
    <cellStyle name="Цена 2 9" xfId="28588" xr:uid="{00000000-0005-0000-0000-0000AC6F0000}"/>
    <cellStyle name="Цена 2_2013Прогноз" xfId="28589" xr:uid="{00000000-0005-0000-0000-0000AD6F0000}"/>
    <cellStyle name="Цена 3" xfId="28590" xr:uid="{00000000-0005-0000-0000-0000AE6F0000}"/>
    <cellStyle name="Цена 3 2" xfId="28591" xr:uid="{00000000-0005-0000-0000-0000AF6F0000}"/>
    <cellStyle name="Цена 3 3" xfId="28592" xr:uid="{00000000-0005-0000-0000-0000B06F0000}"/>
    <cellStyle name="Цена 3 4" xfId="28593" xr:uid="{00000000-0005-0000-0000-0000B16F0000}"/>
    <cellStyle name="Цена 3 5" xfId="28594" xr:uid="{00000000-0005-0000-0000-0000B26F0000}"/>
    <cellStyle name="Цена 3 6" xfId="28595" xr:uid="{00000000-0005-0000-0000-0000B36F0000}"/>
    <cellStyle name="Цена 3_2014БП" xfId="28596" xr:uid="{00000000-0005-0000-0000-0000B46F0000}"/>
    <cellStyle name="Цена 4" xfId="28597" xr:uid="{00000000-0005-0000-0000-0000B56F0000}"/>
    <cellStyle name="Цена 5" xfId="28598" xr:uid="{00000000-0005-0000-0000-0000B66F0000}"/>
    <cellStyle name="Цена 6" xfId="28599" xr:uid="{00000000-0005-0000-0000-0000B76F0000}"/>
    <cellStyle name="Цена 7" xfId="28600" xr:uid="{00000000-0005-0000-0000-0000B86F0000}"/>
    <cellStyle name="Цена 8" xfId="28601" xr:uid="{00000000-0005-0000-0000-0000B96F0000}"/>
    <cellStyle name="Цена 9" xfId="28602" xr:uid="{00000000-0005-0000-0000-0000BA6F0000}"/>
    <cellStyle name="Цена_2013Прогноз" xfId="28603" xr:uid="{00000000-0005-0000-0000-0000BB6F0000}"/>
    <cellStyle name="Џђћ–…ќ’ќ›‰" xfId="28604" xr:uid="{00000000-0005-0000-0000-0000BC6F0000}"/>
    <cellStyle name="Џђћ–…ќ’ќ›‰ 2" xfId="28605" xr:uid="{00000000-0005-0000-0000-0000BD6F0000}"/>
    <cellStyle name="Џђћ–…ќ’ќ›‰ 2 2" xfId="28606" xr:uid="{00000000-0005-0000-0000-0000BE6F0000}"/>
    <cellStyle name="Џђћ–…ќ’ќ›‰ 3" xfId="28607" xr:uid="{00000000-0005-0000-0000-0000BF6F0000}"/>
    <cellStyle name="Џђћ–…ќ’ќ›‰ 4" xfId="28608" xr:uid="{00000000-0005-0000-0000-0000C06F0000}"/>
    <cellStyle name="Џђћ–…ќ’ќ›‰ 5" xfId="28609" xr:uid="{00000000-0005-0000-0000-0000C16F0000}"/>
    <cellStyle name="Џђћ–…ќ’ќ›‰ 6" xfId="28610" xr:uid="{00000000-0005-0000-0000-0000C26F0000}"/>
    <cellStyle name="Џђћ–…ќ’ќ›‰ 7" xfId="28611" xr:uid="{00000000-0005-0000-0000-0000C36F0000}"/>
    <cellStyle name="Џђћ–…ќ’ќ›‰ 8" xfId="28612" xr:uid="{00000000-0005-0000-0000-0000C46F0000}"/>
    <cellStyle name="Џђћ–…ќ’ќ›‰_2014БП" xfId="28613" xr:uid="{00000000-0005-0000-0000-0000C56F0000}"/>
    <cellStyle name="Шапка" xfId="28614" xr:uid="{00000000-0005-0000-0000-0000C66F0000}"/>
    <cellStyle name="Шапка 10" xfId="28615" xr:uid="{00000000-0005-0000-0000-0000C76F0000}"/>
    <cellStyle name="Шапка 10 10" xfId="28616" xr:uid="{00000000-0005-0000-0000-0000C86F0000}"/>
    <cellStyle name="Шапка 10 11" xfId="28617" xr:uid="{00000000-0005-0000-0000-0000C96F0000}"/>
    <cellStyle name="Шапка 10 2" xfId="28618" xr:uid="{00000000-0005-0000-0000-0000CA6F0000}"/>
    <cellStyle name="Шапка 10 3" xfId="28619" xr:uid="{00000000-0005-0000-0000-0000CB6F0000}"/>
    <cellStyle name="Шапка 10 4" xfId="28620" xr:uid="{00000000-0005-0000-0000-0000CC6F0000}"/>
    <cellStyle name="Шапка 10 5" xfId="28621" xr:uid="{00000000-0005-0000-0000-0000CD6F0000}"/>
    <cellStyle name="Шапка 10 6" xfId="28622" xr:uid="{00000000-0005-0000-0000-0000CE6F0000}"/>
    <cellStyle name="Шапка 10 7" xfId="28623" xr:uid="{00000000-0005-0000-0000-0000CF6F0000}"/>
    <cellStyle name="Шапка 10 8" xfId="28624" xr:uid="{00000000-0005-0000-0000-0000D06F0000}"/>
    <cellStyle name="Шапка 10 9" xfId="28625" xr:uid="{00000000-0005-0000-0000-0000D16F0000}"/>
    <cellStyle name="Шапка 11" xfId="28626" xr:uid="{00000000-0005-0000-0000-0000D26F0000}"/>
    <cellStyle name="Шапка 11 10" xfId="28627" xr:uid="{00000000-0005-0000-0000-0000D36F0000}"/>
    <cellStyle name="Шапка 11 11" xfId="28628" xr:uid="{00000000-0005-0000-0000-0000D46F0000}"/>
    <cellStyle name="Шапка 11 2" xfId="28629" xr:uid="{00000000-0005-0000-0000-0000D56F0000}"/>
    <cellStyle name="Шапка 11 3" xfId="28630" xr:uid="{00000000-0005-0000-0000-0000D66F0000}"/>
    <cellStyle name="Шапка 11 4" xfId="28631" xr:uid="{00000000-0005-0000-0000-0000D76F0000}"/>
    <cellStyle name="Шапка 11 5" xfId="28632" xr:uid="{00000000-0005-0000-0000-0000D86F0000}"/>
    <cellStyle name="Шапка 11 6" xfId="28633" xr:uid="{00000000-0005-0000-0000-0000D96F0000}"/>
    <cellStyle name="Шапка 11 7" xfId="28634" xr:uid="{00000000-0005-0000-0000-0000DA6F0000}"/>
    <cellStyle name="Шапка 11 8" xfId="28635" xr:uid="{00000000-0005-0000-0000-0000DB6F0000}"/>
    <cellStyle name="Шапка 11 9" xfId="28636" xr:uid="{00000000-0005-0000-0000-0000DC6F0000}"/>
    <cellStyle name="Шапка 12" xfId="28637" xr:uid="{00000000-0005-0000-0000-0000DD6F0000}"/>
    <cellStyle name="Шапка 12 10" xfId="28638" xr:uid="{00000000-0005-0000-0000-0000DE6F0000}"/>
    <cellStyle name="Шапка 12 11" xfId="28639" xr:uid="{00000000-0005-0000-0000-0000DF6F0000}"/>
    <cellStyle name="Шапка 12 2" xfId="28640" xr:uid="{00000000-0005-0000-0000-0000E06F0000}"/>
    <cellStyle name="Шапка 12 3" xfId="28641" xr:uid="{00000000-0005-0000-0000-0000E16F0000}"/>
    <cellStyle name="Шапка 12 4" xfId="28642" xr:uid="{00000000-0005-0000-0000-0000E26F0000}"/>
    <cellStyle name="Шапка 12 5" xfId="28643" xr:uid="{00000000-0005-0000-0000-0000E36F0000}"/>
    <cellStyle name="Шапка 12 6" xfId="28644" xr:uid="{00000000-0005-0000-0000-0000E46F0000}"/>
    <cellStyle name="Шапка 12 7" xfId="28645" xr:uid="{00000000-0005-0000-0000-0000E56F0000}"/>
    <cellStyle name="Шапка 12 8" xfId="28646" xr:uid="{00000000-0005-0000-0000-0000E66F0000}"/>
    <cellStyle name="Шапка 12 9" xfId="28647" xr:uid="{00000000-0005-0000-0000-0000E76F0000}"/>
    <cellStyle name="Шапка 13" xfId="28648" xr:uid="{00000000-0005-0000-0000-0000E86F0000}"/>
    <cellStyle name="Шапка 13 10" xfId="28649" xr:uid="{00000000-0005-0000-0000-0000E96F0000}"/>
    <cellStyle name="Шапка 13 11" xfId="28650" xr:uid="{00000000-0005-0000-0000-0000EA6F0000}"/>
    <cellStyle name="Шапка 13 2" xfId="28651" xr:uid="{00000000-0005-0000-0000-0000EB6F0000}"/>
    <cellStyle name="Шапка 13 3" xfId="28652" xr:uid="{00000000-0005-0000-0000-0000EC6F0000}"/>
    <cellStyle name="Шапка 13 4" xfId="28653" xr:uid="{00000000-0005-0000-0000-0000ED6F0000}"/>
    <cellStyle name="Шапка 13 5" xfId="28654" xr:uid="{00000000-0005-0000-0000-0000EE6F0000}"/>
    <cellStyle name="Шапка 13 6" xfId="28655" xr:uid="{00000000-0005-0000-0000-0000EF6F0000}"/>
    <cellStyle name="Шапка 13 7" xfId="28656" xr:uid="{00000000-0005-0000-0000-0000F06F0000}"/>
    <cellStyle name="Шапка 13 8" xfId="28657" xr:uid="{00000000-0005-0000-0000-0000F16F0000}"/>
    <cellStyle name="Шапка 13 9" xfId="28658" xr:uid="{00000000-0005-0000-0000-0000F26F0000}"/>
    <cellStyle name="Шапка 14" xfId="28659" xr:uid="{00000000-0005-0000-0000-0000F36F0000}"/>
    <cellStyle name="Шапка 14 10" xfId="28660" xr:uid="{00000000-0005-0000-0000-0000F46F0000}"/>
    <cellStyle name="Шапка 14 11" xfId="28661" xr:uid="{00000000-0005-0000-0000-0000F56F0000}"/>
    <cellStyle name="Шапка 14 2" xfId="28662" xr:uid="{00000000-0005-0000-0000-0000F66F0000}"/>
    <cellStyle name="Шапка 14 3" xfId="28663" xr:uid="{00000000-0005-0000-0000-0000F76F0000}"/>
    <cellStyle name="Шапка 14 4" xfId="28664" xr:uid="{00000000-0005-0000-0000-0000F86F0000}"/>
    <cellStyle name="Шапка 14 5" xfId="28665" xr:uid="{00000000-0005-0000-0000-0000F96F0000}"/>
    <cellStyle name="Шапка 14 6" xfId="28666" xr:uid="{00000000-0005-0000-0000-0000FA6F0000}"/>
    <cellStyle name="Шапка 14 7" xfId="28667" xr:uid="{00000000-0005-0000-0000-0000FB6F0000}"/>
    <cellStyle name="Шапка 14 8" xfId="28668" xr:uid="{00000000-0005-0000-0000-0000FC6F0000}"/>
    <cellStyle name="Шапка 14 9" xfId="28669" xr:uid="{00000000-0005-0000-0000-0000FD6F0000}"/>
    <cellStyle name="Шапка 15" xfId="28670" xr:uid="{00000000-0005-0000-0000-0000FE6F0000}"/>
    <cellStyle name="Шапка 15 10" xfId="28671" xr:uid="{00000000-0005-0000-0000-0000FF6F0000}"/>
    <cellStyle name="Шапка 15 11" xfId="28672" xr:uid="{00000000-0005-0000-0000-000000700000}"/>
    <cellStyle name="Шапка 15 2" xfId="28673" xr:uid="{00000000-0005-0000-0000-000001700000}"/>
    <cellStyle name="Шапка 15 3" xfId="28674" xr:uid="{00000000-0005-0000-0000-000002700000}"/>
    <cellStyle name="Шапка 15 4" xfId="28675" xr:uid="{00000000-0005-0000-0000-000003700000}"/>
    <cellStyle name="Шапка 15 5" xfId="28676" xr:uid="{00000000-0005-0000-0000-000004700000}"/>
    <cellStyle name="Шапка 15 6" xfId="28677" xr:uid="{00000000-0005-0000-0000-000005700000}"/>
    <cellStyle name="Шапка 15 7" xfId="28678" xr:uid="{00000000-0005-0000-0000-000006700000}"/>
    <cellStyle name="Шапка 15 8" xfId="28679" xr:uid="{00000000-0005-0000-0000-000007700000}"/>
    <cellStyle name="Шапка 15 9" xfId="28680" xr:uid="{00000000-0005-0000-0000-000008700000}"/>
    <cellStyle name="Шапка 16" xfId="28681" xr:uid="{00000000-0005-0000-0000-000009700000}"/>
    <cellStyle name="Шапка 16 2" xfId="28682" xr:uid="{00000000-0005-0000-0000-00000A700000}"/>
    <cellStyle name="Шапка 17" xfId="28683" xr:uid="{00000000-0005-0000-0000-00000B700000}"/>
    <cellStyle name="Шапка 17 2" xfId="28684" xr:uid="{00000000-0005-0000-0000-00000C700000}"/>
    <cellStyle name="Шапка 18" xfId="28685" xr:uid="{00000000-0005-0000-0000-00000D700000}"/>
    <cellStyle name="Шапка 18 2" xfId="28686" xr:uid="{00000000-0005-0000-0000-00000E700000}"/>
    <cellStyle name="Шапка 19" xfId="28687" xr:uid="{00000000-0005-0000-0000-00000F700000}"/>
    <cellStyle name="Шапка 19 2" xfId="28688" xr:uid="{00000000-0005-0000-0000-000010700000}"/>
    <cellStyle name="Шапка 2" xfId="28689" xr:uid="{00000000-0005-0000-0000-000011700000}"/>
    <cellStyle name="Шапка 2 10" xfId="28690" xr:uid="{00000000-0005-0000-0000-000012700000}"/>
    <cellStyle name="Шапка 2 11" xfId="28691" xr:uid="{00000000-0005-0000-0000-000013700000}"/>
    <cellStyle name="Шапка 2 2" xfId="28692" xr:uid="{00000000-0005-0000-0000-000014700000}"/>
    <cellStyle name="Шапка 2 3" xfId="28693" xr:uid="{00000000-0005-0000-0000-000015700000}"/>
    <cellStyle name="Шапка 2 4" xfId="28694" xr:uid="{00000000-0005-0000-0000-000016700000}"/>
    <cellStyle name="Шапка 2 5" xfId="28695" xr:uid="{00000000-0005-0000-0000-000017700000}"/>
    <cellStyle name="Шапка 2 6" xfId="28696" xr:uid="{00000000-0005-0000-0000-000018700000}"/>
    <cellStyle name="Шапка 2 7" xfId="28697" xr:uid="{00000000-0005-0000-0000-000019700000}"/>
    <cellStyle name="Шапка 2 8" xfId="28698" xr:uid="{00000000-0005-0000-0000-00001A700000}"/>
    <cellStyle name="Шапка 2 9" xfId="28699" xr:uid="{00000000-0005-0000-0000-00001B700000}"/>
    <cellStyle name="Шапка 20" xfId="28700" xr:uid="{00000000-0005-0000-0000-00001C700000}"/>
    <cellStyle name="Шапка 20 2" xfId="28701" xr:uid="{00000000-0005-0000-0000-00001D700000}"/>
    <cellStyle name="Шапка 21" xfId="28702" xr:uid="{00000000-0005-0000-0000-00001E700000}"/>
    <cellStyle name="Шапка 21 2" xfId="28703" xr:uid="{00000000-0005-0000-0000-00001F700000}"/>
    <cellStyle name="Шапка 22" xfId="28704" xr:uid="{00000000-0005-0000-0000-000020700000}"/>
    <cellStyle name="Шапка 22 2" xfId="28705" xr:uid="{00000000-0005-0000-0000-000021700000}"/>
    <cellStyle name="Шапка 23" xfId="28706" xr:uid="{00000000-0005-0000-0000-000022700000}"/>
    <cellStyle name="Шапка 24" xfId="28707" xr:uid="{00000000-0005-0000-0000-000023700000}"/>
    <cellStyle name="Шапка 25" xfId="28708" xr:uid="{00000000-0005-0000-0000-000024700000}"/>
    <cellStyle name="Шапка 3" xfId="28709" xr:uid="{00000000-0005-0000-0000-000025700000}"/>
    <cellStyle name="Шапка 3 10" xfId="28710" xr:uid="{00000000-0005-0000-0000-000026700000}"/>
    <cellStyle name="Шапка 3 11" xfId="28711" xr:uid="{00000000-0005-0000-0000-000027700000}"/>
    <cellStyle name="Шапка 3 2" xfId="28712" xr:uid="{00000000-0005-0000-0000-000028700000}"/>
    <cellStyle name="Шапка 3 3" xfId="28713" xr:uid="{00000000-0005-0000-0000-000029700000}"/>
    <cellStyle name="Шапка 3 4" xfId="28714" xr:uid="{00000000-0005-0000-0000-00002A700000}"/>
    <cellStyle name="Шапка 3 5" xfId="28715" xr:uid="{00000000-0005-0000-0000-00002B700000}"/>
    <cellStyle name="Шапка 3 6" xfId="28716" xr:uid="{00000000-0005-0000-0000-00002C700000}"/>
    <cellStyle name="Шапка 3 7" xfId="28717" xr:uid="{00000000-0005-0000-0000-00002D700000}"/>
    <cellStyle name="Шапка 3 8" xfId="28718" xr:uid="{00000000-0005-0000-0000-00002E700000}"/>
    <cellStyle name="Шапка 3 9" xfId="28719" xr:uid="{00000000-0005-0000-0000-00002F700000}"/>
    <cellStyle name="Шапка 4" xfId="28720" xr:uid="{00000000-0005-0000-0000-000030700000}"/>
    <cellStyle name="Шапка 4 10" xfId="28721" xr:uid="{00000000-0005-0000-0000-000031700000}"/>
    <cellStyle name="Шапка 4 11" xfId="28722" xr:uid="{00000000-0005-0000-0000-000032700000}"/>
    <cellStyle name="Шапка 4 2" xfId="28723" xr:uid="{00000000-0005-0000-0000-000033700000}"/>
    <cellStyle name="Шапка 4 3" xfId="28724" xr:uid="{00000000-0005-0000-0000-000034700000}"/>
    <cellStyle name="Шапка 4 4" xfId="28725" xr:uid="{00000000-0005-0000-0000-000035700000}"/>
    <cellStyle name="Шапка 4 5" xfId="28726" xr:uid="{00000000-0005-0000-0000-000036700000}"/>
    <cellStyle name="Шапка 4 6" xfId="28727" xr:uid="{00000000-0005-0000-0000-000037700000}"/>
    <cellStyle name="Шапка 4 7" xfId="28728" xr:uid="{00000000-0005-0000-0000-000038700000}"/>
    <cellStyle name="Шапка 4 8" xfId="28729" xr:uid="{00000000-0005-0000-0000-000039700000}"/>
    <cellStyle name="Шапка 4 9" xfId="28730" xr:uid="{00000000-0005-0000-0000-00003A700000}"/>
    <cellStyle name="Шапка 5" xfId="28731" xr:uid="{00000000-0005-0000-0000-00003B700000}"/>
    <cellStyle name="Шапка 5 10" xfId="28732" xr:uid="{00000000-0005-0000-0000-00003C700000}"/>
    <cellStyle name="Шапка 5 11" xfId="28733" xr:uid="{00000000-0005-0000-0000-00003D700000}"/>
    <cellStyle name="Шапка 5 2" xfId="28734" xr:uid="{00000000-0005-0000-0000-00003E700000}"/>
    <cellStyle name="Шапка 5 3" xfId="28735" xr:uid="{00000000-0005-0000-0000-00003F700000}"/>
    <cellStyle name="Шапка 5 4" xfId="28736" xr:uid="{00000000-0005-0000-0000-000040700000}"/>
    <cellStyle name="Шапка 5 5" xfId="28737" xr:uid="{00000000-0005-0000-0000-000041700000}"/>
    <cellStyle name="Шапка 5 6" xfId="28738" xr:uid="{00000000-0005-0000-0000-000042700000}"/>
    <cellStyle name="Шапка 5 7" xfId="28739" xr:uid="{00000000-0005-0000-0000-000043700000}"/>
    <cellStyle name="Шапка 5 8" xfId="28740" xr:uid="{00000000-0005-0000-0000-000044700000}"/>
    <cellStyle name="Шапка 5 9" xfId="28741" xr:uid="{00000000-0005-0000-0000-000045700000}"/>
    <cellStyle name="Шапка 6" xfId="28742" xr:uid="{00000000-0005-0000-0000-000046700000}"/>
    <cellStyle name="Шапка 6 10" xfId="28743" xr:uid="{00000000-0005-0000-0000-000047700000}"/>
    <cellStyle name="Шапка 6 11" xfId="28744" xr:uid="{00000000-0005-0000-0000-000048700000}"/>
    <cellStyle name="Шапка 6 2" xfId="28745" xr:uid="{00000000-0005-0000-0000-000049700000}"/>
    <cellStyle name="Шапка 6 3" xfId="28746" xr:uid="{00000000-0005-0000-0000-00004A700000}"/>
    <cellStyle name="Шапка 6 4" xfId="28747" xr:uid="{00000000-0005-0000-0000-00004B700000}"/>
    <cellStyle name="Шапка 6 5" xfId="28748" xr:uid="{00000000-0005-0000-0000-00004C700000}"/>
    <cellStyle name="Шапка 6 6" xfId="28749" xr:uid="{00000000-0005-0000-0000-00004D700000}"/>
    <cellStyle name="Шапка 6 7" xfId="28750" xr:uid="{00000000-0005-0000-0000-00004E700000}"/>
    <cellStyle name="Шапка 6 8" xfId="28751" xr:uid="{00000000-0005-0000-0000-00004F700000}"/>
    <cellStyle name="Шапка 6 9" xfId="28752" xr:uid="{00000000-0005-0000-0000-000050700000}"/>
    <cellStyle name="Шапка 7" xfId="28753" xr:uid="{00000000-0005-0000-0000-000051700000}"/>
    <cellStyle name="Шапка 7 10" xfId="28754" xr:uid="{00000000-0005-0000-0000-000052700000}"/>
    <cellStyle name="Шапка 7 11" xfId="28755" xr:uid="{00000000-0005-0000-0000-000053700000}"/>
    <cellStyle name="Шапка 7 2" xfId="28756" xr:uid="{00000000-0005-0000-0000-000054700000}"/>
    <cellStyle name="Шапка 7 3" xfId="28757" xr:uid="{00000000-0005-0000-0000-000055700000}"/>
    <cellStyle name="Шапка 7 4" xfId="28758" xr:uid="{00000000-0005-0000-0000-000056700000}"/>
    <cellStyle name="Шапка 7 5" xfId="28759" xr:uid="{00000000-0005-0000-0000-000057700000}"/>
    <cellStyle name="Шапка 7 6" xfId="28760" xr:uid="{00000000-0005-0000-0000-000058700000}"/>
    <cellStyle name="Шапка 7 7" xfId="28761" xr:uid="{00000000-0005-0000-0000-000059700000}"/>
    <cellStyle name="Шапка 7 8" xfId="28762" xr:uid="{00000000-0005-0000-0000-00005A700000}"/>
    <cellStyle name="Шапка 7 9" xfId="28763" xr:uid="{00000000-0005-0000-0000-00005B700000}"/>
    <cellStyle name="Шапка 8" xfId="28764" xr:uid="{00000000-0005-0000-0000-00005C700000}"/>
    <cellStyle name="Шапка 8 10" xfId="28765" xr:uid="{00000000-0005-0000-0000-00005D700000}"/>
    <cellStyle name="Шапка 8 11" xfId="28766" xr:uid="{00000000-0005-0000-0000-00005E700000}"/>
    <cellStyle name="Шапка 8 2" xfId="28767" xr:uid="{00000000-0005-0000-0000-00005F700000}"/>
    <cellStyle name="Шапка 8 3" xfId="28768" xr:uid="{00000000-0005-0000-0000-000060700000}"/>
    <cellStyle name="Шапка 8 4" xfId="28769" xr:uid="{00000000-0005-0000-0000-000061700000}"/>
    <cellStyle name="Шапка 8 5" xfId="28770" xr:uid="{00000000-0005-0000-0000-000062700000}"/>
    <cellStyle name="Шапка 8 6" xfId="28771" xr:uid="{00000000-0005-0000-0000-000063700000}"/>
    <cellStyle name="Шапка 8 7" xfId="28772" xr:uid="{00000000-0005-0000-0000-000064700000}"/>
    <cellStyle name="Шапка 8 8" xfId="28773" xr:uid="{00000000-0005-0000-0000-000065700000}"/>
    <cellStyle name="Шапка 8 9" xfId="28774" xr:uid="{00000000-0005-0000-0000-000066700000}"/>
    <cellStyle name="Шапка 9" xfId="28775" xr:uid="{00000000-0005-0000-0000-000067700000}"/>
    <cellStyle name="Шапка 9 10" xfId="28776" xr:uid="{00000000-0005-0000-0000-000068700000}"/>
    <cellStyle name="Шапка 9 11" xfId="28777" xr:uid="{00000000-0005-0000-0000-000069700000}"/>
    <cellStyle name="Шапка 9 2" xfId="28778" xr:uid="{00000000-0005-0000-0000-00006A700000}"/>
    <cellStyle name="Шапка 9 3" xfId="28779" xr:uid="{00000000-0005-0000-0000-00006B700000}"/>
    <cellStyle name="Шапка 9 4" xfId="28780" xr:uid="{00000000-0005-0000-0000-00006C700000}"/>
    <cellStyle name="Шапка 9 5" xfId="28781" xr:uid="{00000000-0005-0000-0000-00006D700000}"/>
    <cellStyle name="Шапка 9 6" xfId="28782" xr:uid="{00000000-0005-0000-0000-00006E700000}"/>
    <cellStyle name="Шапка 9 7" xfId="28783" xr:uid="{00000000-0005-0000-0000-00006F700000}"/>
    <cellStyle name="Шапка 9 8" xfId="28784" xr:uid="{00000000-0005-0000-0000-000070700000}"/>
    <cellStyle name="Шапка 9 9" xfId="28785" xr:uid="{00000000-0005-0000-0000-000071700000}"/>
    <cellStyle name="標準" xfId="28790" xr:uid="{68D87948-4F6E-4969-BF34-DCC1FDBA9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259602</xdr:colOff>
      <xdr:row>37</xdr:row>
      <xdr:rowOff>4855</xdr:rowOff>
    </xdr:from>
    <xdr:to>
      <xdr:col>14</xdr:col>
      <xdr:colOff>347755</xdr:colOff>
      <xdr:row>52</xdr:row>
      <xdr:rowOff>136338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4E3479-DEAC-6D4C-58FE-B48A4B9F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602" y="7624855"/>
          <a:ext cx="10509624" cy="2484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313448</xdr:colOff>
      <xdr:row>25</xdr:row>
      <xdr:rowOff>148631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6320A23-6CDA-63E3-4AEF-AD4292235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19048" cy="47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achicm.local\jpn\&#26085;&#31435;&#24314;&#27231;-&#26412;&#31038;\(&#21942;&#26412;)GMC(&#22269;&#38555;)\4-project\&#36229;&#22823;&#22411;\&#37428;&#26408;\&#12450;&#12472;&#12450;&#36229;&#22823;&#22411;\&#12479;&#12452;\080530%20quotation%20THAI%202500E-L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achicm.local\jpn\&#26085;&#31435;&#24314;&#27231;-&#26412;&#31038;\(&#21942;&#26412;)&#12525;&#12471;&#12450;&#12539;&#20013;&#26481;&#21942;&#26989;&#37096;\1-private\MEC\&#23455;&#34892;&#20104;&#31639;\&#23455;&#34892;&#20104;&#31639;0812&#65288;&#20462;&#27491;081204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Dat2nd\KPC96\Cal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ue\Parts\Customer%20Support\HCSA%20(SAf)\Equinox%20Zambia%20Eh4500_2\REC%20LIST%20EH4500_2%20Nov%202005\Internal%20Use\EH4500_2%20Parts%20Equinox%20file%20for%20HCSA%20INCLUDES%20HCSA%20COST%20Jan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\KPC\MIS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LANS\EQIPHR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gary01\LOCALS~1\Temp\EH1700%20RP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sed%20Projects\2020\204861%20-%20Arctic%20Project\RFQs\Copy%20of%20Arctic_Equipment_Request_for_Pricing_Equipment_k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211\&#12510;&#12452;&#12491;&#12531;&#12464;\Documents%20and%20Settings\richardk\Local%20Settings\Temp\Pricing\Anglo%20Pricing-S-Africa%20-G-w-tire-linerLocal%20body-4%25disc-2-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Dat2nd\KPC96\EX3500Only\Cal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pnts1\DATA\ExcelDat\Egat%20V\FMC\Ex2500ele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DAT\MONTHLY\CASHFLO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pnts1\DATA\ExcelDat\MHI\USA_&#65396;&#65437;&#65404;&#65438;&#65437;&#21839;&#38988;\Ap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pnts\Prod.Support\ExcelDat2nd\KPC96\EX3500Only\Cal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DAT\KPC\OH_E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3;&#1086;&#1090;&#1072;%20&#1058;&#1057;&#1050;/&#1088;&#1072;&#1089;&#1095;&#1077;&#1090;%20&#1074;&#1088;&#1077;&#1084;&#1077;&#1085;&#1080;%20&#1085;&#1072;%20&#1058;&#1054;/&#1089;&#1074;&#1086;&#1076;&#1085;&#1099;&#1081;%20&#1087;&#1086;%20&#1082;&#1072;&#1088;&#1100;&#1077;&#1088;&#1085;&#1086;&#1081;%20&#1090;&#1077;&#1093;&#1085;&#1080;&#1082;&#107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1.51.220/DOCUME~1/i186304/LOCALS~1/Temp/notesEA312D/800&#31995;/&#26087;&#24540;&#29992;&#65319;/CX900&#65418;&#65394;&#65422;&#65439;&#65405;&#65412;%20&#31179;&#30000;&#28023;&#38520;&#36939;&#36865;%201F30-15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原稿(表紙)"/>
      <sheetName val="2500E 見積書"/>
      <sheetName val="タイ"/>
      <sheetName val="LD 実績"/>
      <sheetName val="EGATの実績"/>
      <sheetName val="2007実績"/>
      <sheetName val="EGAT-SAHA"/>
      <sheetName val="ブルガリア"/>
      <sheetName val="Sheet2"/>
      <sheetName val="Sheet3"/>
      <sheetName val="見積原稿(表紙) (2)"/>
      <sheetName val="添付資料&gt;出荷仕様一覧"/>
      <sheetName val="タイブレイクダウン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Dubai+Ist)実行予算0812"/>
      <sheetName val="(Dubai管轄)実行予算0812"/>
      <sheetName val="FC_RawData (2)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_APL"/>
      <sheetName val="Rebuild"/>
      <sheetName val="TASK"/>
      <sheetName val="MOD"/>
      <sheetName val="PM"/>
      <sheetName val="EngTTL"/>
      <sheetName val="WELD"/>
      <sheetName val="OUT"/>
      <sheetName val="GET"/>
      <sheetName val="APL"/>
      <sheetName val="ELECT."/>
      <sheetName val="APLcompo"/>
      <sheetName val="Sheet1"/>
      <sheetName val="APLnew"/>
      <sheetName val="3500-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ternal"/>
      <sheetName val="HCA RAND PRICE LIST"/>
      <sheetName val="RL EXTERNAL USE BUT IN USD"/>
      <sheetName val="Condensed RL HCSA COST Internal"/>
      <sheetName val="HCSA PARTS COSTS"/>
      <sheetName val="Ahmed prices"/>
      <sheetName val="411MD 6314316090C"/>
      <sheetName val="Original list pcs + MC and cons"/>
      <sheetName val="original list MC Keith"/>
      <sheetName val="MARC MARGIN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E12635776</v>
          </cell>
          <cell r="B1" t="str">
            <v>Spindle ASSY (INCLUDES PLANETARY GEARS, SPINDLE, WET DISC BRAKE, LESS TRACTION MOTOR &amp; MISCELLANEOUS HARDWARE)</v>
          </cell>
          <cell r="C1">
            <v>2445153.27</v>
          </cell>
        </row>
        <row r="2">
          <cell r="A2" t="str">
            <v>E12979420</v>
          </cell>
          <cell r="B2" t="str">
            <v>Alternator only with New Style Howden Blower</v>
          </cell>
          <cell r="C2">
            <v>1590919.21</v>
          </cell>
        </row>
        <row r="3">
          <cell r="A3" t="str">
            <v>E12613580</v>
          </cell>
          <cell r="B3" t="str">
            <v>TRACTION MOTOR</v>
          </cell>
          <cell r="C3">
            <v>1497002.43</v>
          </cell>
        </row>
        <row r="4">
          <cell r="A4" t="str">
            <v>E12624753</v>
          </cell>
          <cell r="B4" t="str">
            <v>RADIATOR</v>
          </cell>
          <cell r="C4">
            <v>374268.22</v>
          </cell>
        </row>
        <row r="5">
          <cell r="A5" t="str">
            <v>E12614455</v>
          </cell>
          <cell r="B5" t="str">
            <v>CYLINDER - HOIST</v>
          </cell>
          <cell r="C5">
            <v>198984.41</v>
          </cell>
        </row>
        <row r="6">
          <cell r="A6" t="str">
            <v>E12614898</v>
          </cell>
          <cell r="B6" t="str">
            <v>BRAKE - REAR</v>
          </cell>
          <cell r="C6">
            <v>215698.1</v>
          </cell>
        </row>
        <row r="7">
          <cell r="A7" t="str">
            <v>E12593416</v>
          </cell>
          <cell r="B7" t="str">
            <v>STRUT ASSEMBLY FRONT</v>
          </cell>
          <cell r="C7">
            <v>179684.92</v>
          </cell>
        </row>
        <row r="8">
          <cell r="A8" t="str">
            <v>E12618728</v>
          </cell>
          <cell r="B8" t="str">
            <v>STRUT ASSEMBLY REAR</v>
          </cell>
          <cell r="C8">
            <v>171614.56</v>
          </cell>
        </row>
        <row r="9">
          <cell r="B9" t="str">
            <v>Rectifier</v>
          </cell>
          <cell r="C9" t="str">
            <v xml:space="preserve"> </v>
          </cell>
        </row>
        <row r="10">
          <cell r="A10" t="str">
            <v>E12619683</v>
          </cell>
          <cell r="B10" t="str">
            <v>BRAKE VALVE ASSEMBLY</v>
          </cell>
          <cell r="C10">
            <v>61835.93</v>
          </cell>
        </row>
        <row r="11">
          <cell r="A11" t="str">
            <v>E12597535</v>
          </cell>
          <cell r="B11" t="str">
            <v>PUMP - HYDRAULIC</v>
          </cell>
          <cell r="C11">
            <v>60271.18</v>
          </cell>
        </row>
        <row r="12">
          <cell r="A12" t="str">
            <v>E12597529</v>
          </cell>
          <cell r="B12" t="str">
            <v>VALVE - HYDRAULIC CONTROL</v>
          </cell>
          <cell r="C12">
            <v>54345.73</v>
          </cell>
        </row>
        <row r="13">
          <cell r="A13" t="str">
            <v>E12619749</v>
          </cell>
          <cell r="B13" t="str">
            <v>ACCUMULATOR - STEER</v>
          </cell>
          <cell r="C13">
            <v>44097.61</v>
          </cell>
        </row>
        <row r="14">
          <cell r="A14" t="str">
            <v>E12594016</v>
          </cell>
          <cell r="B14" t="str">
            <v>SEAL KIT</v>
          </cell>
          <cell r="C14">
            <v>16934.39</v>
          </cell>
        </row>
        <row r="15">
          <cell r="A15" t="str">
            <v>E12596419</v>
          </cell>
          <cell r="B15" t="str">
            <v>STEER PUMP</v>
          </cell>
          <cell r="C15">
            <v>38972.14</v>
          </cell>
        </row>
        <row r="16">
          <cell r="A16" t="str">
            <v>E12619890</v>
          </cell>
          <cell r="B16" t="str">
            <v>STEER CYLINDER</v>
          </cell>
          <cell r="C16">
            <v>31212.13</v>
          </cell>
        </row>
        <row r="17">
          <cell r="A17" t="str">
            <v>E12614912</v>
          </cell>
          <cell r="B17" t="str">
            <v>BYPASS VALVE</v>
          </cell>
          <cell r="C17">
            <v>12739.02</v>
          </cell>
        </row>
        <row r="18">
          <cell r="A18" t="str">
            <v>E11042104</v>
          </cell>
          <cell r="B18" t="str">
            <v>DISPLAY</v>
          </cell>
          <cell r="C18">
            <v>15668.18</v>
          </cell>
        </row>
        <row r="19">
          <cell r="A19" t="str">
            <v>E12612332</v>
          </cell>
          <cell r="B19" t="str">
            <v>FACE SEAL</v>
          </cell>
          <cell r="C19">
            <v>18158.77</v>
          </cell>
        </row>
        <row r="20">
          <cell r="A20" t="str">
            <v>E12632073</v>
          </cell>
          <cell r="B20" t="str">
            <v>CIRCUIT BOARD</v>
          </cell>
          <cell r="C20">
            <v>13511.45</v>
          </cell>
        </row>
        <row r="21">
          <cell r="A21" t="str">
            <v>E12636691</v>
          </cell>
          <cell r="B21" t="str">
            <v>CIRCUIT BOARD</v>
          </cell>
          <cell r="C21">
            <v>17356.919999999998</v>
          </cell>
        </row>
        <row r="22">
          <cell r="A22" t="str">
            <v>E12614451</v>
          </cell>
          <cell r="B22" t="str">
            <v>SEAL KIT</v>
          </cell>
          <cell r="C22">
            <v>17034.98</v>
          </cell>
        </row>
        <row r="23">
          <cell r="A23" t="str">
            <v>E12627151</v>
          </cell>
          <cell r="B23" t="str">
            <v>VALVE - FLOW AMPLIFIER</v>
          </cell>
          <cell r="C23">
            <v>32098.11</v>
          </cell>
        </row>
        <row r="24">
          <cell r="A24" t="str">
            <v>E12596708</v>
          </cell>
          <cell r="B24" t="str">
            <v>SENSOR</v>
          </cell>
          <cell r="C24">
            <v>13424.66</v>
          </cell>
        </row>
        <row r="25">
          <cell r="A25" t="str">
            <v>E12625641</v>
          </cell>
          <cell r="B25" t="str">
            <v>HOIST STEER TRANSDUCER</v>
          </cell>
          <cell r="C25">
            <v>6771.04</v>
          </cell>
        </row>
        <row r="26">
          <cell r="A26" t="str">
            <v>E12598576</v>
          </cell>
          <cell r="B26" t="str">
            <v>INCLINOMETER SWNSOR</v>
          </cell>
          <cell r="C26">
            <v>10944.4</v>
          </cell>
        </row>
        <row r="27">
          <cell r="A27" t="str">
            <v>E12589880</v>
          </cell>
          <cell r="B27" t="str">
            <v>BATTERY EQUALISER</v>
          </cell>
          <cell r="C27">
            <v>7657.01</v>
          </cell>
        </row>
        <row r="28">
          <cell r="A28" t="str">
            <v>E12977958</v>
          </cell>
          <cell r="B28" t="str">
            <v>CARTRIDGE</v>
          </cell>
          <cell r="C28">
            <v>8643.84</v>
          </cell>
        </row>
        <row r="29">
          <cell r="A29" t="str">
            <v>E12598660</v>
          </cell>
          <cell r="B29" t="str">
            <v>SEAL</v>
          </cell>
          <cell r="C29">
            <v>5460.36</v>
          </cell>
        </row>
        <row r="30">
          <cell r="A30" t="str">
            <v>E12598119</v>
          </cell>
          <cell r="B30" t="str">
            <v>HOIST CUT OUT SENSOR</v>
          </cell>
          <cell r="C30">
            <v>8253.0300000000007</v>
          </cell>
        </row>
        <row r="31">
          <cell r="A31" t="str">
            <v>E12979559</v>
          </cell>
          <cell r="B31" t="str">
            <v>TRANSFORMER FOR HID LAMP</v>
          </cell>
          <cell r="C31">
            <v>5040.7</v>
          </cell>
        </row>
        <row r="32">
          <cell r="A32" t="str">
            <v>E12613898</v>
          </cell>
          <cell r="B32" t="str">
            <v>V RING SEAL</v>
          </cell>
          <cell r="C32">
            <v>7171.67</v>
          </cell>
        </row>
        <row r="33">
          <cell r="A33" t="str">
            <v>E4029333</v>
          </cell>
          <cell r="B33" t="str">
            <v>VENT HI-F</v>
          </cell>
          <cell r="C33">
            <v>4068.34</v>
          </cell>
        </row>
        <row r="34">
          <cell r="A34" t="str">
            <v>E12573266</v>
          </cell>
          <cell r="B34" t="str">
            <v>SEAL KIT</v>
          </cell>
          <cell r="C34">
            <v>3881.37</v>
          </cell>
        </row>
        <row r="35">
          <cell r="A35" t="str">
            <v>E12975024</v>
          </cell>
          <cell r="B35" t="str">
            <v>CONTROL KIT</v>
          </cell>
          <cell r="C35">
            <v>6224.1</v>
          </cell>
        </row>
        <row r="36">
          <cell r="A36" t="str">
            <v>E12616530</v>
          </cell>
          <cell r="B36" t="str">
            <v>PROXIMITY SWITCH</v>
          </cell>
          <cell r="C36">
            <v>5476.61</v>
          </cell>
        </row>
        <row r="37">
          <cell r="A37" t="str">
            <v>E12617646</v>
          </cell>
          <cell r="B37" t="str">
            <v>COMPRESSOR</v>
          </cell>
          <cell r="C37">
            <v>5109.1099999999997</v>
          </cell>
        </row>
        <row r="38">
          <cell r="A38" t="str">
            <v>E4031185</v>
          </cell>
          <cell r="B38" t="str">
            <v>SWITCH</v>
          </cell>
          <cell r="C38">
            <v>7824.26</v>
          </cell>
        </row>
        <row r="39">
          <cell r="A39" t="str">
            <v>E4091716</v>
          </cell>
          <cell r="B39" t="str">
            <v>WIPER MOTOR</v>
          </cell>
          <cell r="C39">
            <v>2601.9899999999998</v>
          </cell>
        </row>
        <row r="40">
          <cell r="A40" t="str">
            <v>E12977454</v>
          </cell>
          <cell r="B40" t="str">
            <v>COIL</v>
          </cell>
          <cell r="C40">
            <v>4479.78</v>
          </cell>
        </row>
        <row r="41">
          <cell r="A41" t="str">
            <v>E12622550</v>
          </cell>
          <cell r="B41" t="str">
            <v>VALVE, STEER</v>
          </cell>
          <cell r="C41">
            <v>13239.76</v>
          </cell>
        </row>
        <row r="42">
          <cell r="A42" t="str">
            <v>E12619961</v>
          </cell>
          <cell r="B42" t="str">
            <v>SEAL KIT</v>
          </cell>
          <cell r="C42">
            <v>2468.67</v>
          </cell>
        </row>
        <row r="43">
          <cell r="A43" t="str">
            <v>E12974832</v>
          </cell>
          <cell r="B43" t="str">
            <v>O RING</v>
          </cell>
          <cell r="C43">
            <v>2163.25</v>
          </cell>
        </row>
        <row r="44">
          <cell r="A44" t="str">
            <v>E12592071</v>
          </cell>
          <cell r="B44" t="str">
            <v>A/C KIT</v>
          </cell>
          <cell r="C44">
            <v>3857.91</v>
          </cell>
        </row>
        <row r="45">
          <cell r="A45" t="str">
            <v>E12596709</v>
          </cell>
          <cell r="B45" t="str">
            <v>TEMP SENSOR</v>
          </cell>
          <cell r="C45">
            <v>2027.37</v>
          </cell>
        </row>
        <row r="46">
          <cell r="A46" t="str">
            <v>E12631943</v>
          </cell>
          <cell r="B46" t="str">
            <v>MIRROR ASSY</v>
          </cell>
          <cell r="C46">
            <v>1835.33</v>
          </cell>
        </row>
        <row r="47">
          <cell r="A47" t="str">
            <v>E12975336</v>
          </cell>
          <cell r="B47" t="str">
            <v>VALVE</v>
          </cell>
          <cell r="C47">
            <v>3392.42</v>
          </cell>
        </row>
        <row r="48">
          <cell r="A48" t="str">
            <v>E12978903</v>
          </cell>
          <cell r="B48" t="str">
            <v>HID LAMP</v>
          </cell>
          <cell r="C48">
            <v>2906.59</v>
          </cell>
        </row>
        <row r="49">
          <cell r="A49" t="str">
            <v>E12633145</v>
          </cell>
          <cell r="B49" t="str">
            <v>SEAL KIT</v>
          </cell>
          <cell r="C49">
            <v>3293.71</v>
          </cell>
        </row>
        <row r="50">
          <cell r="A50" t="str">
            <v>E12620121</v>
          </cell>
          <cell r="B50" t="str">
            <v>CONDENSER</v>
          </cell>
          <cell r="C50">
            <v>3321.36</v>
          </cell>
        </row>
        <row r="51">
          <cell r="A51" t="str">
            <v>E1257684</v>
          </cell>
          <cell r="B51" t="str">
            <v>DISPLAY</v>
          </cell>
          <cell r="C51" t="str">
            <v>unknown</v>
          </cell>
        </row>
        <row r="52">
          <cell r="A52" t="str">
            <v>E12586563</v>
          </cell>
          <cell r="B52" t="str">
            <v>PARK BRAKE SWITCH</v>
          </cell>
          <cell r="C52">
            <v>3180.22</v>
          </cell>
        </row>
        <row r="53">
          <cell r="A53" t="str">
            <v>E2542896</v>
          </cell>
          <cell r="B53" t="str">
            <v>ACCUMULATOR, BRAKE</v>
          </cell>
          <cell r="C53">
            <v>9685.6</v>
          </cell>
        </row>
        <row r="54">
          <cell r="A54" t="str">
            <v>E4069396</v>
          </cell>
          <cell r="B54" t="str">
            <v>GASKET</v>
          </cell>
          <cell r="C54">
            <v>1802.13</v>
          </cell>
        </row>
        <row r="55">
          <cell r="A55" t="str">
            <v>E12631945</v>
          </cell>
          <cell r="B55" t="str">
            <v>MIRROR ASSY</v>
          </cell>
          <cell r="C55">
            <v>1575.37</v>
          </cell>
        </row>
        <row r="56">
          <cell r="A56" t="str">
            <v>E12977935</v>
          </cell>
          <cell r="B56" t="str">
            <v>SWITCH KIT</v>
          </cell>
          <cell r="C56">
            <v>1616.16</v>
          </cell>
        </row>
        <row r="57">
          <cell r="A57" t="str">
            <v>E12977480</v>
          </cell>
          <cell r="B57" t="str">
            <v>SWITCH KIT</v>
          </cell>
          <cell r="C57">
            <v>2419.0700000000002</v>
          </cell>
        </row>
        <row r="58">
          <cell r="A58" t="str">
            <v>E12979362</v>
          </cell>
          <cell r="B58" t="str">
            <v>SEAL KIT</v>
          </cell>
          <cell r="C58">
            <v>2388.7800000000002</v>
          </cell>
        </row>
        <row r="59">
          <cell r="A59" t="str">
            <v>E12624469</v>
          </cell>
          <cell r="B59" t="str">
            <v>SEAL KIT</v>
          </cell>
          <cell r="C59">
            <v>2382.46</v>
          </cell>
        </row>
        <row r="60">
          <cell r="A60" t="str">
            <v>E12977186</v>
          </cell>
          <cell r="B60" t="str">
            <v>SOLENOID</v>
          </cell>
          <cell r="C60">
            <v>1130.6400000000001</v>
          </cell>
        </row>
        <row r="61">
          <cell r="A61" t="str">
            <v>E12635046</v>
          </cell>
          <cell r="B61" t="str">
            <v>LED GREEN LAMP</v>
          </cell>
          <cell r="C61">
            <v>1425.58</v>
          </cell>
        </row>
        <row r="62">
          <cell r="A62" t="str">
            <v>E12977185</v>
          </cell>
          <cell r="B62" t="str">
            <v>SOLENOID</v>
          </cell>
          <cell r="C62">
            <v>1147.78</v>
          </cell>
        </row>
        <row r="63">
          <cell r="A63" t="str">
            <v>E12614921</v>
          </cell>
          <cell r="B63" t="str">
            <v>FRONT AIR VALVE</v>
          </cell>
          <cell r="C63">
            <v>2270.77</v>
          </cell>
        </row>
        <row r="64">
          <cell r="A64" t="str">
            <v>E12635045</v>
          </cell>
          <cell r="B64" t="str">
            <v>LED AMBER LAMP</v>
          </cell>
          <cell r="C64">
            <v>1227.52</v>
          </cell>
        </row>
        <row r="65">
          <cell r="A65" t="str">
            <v>E12613764</v>
          </cell>
          <cell r="B65" t="str">
            <v>REAR AIR VALVE</v>
          </cell>
          <cell r="C65">
            <v>2081.1999999999998</v>
          </cell>
        </row>
        <row r="66">
          <cell r="A66" t="str">
            <v>E12978125</v>
          </cell>
          <cell r="B66" t="str">
            <v>SWITCH</v>
          </cell>
          <cell r="C66">
            <v>2044.59</v>
          </cell>
        </row>
        <row r="67">
          <cell r="A67" t="str">
            <v>E12613763</v>
          </cell>
          <cell r="B67" t="str">
            <v>REAR AIR VALVE</v>
          </cell>
          <cell r="C67">
            <v>1978</v>
          </cell>
        </row>
        <row r="68">
          <cell r="A68" t="str">
            <v>E4092049</v>
          </cell>
          <cell r="B68" t="str">
            <v>CAP</v>
          </cell>
          <cell r="C68">
            <v>1149.8599999999999</v>
          </cell>
        </row>
        <row r="69">
          <cell r="A69" t="str">
            <v>E4002289</v>
          </cell>
          <cell r="B69" t="str">
            <v>FUEL CAP</v>
          </cell>
          <cell r="C69">
            <v>1935.03</v>
          </cell>
        </row>
        <row r="70">
          <cell r="A70" t="str">
            <v>E12613585</v>
          </cell>
          <cell r="B70" t="str">
            <v>O RING</v>
          </cell>
          <cell r="C70">
            <v>1133.1400000000001</v>
          </cell>
        </row>
        <row r="71">
          <cell r="A71" t="str">
            <v>E12613586</v>
          </cell>
          <cell r="B71" t="str">
            <v>O RING</v>
          </cell>
          <cell r="C71">
            <v>1150.44</v>
          </cell>
        </row>
        <row r="72">
          <cell r="A72" t="str">
            <v>E12635044</v>
          </cell>
          <cell r="B72" t="str">
            <v>LED RED LAMP</v>
          </cell>
          <cell r="C72">
            <v>1125.98</v>
          </cell>
        </row>
        <row r="73">
          <cell r="A73" t="str">
            <v>E12978281</v>
          </cell>
          <cell r="B73" t="str">
            <v>SOFT GOODS KIT</v>
          </cell>
          <cell r="C73">
            <v>1805.4</v>
          </cell>
        </row>
        <row r="74">
          <cell r="A74" t="str">
            <v>E13813138</v>
          </cell>
          <cell r="B74" t="str">
            <v>O RING</v>
          </cell>
          <cell r="C74">
            <v>1777.94</v>
          </cell>
        </row>
        <row r="75">
          <cell r="A75" t="str">
            <v>E12977765</v>
          </cell>
          <cell r="B75" t="str">
            <v>CROSS KIT</v>
          </cell>
          <cell r="C75">
            <v>720.85</v>
          </cell>
        </row>
        <row r="76">
          <cell r="A76" t="str">
            <v>E12598203</v>
          </cell>
          <cell r="B76" t="str">
            <v>DISCONNECT SWITCH</v>
          </cell>
          <cell r="C76">
            <v>995.82</v>
          </cell>
        </row>
        <row r="77">
          <cell r="A77" t="str">
            <v>E4099649</v>
          </cell>
          <cell r="B77" t="str">
            <v>SEAL AND RING KIT</v>
          </cell>
          <cell r="C77">
            <v>1681.08</v>
          </cell>
        </row>
        <row r="78">
          <cell r="A78" t="str">
            <v>E4006456</v>
          </cell>
          <cell r="B78" t="str">
            <v>CAP ASSEMBLY</v>
          </cell>
          <cell r="C78">
            <v>1677.27</v>
          </cell>
        </row>
        <row r="79">
          <cell r="A79" t="str">
            <v>E12629058</v>
          </cell>
          <cell r="B79" t="str">
            <v>REGULATOR</v>
          </cell>
          <cell r="C79">
            <v>1824.39</v>
          </cell>
        </row>
        <row r="80">
          <cell r="A80" t="str">
            <v>E4042266</v>
          </cell>
          <cell r="B80" t="str">
            <v>SWITCH</v>
          </cell>
          <cell r="C80">
            <v>936.52</v>
          </cell>
        </row>
        <row r="81">
          <cell r="A81" t="str">
            <v>E12629059</v>
          </cell>
          <cell r="B81" t="str">
            <v>REGULATOR</v>
          </cell>
          <cell r="C81">
            <v>1800.47</v>
          </cell>
        </row>
        <row r="82">
          <cell r="A82" t="str">
            <v>E9193382</v>
          </cell>
          <cell r="B82" t="str">
            <v>BREATHER</v>
          </cell>
          <cell r="C82">
            <v>835.96</v>
          </cell>
        </row>
        <row r="83">
          <cell r="A83" t="str">
            <v>E12975717</v>
          </cell>
          <cell r="B83" t="str">
            <v>SENSOR KIT</v>
          </cell>
          <cell r="C83">
            <v>1387.95</v>
          </cell>
        </row>
        <row r="84">
          <cell r="A84" t="str">
            <v>E12979361</v>
          </cell>
          <cell r="B84" t="str">
            <v>SEAL KIT</v>
          </cell>
          <cell r="C84">
            <v>833.71</v>
          </cell>
        </row>
        <row r="85">
          <cell r="A85" t="str">
            <v>E12590199</v>
          </cell>
          <cell r="B85" t="str">
            <v>BACK UP ALARM</v>
          </cell>
          <cell r="C85">
            <v>1361.66</v>
          </cell>
        </row>
        <row r="86">
          <cell r="A86" t="str">
            <v>E12612902</v>
          </cell>
          <cell r="B86" t="str">
            <v>LATCH</v>
          </cell>
          <cell r="C86">
            <v>1261.96</v>
          </cell>
        </row>
        <row r="87">
          <cell r="A87" t="str">
            <v>E12583699</v>
          </cell>
          <cell r="B87" t="str">
            <v>FLOOD LAMP</v>
          </cell>
          <cell r="C87">
            <v>816.08</v>
          </cell>
        </row>
        <row r="88">
          <cell r="A88" t="str">
            <v>E4078722</v>
          </cell>
          <cell r="B88" t="str">
            <v>BALL VALVE</v>
          </cell>
          <cell r="C88">
            <v>1137.21</v>
          </cell>
        </row>
        <row r="89">
          <cell r="A89" t="str">
            <v>E12612905</v>
          </cell>
          <cell r="B89" t="str">
            <v>REGULATOR KIT</v>
          </cell>
          <cell r="C89">
            <v>1114.32</v>
          </cell>
        </row>
        <row r="90">
          <cell r="A90" t="str">
            <v>E12612901</v>
          </cell>
          <cell r="B90" t="str">
            <v>LATCH</v>
          </cell>
          <cell r="C90">
            <v>1261.96</v>
          </cell>
        </row>
        <row r="91">
          <cell r="A91" t="str">
            <v>E4031899</v>
          </cell>
          <cell r="B91" t="str">
            <v xml:space="preserve">SHUT OFF VALVE </v>
          </cell>
          <cell r="C91">
            <v>1088.5</v>
          </cell>
        </row>
        <row r="92">
          <cell r="A92" t="str">
            <v>E13813595</v>
          </cell>
          <cell r="B92" t="str">
            <v>O RING</v>
          </cell>
          <cell r="C92">
            <v>802.86</v>
          </cell>
        </row>
        <row r="93">
          <cell r="A93" t="str">
            <v>E12599327</v>
          </cell>
          <cell r="B93" t="str">
            <v>BUSHING</v>
          </cell>
          <cell r="C93">
            <v>1065.72</v>
          </cell>
        </row>
        <row r="94">
          <cell r="A94" t="str">
            <v>E12640525</v>
          </cell>
          <cell r="B94" t="str">
            <v>HALOGEN LAMP</v>
          </cell>
          <cell r="C94">
            <v>1348.32</v>
          </cell>
        </row>
        <row r="95">
          <cell r="A95" t="str">
            <v>E12595239</v>
          </cell>
          <cell r="B95" t="str">
            <v>RELIEF VALVE</v>
          </cell>
          <cell r="C95">
            <v>1269.8800000000001</v>
          </cell>
        </row>
        <row r="96">
          <cell r="A96" t="str">
            <v>E12593925</v>
          </cell>
          <cell r="B96" t="str">
            <v>CLAMP</v>
          </cell>
          <cell r="C96">
            <v>634.80999999999995</v>
          </cell>
        </row>
        <row r="97">
          <cell r="A97" t="str">
            <v>E12594659</v>
          </cell>
          <cell r="B97" t="str">
            <v>RING</v>
          </cell>
          <cell r="C97">
            <v>992.43</v>
          </cell>
        </row>
        <row r="98">
          <cell r="A98" t="str">
            <v>E12612838</v>
          </cell>
          <cell r="B98" t="str">
            <v>HANDLE</v>
          </cell>
          <cell r="C98">
            <v>979.86</v>
          </cell>
        </row>
        <row r="99">
          <cell r="A99" t="str">
            <v>E12587176</v>
          </cell>
          <cell r="B99" t="str">
            <v>AIR FITLER SWITCH</v>
          </cell>
          <cell r="C99">
            <v>551</v>
          </cell>
        </row>
        <row r="100">
          <cell r="A100" t="str">
            <v>E12979296</v>
          </cell>
          <cell r="B100" t="str">
            <v>SEAL KIT</v>
          </cell>
          <cell r="C100">
            <v>918.89</v>
          </cell>
        </row>
        <row r="101">
          <cell r="A101" t="str">
            <v>E12611863</v>
          </cell>
          <cell r="B101" t="str">
            <v>HOSE</v>
          </cell>
          <cell r="C101">
            <v>918.46</v>
          </cell>
        </row>
        <row r="102">
          <cell r="A102" t="str">
            <v>E12977986</v>
          </cell>
          <cell r="B102" t="str">
            <v>RELAY</v>
          </cell>
          <cell r="C102">
            <v>917.17</v>
          </cell>
        </row>
        <row r="103">
          <cell r="A103" t="str">
            <v>E12598161</v>
          </cell>
          <cell r="B103" t="str">
            <v>FLASHER</v>
          </cell>
          <cell r="C103">
            <v>873.65</v>
          </cell>
        </row>
        <row r="104">
          <cell r="A104" t="str">
            <v>E9246992</v>
          </cell>
          <cell r="B104" t="str">
            <v>CAP</v>
          </cell>
          <cell r="C104">
            <v>560.72</v>
          </cell>
        </row>
        <row r="105">
          <cell r="A105" t="str">
            <v>E12978068</v>
          </cell>
          <cell r="B105" t="str">
            <v>CARTRIDGE KIT</v>
          </cell>
          <cell r="C105">
            <v>839.7</v>
          </cell>
        </row>
        <row r="106">
          <cell r="A106" t="str">
            <v>E4063063</v>
          </cell>
          <cell r="B106" t="str">
            <v>LIQUID GASKET</v>
          </cell>
          <cell r="C106">
            <v>837.5</v>
          </cell>
        </row>
        <row r="107">
          <cell r="A107" t="str">
            <v>E12599234</v>
          </cell>
          <cell r="B107" t="str">
            <v>SUCTION HOSE</v>
          </cell>
          <cell r="C107">
            <v>817.84</v>
          </cell>
        </row>
        <row r="108">
          <cell r="A108" t="str">
            <v>E12975334</v>
          </cell>
          <cell r="B108" t="str">
            <v>SOLENOID</v>
          </cell>
          <cell r="C108">
            <v>803.58</v>
          </cell>
        </row>
        <row r="109">
          <cell r="A109" t="str">
            <v>E4091755</v>
          </cell>
          <cell r="B109" t="str">
            <v>WIPER ARM</v>
          </cell>
          <cell r="C109">
            <v>795.89</v>
          </cell>
        </row>
        <row r="110">
          <cell r="A110" t="str">
            <v>E12613945</v>
          </cell>
          <cell r="B110" t="str">
            <v>O RING</v>
          </cell>
          <cell r="C110">
            <v>795.7</v>
          </cell>
        </row>
        <row r="111">
          <cell r="A111" t="str">
            <v>E12574889</v>
          </cell>
          <cell r="B111" t="str">
            <v>CHACK VALVE</v>
          </cell>
          <cell r="C111">
            <v>789.7</v>
          </cell>
        </row>
        <row r="112">
          <cell r="A112" t="str">
            <v>E12579398</v>
          </cell>
          <cell r="B112" t="str">
            <v>SEAL</v>
          </cell>
          <cell r="C112">
            <v>402.85</v>
          </cell>
        </row>
        <row r="113">
          <cell r="A113" t="str">
            <v>E12978315</v>
          </cell>
          <cell r="B113" t="str">
            <v>SPRING AND SEAL KIT</v>
          </cell>
          <cell r="C113">
            <v>709.37</v>
          </cell>
        </row>
        <row r="114">
          <cell r="A114" t="str">
            <v>E13813629</v>
          </cell>
          <cell r="B114" t="str">
            <v>O RING</v>
          </cell>
          <cell r="C114">
            <v>715.86</v>
          </cell>
        </row>
        <row r="115">
          <cell r="A115" t="str">
            <v>E12595199</v>
          </cell>
          <cell r="B115" t="str">
            <v>SWITCH</v>
          </cell>
          <cell r="C115">
            <v>406.78</v>
          </cell>
        </row>
        <row r="116">
          <cell r="A116" t="str">
            <v>E12614737</v>
          </cell>
          <cell r="B116" t="str">
            <v>ENGINE CUT OFF SWITCH</v>
          </cell>
          <cell r="C116">
            <v>1986.99</v>
          </cell>
        </row>
        <row r="117">
          <cell r="A117" t="str">
            <v>E4008946</v>
          </cell>
          <cell r="B117" t="str">
            <v>GASKET</v>
          </cell>
          <cell r="C117">
            <v>271.74</v>
          </cell>
        </row>
        <row r="118">
          <cell r="A118" t="str">
            <v>E12978050</v>
          </cell>
          <cell r="B118" t="str">
            <v>SEAL KIT</v>
          </cell>
          <cell r="C118">
            <v>647.45000000000005</v>
          </cell>
        </row>
        <row r="119">
          <cell r="A119" t="str">
            <v>E4026135</v>
          </cell>
          <cell r="B119" t="str">
            <v>TEHRMOSTAT</v>
          </cell>
          <cell r="C119">
            <v>650.12</v>
          </cell>
        </row>
        <row r="120">
          <cell r="A120" t="str">
            <v>E12618224</v>
          </cell>
          <cell r="B120" t="str">
            <v>GASKET</v>
          </cell>
          <cell r="C120">
            <v>627.78</v>
          </cell>
        </row>
        <row r="121">
          <cell r="A121" t="str">
            <v>E12978067</v>
          </cell>
          <cell r="B121" t="str">
            <v>CARTRIDGE KIT</v>
          </cell>
          <cell r="C121">
            <v>643.29999999999995</v>
          </cell>
        </row>
        <row r="122">
          <cell r="A122" t="str">
            <v>E12595819</v>
          </cell>
          <cell r="B122" t="str">
            <v>RUBBER BELT</v>
          </cell>
          <cell r="C122">
            <v>613.59</v>
          </cell>
        </row>
        <row r="123">
          <cell r="A123" t="str">
            <v>E12003139</v>
          </cell>
          <cell r="B123" t="str">
            <v>HOSE BULK</v>
          </cell>
          <cell r="C123">
            <v>279</v>
          </cell>
        </row>
        <row r="124">
          <cell r="A124" t="str">
            <v>E12612567</v>
          </cell>
          <cell r="B124" t="str">
            <v>SWITCH</v>
          </cell>
          <cell r="C124">
            <v>575.6</v>
          </cell>
        </row>
        <row r="125">
          <cell r="A125" t="str">
            <v>E12587311</v>
          </cell>
          <cell r="B125" t="str">
            <v>HEADLIGHT SWITCH</v>
          </cell>
          <cell r="C125">
            <v>326.74</v>
          </cell>
        </row>
        <row r="126">
          <cell r="A126" t="str">
            <v>E12618408</v>
          </cell>
          <cell r="B126" t="str">
            <v>CRUISE CONT. SWITCH</v>
          </cell>
          <cell r="C126">
            <v>343.87</v>
          </cell>
        </row>
        <row r="127">
          <cell r="A127" t="str">
            <v>E4039958</v>
          </cell>
          <cell r="B127" t="str">
            <v>CROSS KIT</v>
          </cell>
          <cell r="C127">
            <v>338.37</v>
          </cell>
        </row>
        <row r="128">
          <cell r="A128" t="str">
            <v>E12594983</v>
          </cell>
          <cell r="B128" t="str">
            <v>STUD</v>
          </cell>
          <cell r="C128">
            <v>332.39</v>
          </cell>
        </row>
        <row r="129">
          <cell r="A129" t="str">
            <v>E12594983</v>
          </cell>
          <cell r="B129" t="str">
            <v>STUD</v>
          </cell>
          <cell r="C129">
            <v>332.39</v>
          </cell>
        </row>
        <row r="130">
          <cell r="A130" t="str">
            <v>E12598486</v>
          </cell>
          <cell r="B130" t="str">
            <v>LADDER SWITCH</v>
          </cell>
          <cell r="C130">
            <v>551.26</v>
          </cell>
        </row>
        <row r="131">
          <cell r="A131" t="str">
            <v>E12618225</v>
          </cell>
          <cell r="B131" t="str">
            <v>GASKET</v>
          </cell>
          <cell r="C131">
            <v>531.74</v>
          </cell>
        </row>
        <row r="132">
          <cell r="A132" t="str">
            <v>E12621516</v>
          </cell>
          <cell r="B132" t="str">
            <v>NUT</v>
          </cell>
          <cell r="C132">
            <v>529.29</v>
          </cell>
        </row>
        <row r="133">
          <cell r="A133" t="str">
            <v>E12628827</v>
          </cell>
          <cell r="B133" t="str">
            <v>LENS</v>
          </cell>
          <cell r="C133">
            <v>527.29</v>
          </cell>
        </row>
        <row r="134">
          <cell r="A134" t="str">
            <v>E12611798</v>
          </cell>
          <cell r="B134" t="str">
            <v>IGNITION SWITCH</v>
          </cell>
          <cell r="C134">
            <v>522.29999999999995</v>
          </cell>
        </row>
        <row r="135">
          <cell r="A135" t="str">
            <v>E2552007</v>
          </cell>
          <cell r="B135" t="str">
            <v>RELAY</v>
          </cell>
          <cell r="C135">
            <v>293.60000000000002</v>
          </cell>
        </row>
        <row r="136">
          <cell r="A136" t="str">
            <v>E4082634</v>
          </cell>
          <cell r="B136" t="str">
            <v>SNAP RING</v>
          </cell>
          <cell r="C136">
            <v>282.85000000000002</v>
          </cell>
        </row>
        <row r="137">
          <cell r="A137" t="str">
            <v>E828587</v>
          </cell>
          <cell r="B137" t="str">
            <v>BUZZER</v>
          </cell>
          <cell r="C137">
            <v>473.86</v>
          </cell>
        </row>
        <row r="138">
          <cell r="A138" t="str">
            <v>E12977453</v>
          </cell>
          <cell r="B138" t="str">
            <v>SWITCH</v>
          </cell>
          <cell r="C138">
            <v>441.91</v>
          </cell>
        </row>
        <row r="139">
          <cell r="A139" t="str">
            <v>E4019512</v>
          </cell>
          <cell r="B139" t="str">
            <v>RING</v>
          </cell>
          <cell r="C139">
            <v>430.84</v>
          </cell>
        </row>
        <row r="140">
          <cell r="A140" t="str">
            <v>E12565090</v>
          </cell>
          <cell r="B140" t="str">
            <v>SOLENOID</v>
          </cell>
          <cell r="C140">
            <v>681.57</v>
          </cell>
        </row>
        <row r="141">
          <cell r="A141" t="str">
            <v>E12591706</v>
          </cell>
          <cell r="B141" t="str">
            <v>SWITCH</v>
          </cell>
          <cell r="C141">
            <v>240.67</v>
          </cell>
        </row>
        <row r="142">
          <cell r="A142" t="str">
            <v>E12978489</v>
          </cell>
          <cell r="B142" t="str">
            <v>SEAL KIT</v>
          </cell>
          <cell r="C142">
            <v>237.19</v>
          </cell>
        </row>
        <row r="143">
          <cell r="A143" t="str">
            <v>E12588314</v>
          </cell>
          <cell r="B143" t="str">
            <v>AIR DRIER</v>
          </cell>
          <cell r="C143">
            <v>414.61</v>
          </cell>
        </row>
        <row r="144">
          <cell r="A144" t="str">
            <v>E12640345</v>
          </cell>
          <cell r="B144" t="str">
            <v>LOW KIT HORN</v>
          </cell>
          <cell r="C144">
            <v>391.79</v>
          </cell>
        </row>
        <row r="145">
          <cell r="A145" t="str">
            <v>E12640346</v>
          </cell>
          <cell r="B145" t="str">
            <v>HIGH KIT HORE</v>
          </cell>
          <cell r="C145">
            <v>391.79</v>
          </cell>
        </row>
        <row r="146">
          <cell r="A146" t="str">
            <v>E12610500</v>
          </cell>
          <cell r="B146" t="str">
            <v>BLADE, WIPER</v>
          </cell>
          <cell r="C146">
            <v>384.14</v>
          </cell>
        </row>
        <row r="147">
          <cell r="A147" t="str">
            <v>E12588812</v>
          </cell>
          <cell r="B147" t="str">
            <v>SWITCH</v>
          </cell>
          <cell r="C147">
            <v>383.32</v>
          </cell>
        </row>
        <row r="148">
          <cell r="A148" t="str">
            <v>E12977954</v>
          </cell>
          <cell r="B148" t="str">
            <v>SEAL KIT</v>
          </cell>
          <cell r="C148">
            <v>373.15</v>
          </cell>
        </row>
        <row r="149">
          <cell r="A149" t="str">
            <v>E4045726</v>
          </cell>
          <cell r="B149" t="str">
            <v>VALVE</v>
          </cell>
          <cell r="C149">
            <v>377.63</v>
          </cell>
        </row>
        <row r="150">
          <cell r="A150" t="str">
            <v>E12584223</v>
          </cell>
          <cell r="B150" t="str">
            <v>WASHER PUMP</v>
          </cell>
          <cell r="C150">
            <v>366.17</v>
          </cell>
        </row>
        <row r="151">
          <cell r="A151" t="str">
            <v>E1578846</v>
          </cell>
          <cell r="B151" t="str">
            <v>RHEOSTAT</v>
          </cell>
          <cell r="C151">
            <v>375.43</v>
          </cell>
        </row>
        <row r="152">
          <cell r="A152" t="str">
            <v>E12977007</v>
          </cell>
          <cell r="B152" t="str">
            <v>ROLLER KIT</v>
          </cell>
          <cell r="C152">
            <v>204.72</v>
          </cell>
        </row>
        <row r="153">
          <cell r="A153" t="str">
            <v>E12978982</v>
          </cell>
          <cell r="B153" t="str">
            <v>SEAL KIT</v>
          </cell>
          <cell r="C153">
            <v>338.22</v>
          </cell>
        </row>
        <row r="154">
          <cell r="A154" t="str">
            <v>E12618068</v>
          </cell>
          <cell r="B154" t="str">
            <v>VALVE</v>
          </cell>
          <cell r="C154">
            <v>329.9</v>
          </cell>
        </row>
        <row r="155">
          <cell r="A155" t="str">
            <v>E4091032</v>
          </cell>
          <cell r="B155" t="str">
            <v>GASKET</v>
          </cell>
          <cell r="C155">
            <v>326.11</v>
          </cell>
        </row>
        <row r="156">
          <cell r="A156" t="str">
            <v>E12611810</v>
          </cell>
          <cell r="B156" t="str">
            <v>OVERFLOW HOSE</v>
          </cell>
          <cell r="C156">
            <v>190.68</v>
          </cell>
        </row>
        <row r="157">
          <cell r="A157" t="str">
            <v>E12618067</v>
          </cell>
          <cell r="B157" t="str">
            <v>VALVE</v>
          </cell>
          <cell r="C157">
            <v>323.23</v>
          </cell>
        </row>
        <row r="158">
          <cell r="A158" t="str">
            <v>E4034884</v>
          </cell>
          <cell r="B158" t="str">
            <v>RING</v>
          </cell>
          <cell r="C158">
            <v>293.17</v>
          </cell>
        </row>
        <row r="159">
          <cell r="A159" t="str">
            <v>E12594724</v>
          </cell>
          <cell r="B159" t="str">
            <v>GASKET</v>
          </cell>
          <cell r="C159">
            <v>320.07</v>
          </cell>
        </row>
        <row r="160">
          <cell r="A160" t="str">
            <v>E12587312</v>
          </cell>
          <cell r="B160" t="str">
            <v>SWITCH</v>
          </cell>
          <cell r="C160">
            <v>174.43</v>
          </cell>
        </row>
        <row r="161">
          <cell r="A161" t="str">
            <v>E12977017</v>
          </cell>
          <cell r="B161" t="str">
            <v>SEAL KIT</v>
          </cell>
          <cell r="C161">
            <v>134.97999999999999</v>
          </cell>
        </row>
        <row r="162">
          <cell r="A162" t="str">
            <v>E12588730</v>
          </cell>
          <cell r="B162" t="str">
            <v>SPRING</v>
          </cell>
          <cell r="C162">
            <v>276.02999999999997</v>
          </cell>
        </row>
        <row r="163">
          <cell r="A163" t="str">
            <v>E12977447</v>
          </cell>
          <cell r="B163" t="str">
            <v>SWITCH</v>
          </cell>
          <cell r="C163">
            <v>280.79000000000002</v>
          </cell>
        </row>
        <row r="164">
          <cell r="A164" t="str">
            <v>E12587421</v>
          </cell>
          <cell r="B164" t="str">
            <v>SWITCH</v>
          </cell>
          <cell r="C164">
            <v>273.14</v>
          </cell>
        </row>
        <row r="165">
          <cell r="A165" t="str">
            <v>E4021432</v>
          </cell>
          <cell r="B165" t="str">
            <v>ADHESIVE</v>
          </cell>
          <cell r="C165">
            <v>337.72</v>
          </cell>
        </row>
        <row r="166">
          <cell r="A166" t="str">
            <v>E13813317</v>
          </cell>
          <cell r="B166" t="str">
            <v>BULK HOSE</v>
          </cell>
          <cell r="C166">
            <v>151.54</v>
          </cell>
        </row>
        <row r="167">
          <cell r="A167" t="str">
            <v>E4087445</v>
          </cell>
          <cell r="B167" t="str">
            <v>SPRING</v>
          </cell>
          <cell r="C167">
            <v>257.37</v>
          </cell>
        </row>
        <row r="168">
          <cell r="A168" t="str">
            <v>E13812470</v>
          </cell>
          <cell r="B168" t="str">
            <v>HOSE BULK</v>
          </cell>
          <cell r="C168">
            <v>222.53</v>
          </cell>
        </row>
        <row r="169">
          <cell r="A169" t="str">
            <v>E4047421</v>
          </cell>
          <cell r="B169" t="str">
            <v>CLAMP</v>
          </cell>
          <cell r="C169">
            <v>144.76</v>
          </cell>
        </row>
        <row r="170">
          <cell r="A170" t="str">
            <v>E12977193</v>
          </cell>
          <cell r="B170" t="str">
            <v>SEAL KIT</v>
          </cell>
          <cell r="C170">
            <v>110.68</v>
          </cell>
        </row>
        <row r="171">
          <cell r="A171" t="str">
            <v>E4022643</v>
          </cell>
          <cell r="B171" t="str">
            <v>INDICATOR</v>
          </cell>
          <cell r="C171">
            <v>166.78</v>
          </cell>
        </row>
        <row r="172">
          <cell r="A172" t="str">
            <v>E13813002</v>
          </cell>
          <cell r="B172" t="str">
            <v>O RING</v>
          </cell>
          <cell r="C172">
            <v>177.42</v>
          </cell>
        </row>
        <row r="173">
          <cell r="A173" t="str">
            <v>E13813002</v>
          </cell>
          <cell r="B173" t="str">
            <v>O RING</v>
          </cell>
          <cell r="C173">
            <v>177.42</v>
          </cell>
        </row>
        <row r="174">
          <cell r="A174" t="str">
            <v>E13813002</v>
          </cell>
          <cell r="B174" t="str">
            <v>O RING</v>
          </cell>
          <cell r="C174">
            <v>177.42</v>
          </cell>
        </row>
        <row r="175">
          <cell r="A175" t="str">
            <v>E13813002</v>
          </cell>
          <cell r="B175" t="str">
            <v>O RING</v>
          </cell>
          <cell r="C175">
            <v>177.42</v>
          </cell>
        </row>
        <row r="176">
          <cell r="A176" t="str">
            <v>E13813002</v>
          </cell>
          <cell r="B176" t="str">
            <v>O RING</v>
          </cell>
          <cell r="C176">
            <v>177.42</v>
          </cell>
        </row>
        <row r="177">
          <cell r="A177" t="str">
            <v>E4084467</v>
          </cell>
          <cell r="B177" t="str">
            <v>O RING</v>
          </cell>
          <cell r="C177">
            <v>220.7</v>
          </cell>
        </row>
        <row r="178">
          <cell r="A178" t="str">
            <v>E12614480</v>
          </cell>
          <cell r="B178" t="str">
            <v>GASKET</v>
          </cell>
          <cell r="C178">
            <v>202.55</v>
          </cell>
        </row>
        <row r="179">
          <cell r="A179" t="str">
            <v>E12978338</v>
          </cell>
          <cell r="B179" t="str">
            <v>SEAL KIT</v>
          </cell>
          <cell r="C179">
            <v>201.89</v>
          </cell>
        </row>
        <row r="180">
          <cell r="A180" t="str">
            <v>E12587185</v>
          </cell>
          <cell r="B180" t="str">
            <v>WIPER SWITCH</v>
          </cell>
          <cell r="C180">
            <v>196.06</v>
          </cell>
        </row>
        <row r="181">
          <cell r="A181" t="str">
            <v>E12594814</v>
          </cell>
          <cell r="B181" t="str">
            <v>SPACER</v>
          </cell>
          <cell r="C181">
            <v>194.97</v>
          </cell>
        </row>
        <row r="182">
          <cell r="A182" t="str">
            <v>E12597520</v>
          </cell>
          <cell r="B182" t="str">
            <v>CIRCUIT BREAKER 5 AMP</v>
          </cell>
          <cell r="C182">
            <v>193.79</v>
          </cell>
        </row>
        <row r="183">
          <cell r="A183" t="str">
            <v>E12977192</v>
          </cell>
          <cell r="B183" t="str">
            <v>SEAL KIT</v>
          </cell>
          <cell r="C183">
            <v>110.68</v>
          </cell>
        </row>
        <row r="184">
          <cell r="A184" t="str">
            <v>E12597521</v>
          </cell>
          <cell r="B184" t="str">
            <v>CIRCUIT BREAKER 10 AMP</v>
          </cell>
          <cell r="C184">
            <v>183.79</v>
          </cell>
        </row>
        <row r="185">
          <cell r="A185" t="str">
            <v>E12597522</v>
          </cell>
          <cell r="B185" t="str">
            <v>CIRCUIT BREAKER 15 AMP</v>
          </cell>
          <cell r="C185">
            <v>181.47</v>
          </cell>
        </row>
        <row r="186">
          <cell r="A186" t="str">
            <v>E12597523</v>
          </cell>
          <cell r="B186" t="str">
            <v>CIRCUIT BREAKER 20 AMP</v>
          </cell>
          <cell r="C186">
            <v>181.47</v>
          </cell>
        </row>
        <row r="187">
          <cell r="A187" t="str">
            <v>E4090204</v>
          </cell>
          <cell r="B187" t="str">
            <v>RESISTOR</v>
          </cell>
          <cell r="C187">
            <v>284.49</v>
          </cell>
        </row>
        <row r="188">
          <cell r="A188" t="str">
            <v>E13804049</v>
          </cell>
          <cell r="B188" t="str">
            <v>O RING</v>
          </cell>
          <cell r="C188">
            <v>102.26</v>
          </cell>
        </row>
        <row r="189">
          <cell r="A189" t="str">
            <v>E13812996</v>
          </cell>
          <cell r="B189" t="str">
            <v>O RING</v>
          </cell>
          <cell r="C189">
            <v>151.30000000000001</v>
          </cell>
        </row>
        <row r="190">
          <cell r="A190" t="str">
            <v>E12587313</v>
          </cell>
          <cell r="B190" t="str">
            <v>WASH SWITCH</v>
          </cell>
          <cell r="C190">
            <v>149.5</v>
          </cell>
        </row>
        <row r="191">
          <cell r="A191" t="str">
            <v>E13805319</v>
          </cell>
          <cell r="B191" t="str">
            <v>O RING</v>
          </cell>
          <cell r="C191">
            <v>145.63999999999999</v>
          </cell>
        </row>
        <row r="192">
          <cell r="A192" t="str">
            <v>E12619274</v>
          </cell>
          <cell r="B192" t="str">
            <v>BULB</v>
          </cell>
          <cell r="C192">
            <v>144.63</v>
          </cell>
        </row>
        <row r="193">
          <cell r="A193" t="str">
            <v>E13812790</v>
          </cell>
          <cell r="B193" t="str">
            <v>O RING</v>
          </cell>
          <cell r="C193">
            <v>145.13</v>
          </cell>
        </row>
        <row r="194">
          <cell r="A194" t="str">
            <v>E4029811</v>
          </cell>
          <cell r="B194" t="str">
            <v>V BELT</v>
          </cell>
          <cell r="C194">
            <v>140.97</v>
          </cell>
        </row>
        <row r="195">
          <cell r="A195" t="str">
            <v>E13813697</v>
          </cell>
          <cell r="B195" t="str">
            <v>HOSE BULK</v>
          </cell>
          <cell r="C195">
            <v>91.5</v>
          </cell>
        </row>
        <row r="196">
          <cell r="A196" t="str">
            <v>E13804048</v>
          </cell>
          <cell r="B196" t="str">
            <v>O RING</v>
          </cell>
          <cell r="C196">
            <v>61.92</v>
          </cell>
        </row>
        <row r="197">
          <cell r="A197" t="str">
            <v>E12594421</v>
          </cell>
          <cell r="B197" t="str">
            <v>SNAP RING</v>
          </cell>
          <cell r="C197">
            <v>126.51</v>
          </cell>
        </row>
        <row r="198">
          <cell r="A198" t="str">
            <v>E9413419</v>
          </cell>
          <cell r="B198" t="str">
            <v>SNAP RING</v>
          </cell>
          <cell r="C198">
            <v>123.37</v>
          </cell>
        </row>
        <row r="199">
          <cell r="A199" t="str">
            <v>E4091929</v>
          </cell>
          <cell r="B199" t="str">
            <v xml:space="preserve">BALL </v>
          </cell>
          <cell r="C199">
            <v>65.88</v>
          </cell>
        </row>
        <row r="200">
          <cell r="A200" t="str">
            <v>E4090207</v>
          </cell>
          <cell r="B200" t="str">
            <v>SWITCH</v>
          </cell>
          <cell r="C200">
            <v>112.02</v>
          </cell>
        </row>
        <row r="201">
          <cell r="A201" t="str">
            <v>E9028238</v>
          </cell>
          <cell r="B201" t="str">
            <v xml:space="preserve">RING </v>
          </cell>
          <cell r="C201">
            <v>107.55</v>
          </cell>
        </row>
        <row r="202">
          <cell r="A202" t="str">
            <v>E13804047</v>
          </cell>
          <cell r="B202" t="str">
            <v>O RING</v>
          </cell>
          <cell r="C202">
            <v>50.1</v>
          </cell>
        </row>
        <row r="203">
          <cell r="A203" t="str">
            <v>E193102</v>
          </cell>
          <cell r="B203" t="str">
            <v>LAMP</v>
          </cell>
          <cell r="C203">
            <v>61.58</v>
          </cell>
        </row>
        <row r="204">
          <cell r="A204" t="str">
            <v>E13804061</v>
          </cell>
          <cell r="B204" t="str">
            <v>O RING</v>
          </cell>
          <cell r="C204">
            <v>60.76</v>
          </cell>
        </row>
        <row r="205">
          <cell r="A205" t="str">
            <v>E12003167</v>
          </cell>
          <cell r="B205" t="str">
            <v>GASKET</v>
          </cell>
          <cell r="C205">
            <v>103.87</v>
          </cell>
        </row>
        <row r="206">
          <cell r="A206" t="str">
            <v>E4031209</v>
          </cell>
          <cell r="B206" t="str">
            <v>GASKET</v>
          </cell>
          <cell r="C206">
            <v>59.25</v>
          </cell>
        </row>
        <row r="207">
          <cell r="A207" t="str">
            <v>E12612022</v>
          </cell>
          <cell r="B207" t="str">
            <v>HOSE</v>
          </cell>
          <cell r="C207">
            <v>47.73</v>
          </cell>
        </row>
        <row r="208">
          <cell r="A208" t="str">
            <v>E13966327</v>
          </cell>
          <cell r="B208" t="str">
            <v>BULB</v>
          </cell>
          <cell r="C208">
            <v>82.6</v>
          </cell>
        </row>
        <row r="209">
          <cell r="A209" t="str">
            <v>E4027369</v>
          </cell>
          <cell r="B209" t="str">
            <v>BULB</v>
          </cell>
          <cell r="C209">
            <v>82.22</v>
          </cell>
        </row>
        <row r="210">
          <cell r="A210" t="str">
            <v>E13804046</v>
          </cell>
          <cell r="B210" t="str">
            <v>O RING</v>
          </cell>
          <cell r="C210">
            <v>44.76</v>
          </cell>
        </row>
        <row r="211">
          <cell r="A211" t="str">
            <v>E12612021</v>
          </cell>
          <cell r="B211" t="str">
            <v>HOSE</v>
          </cell>
          <cell r="C211">
            <v>78.239999999999995</v>
          </cell>
        </row>
        <row r="212">
          <cell r="A212" t="str">
            <v>E178779</v>
          </cell>
          <cell r="B212" t="str">
            <v>VALVE</v>
          </cell>
          <cell r="C212">
            <v>45.19</v>
          </cell>
        </row>
        <row r="213">
          <cell r="A213" t="str">
            <v>E12978980</v>
          </cell>
          <cell r="B213" t="str">
            <v>O RING</v>
          </cell>
          <cell r="C213">
            <v>73.459999999999994</v>
          </cell>
        </row>
        <row r="214">
          <cell r="A214" t="str">
            <v>E13812978</v>
          </cell>
          <cell r="B214" t="str">
            <v>O RING</v>
          </cell>
          <cell r="C214">
            <v>42.12</v>
          </cell>
        </row>
        <row r="215">
          <cell r="A215" t="str">
            <v>E9247259</v>
          </cell>
          <cell r="B215" t="str">
            <v>GASKET</v>
          </cell>
          <cell r="C215">
            <v>39.19</v>
          </cell>
        </row>
        <row r="216">
          <cell r="A216" t="str">
            <v>E4087756</v>
          </cell>
          <cell r="B216" t="str">
            <v>O RING</v>
          </cell>
          <cell r="C216">
            <v>39.15</v>
          </cell>
        </row>
        <row r="217">
          <cell r="A217" t="str">
            <v>E13804060</v>
          </cell>
          <cell r="B217" t="str">
            <v>O RING</v>
          </cell>
          <cell r="C217">
            <v>41.11</v>
          </cell>
        </row>
        <row r="218">
          <cell r="A218" t="str">
            <v>E13805322</v>
          </cell>
          <cell r="B218" t="str">
            <v>O RING</v>
          </cell>
          <cell r="C218">
            <v>39.11</v>
          </cell>
        </row>
        <row r="219">
          <cell r="A219" t="str">
            <v>E12571626</v>
          </cell>
          <cell r="B219" t="str">
            <v>LAMP</v>
          </cell>
          <cell r="C219">
            <v>47.78</v>
          </cell>
        </row>
        <row r="220">
          <cell r="A220" t="str">
            <v>E12587438</v>
          </cell>
          <cell r="B220" t="str">
            <v>RESISTOR</v>
          </cell>
          <cell r="C220">
            <v>31.63</v>
          </cell>
        </row>
        <row r="221">
          <cell r="A221" t="str">
            <v>E13805316</v>
          </cell>
          <cell r="B221" t="str">
            <v>O RING</v>
          </cell>
          <cell r="C221">
            <v>50.72</v>
          </cell>
        </row>
        <row r="222">
          <cell r="A222" t="str">
            <v>E4074681</v>
          </cell>
          <cell r="B222" t="str">
            <v>BLEEDER</v>
          </cell>
          <cell r="C222">
            <v>48.18</v>
          </cell>
        </row>
        <row r="223">
          <cell r="A223" t="str">
            <v>E9035481</v>
          </cell>
          <cell r="B223" t="str">
            <v>GASKET</v>
          </cell>
          <cell r="C223">
            <v>44.94</v>
          </cell>
        </row>
        <row r="224">
          <cell r="A224" t="str">
            <v>E13806937</v>
          </cell>
          <cell r="B224" t="str">
            <v>O RING</v>
          </cell>
          <cell r="C224">
            <v>44.76</v>
          </cell>
        </row>
        <row r="225">
          <cell r="A225" t="str">
            <v>E13807013</v>
          </cell>
          <cell r="B225" t="str">
            <v>O RING</v>
          </cell>
          <cell r="C225">
            <v>25.97</v>
          </cell>
        </row>
        <row r="226">
          <cell r="A226" t="str">
            <v>E13804058</v>
          </cell>
          <cell r="B226" t="str">
            <v>O RING</v>
          </cell>
          <cell r="C226">
            <v>24.47</v>
          </cell>
        </row>
        <row r="227">
          <cell r="A227" t="str">
            <v>E9107795</v>
          </cell>
          <cell r="B227" t="str">
            <v>HOSE BULK</v>
          </cell>
          <cell r="C227">
            <v>40.6</v>
          </cell>
        </row>
        <row r="228">
          <cell r="A228" t="str">
            <v>E13805313</v>
          </cell>
          <cell r="B228" t="str">
            <v>O RING</v>
          </cell>
          <cell r="C228">
            <v>39.950000000000003</v>
          </cell>
        </row>
        <row r="229">
          <cell r="A229" t="str">
            <v>E9183385</v>
          </cell>
          <cell r="B229" t="str">
            <v>GASKET</v>
          </cell>
          <cell r="C229">
            <v>39.56</v>
          </cell>
        </row>
        <row r="230">
          <cell r="A230" t="str">
            <v>E11997242</v>
          </cell>
          <cell r="B230" t="str">
            <v>BULB</v>
          </cell>
          <cell r="C230">
            <v>22.47</v>
          </cell>
        </row>
        <row r="231">
          <cell r="A231" t="str">
            <v>E4015997</v>
          </cell>
          <cell r="B231" t="str">
            <v>HOSE BULK</v>
          </cell>
          <cell r="C231">
            <v>36.119999999999997</v>
          </cell>
        </row>
        <row r="232">
          <cell r="A232" t="str">
            <v>E13805145</v>
          </cell>
          <cell r="B232" t="str">
            <v>O RING</v>
          </cell>
          <cell r="C232">
            <v>18.98</v>
          </cell>
        </row>
        <row r="233">
          <cell r="A233" t="str">
            <v>E13801339</v>
          </cell>
          <cell r="B233" t="str">
            <v>GREASE FITTING</v>
          </cell>
          <cell r="C233">
            <v>28.85</v>
          </cell>
        </row>
        <row r="234">
          <cell r="A234" t="str">
            <v>E13807010</v>
          </cell>
          <cell r="B234" t="str">
            <v>O RING</v>
          </cell>
          <cell r="C234">
            <v>17.14</v>
          </cell>
        </row>
        <row r="235">
          <cell r="A235" t="str">
            <v>E13804057</v>
          </cell>
          <cell r="B235" t="str">
            <v>O RING</v>
          </cell>
          <cell r="C235">
            <v>16.989999999999998</v>
          </cell>
        </row>
        <row r="236">
          <cell r="A236" t="str">
            <v>E13805272</v>
          </cell>
          <cell r="B236" t="str">
            <v>O RING</v>
          </cell>
          <cell r="C236">
            <v>15.14</v>
          </cell>
        </row>
        <row r="237">
          <cell r="A237" t="str">
            <v>E9126040</v>
          </cell>
          <cell r="B237" t="str">
            <v>HOSE BULK</v>
          </cell>
          <cell r="C237">
            <v>11.96</v>
          </cell>
        </row>
        <row r="238">
          <cell r="A238" t="str">
            <v>E12591623</v>
          </cell>
          <cell r="B238" t="str">
            <v>FUSE</v>
          </cell>
          <cell r="C238">
            <v>21.61</v>
          </cell>
        </row>
        <row r="239">
          <cell r="A239" t="str">
            <v>E13805958</v>
          </cell>
          <cell r="B239" t="str">
            <v>O RING</v>
          </cell>
          <cell r="C239">
            <v>11.83</v>
          </cell>
        </row>
        <row r="240">
          <cell r="A240" t="str">
            <v>E13807012</v>
          </cell>
          <cell r="B240" t="str">
            <v>O RING</v>
          </cell>
          <cell r="C240">
            <v>20.47</v>
          </cell>
        </row>
        <row r="241">
          <cell r="A241" t="str">
            <v>E13804042</v>
          </cell>
          <cell r="B241" t="str">
            <v>O RING</v>
          </cell>
          <cell r="C241">
            <v>12.32</v>
          </cell>
        </row>
        <row r="242">
          <cell r="A242" t="str">
            <v>E13804055</v>
          </cell>
          <cell r="B242" t="str">
            <v>O RING</v>
          </cell>
          <cell r="C242">
            <v>10.81</v>
          </cell>
        </row>
        <row r="243">
          <cell r="A243" t="str">
            <v>E13804043</v>
          </cell>
          <cell r="B243" t="str">
            <v>O RING</v>
          </cell>
          <cell r="C243">
            <v>17.8</v>
          </cell>
        </row>
        <row r="244">
          <cell r="A244" t="str">
            <v>E1298069</v>
          </cell>
          <cell r="B244" t="str">
            <v>SEAL KIT</v>
          </cell>
          <cell r="C244" t="str">
            <v>unknown</v>
          </cell>
        </row>
        <row r="245">
          <cell r="A245" t="str">
            <v>E13804056</v>
          </cell>
          <cell r="B245" t="str">
            <v>O RING</v>
          </cell>
          <cell r="C245">
            <v>15.65</v>
          </cell>
        </row>
        <row r="246">
          <cell r="A246" t="str">
            <v>E13804059</v>
          </cell>
          <cell r="B246" t="str">
            <v>O RING</v>
          </cell>
          <cell r="C246">
            <v>14.64</v>
          </cell>
        </row>
        <row r="247">
          <cell r="A247" t="str">
            <v>E13804000</v>
          </cell>
          <cell r="B247" t="str">
            <v>O RING</v>
          </cell>
          <cell r="C247">
            <v>7.65</v>
          </cell>
        </row>
        <row r="248">
          <cell r="A248" t="str">
            <v>E13807008</v>
          </cell>
          <cell r="B248" t="str">
            <v>O RING</v>
          </cell>
          <cell r="C248">
            <v>12.62</v>
          </cell>
        </row>
        <row r="249">
          <cell r="A249" t="str">
            <v>E12003092</v>
          </cell>
          <cell r="B249" t="str">
            <v>BULK HOSE</v>
          </cell>
          <cell r="C249">
            <v>12.41</v>
          </cell>
        </row>
        <row r="250">
          <cell r="A250" t="str">
            <v>E13804266</v>
          </cell>
          <cell r="B250" t="str">
            <v>O RING</v>
          </cell>
          <cell r="C250">
            <v>4.32</v>
          </cell>
        </row>
        <row r="251">
          <cell r="A251" t="str">
            <v>E13807009</v>
          </cell>
          <cell r="B251" t="str">
            <v>O RING</v>
          </cell>
          <cell r="C251">
            <v>4.84</v>
          </cell>
        </row>
        <row r="252">
          <cell r="A252" t="str">
            <v>E1261560</v>
          </cell>
          <cell r="B252" t="str">
            <v>TERMINAL</v>
          </cell>
          <cell r="C252" t="str">
            <v>-</v>
          </cell>
        </row>
        <row r="253">
          <cell r="A253" t="str">
            <v>E12641560</v>
          </cell>
          <cell r="B253" t="str">
            <v>TERMINAL</v>
          </cell>
          <cell r="C253">
            <v>6.49</v>
          </cell>
        </row>
        <row r="254">
          <cell r="A254" t="str">
            <v>E1261559</v>
          </cell>
          <cell r="B254" t="str">
            <v>CONTACTOR</v>
          </cell>
          <cell r="C254" t="str">
            <v>-</v>
          </cell>
        </row>
        <row r="255">
          <cell r="A255" t="str">
            <v>E12641559</v>
          </cell>
          <cell r="B255" t="str">
            <v>CONTACTOR</v>
          </cell>
          <cell r="C255">
            <v>5.33</v>
          </cell>
        </row>
        <row r="256">
          <cell r="A256" t="str">
            <v>E12641561</v>
          </cell>
          <cell r="B256" t="str">
            <v>TERMINAL</v>
          </cell>
          <cell r="C256">
            <v>5.33</v>
          </cell>
        </row>
        <row r="257">
          <cell r="A257" t="str">
            <v>E12641561</v>
          </cell>
          <cell r="B257" t="str">
            <v>TERMINAL</v>
          </cell>
          <cell r="C257">
            <v>5.33</v>
          </cell>
        </row>
        <row r="258">
          <cell r="A258" t="str">
            <v>E13803495</v>
          </cell>
          <cell r="B258" t="str">
            <v>O RING</v>
          </cell>
          <cell r="C258">
            <v>4.99</v>
          </cell>
        </row>
        <row r="259">
          <cell r="A259" t="str">
            <v>E103385</v>
          </cell>
          <cell r="B259" t="str">
            <v>COTTER PIN</v>
          </cell>
          <cell r="C259">
            <v>0.49</v>
          </cell>
        </row>
      </sheetData>
      <sheetData sheetId="6"/>
      <sheetData sheetId="7">
        <row r="5">
          <cell r="A5" t="str">
            <v>E103385</v>
          </cell>
          <cell r="C5" t="str">
            <v>COTTER PIN</v>
          </cell>
          <cell r="D5">
            <v>1</v>
          </cell>
          <cell r="E5">
            <v>0.57999999999999996</v>
          </cell>
          <cell r="F5">
            <v>0.09</v>
          </cell>
          <cell r="G5">
            <v>0.09</v>
          </cell>
          <cell r="H5">
            <v>108</v>
          </cell>
        </row>
        <row r="6">
          <cell r="A6" t="str">
            <v>E12614451</v>
          </cell>
          <cell r="B6" t="str">
            <v>E12628608</v>
          </cell>
          <cell r="C6" t="str">
            <v>SEAL KIT</v>
          </cell>
          <cell r="D6">
            <v>1</v>
          </cell>
          <cell r="E6">
            <v>17034.98</v>
          </cell>
          <cell r="F6">
            <v>2747.58</v>
          </cell>
          <cell r="G6">
            <v>2747.58</v>
          </cell>
          <cell r="H6">
            <v>240</v>
          </cell>
        </row>
        <row r="7">
          <cell r="A7" t="str">
            <v>E12612332</v>
          </cell>
          <cell r="B7" t="str">
            <v>cold weather</v>
          </cell>
          <cell r="C7" t="str">
            <v>FACE SEAL</v>
          </cell>
          <cell r="D7">
            <v>1</v>
          </cell>
          <cell r="E7">
            <v>18158.77</v>
          </cell>
          <cell r="F7">
            <v>2928.83</v>
          </cell>
          <cell r="G7">
            <v>2928.83</v>
          </cell>
          <cell r="H7">
            <v>120</v>
          </cell>
        </row>
        <row r="8">
          <cell r="A8" t="str">
            <v>E13805319</v>
          </cell>
          <cell r="C8" t="str">
            <v>O RING</v>
          </cell>
          <cell r="D8">
            <v>1</v>
          </cell>
          <cell r="E8">
            <v>145.63999999999999</v>
          </cell>
          <cell r="F8">
            <v>23.49</v>
          </cell>
          <cell r="G8">
            <v>23.49</v>
          </cell>
          <cell r="H8">
            <v>223</v>
          </cell>
        </row>
        <row r="9">
          <cell r="A9" t="str">
            <v>E9107795</v>
          </cell>
          <cell r="C9" t="str">
            <v>HOSE BULK</v>
          </cell>
          <cell r="D9">
            <v>10</v>
          </cell>
          <cell r="E9">
            <v>40.6</v>
          </cell>
          <cell r="F9">
            <v>6.55</v>
          </cell>
          <cell r="G9">
            <v>65.48</v>
          </cell>
          <cell r="H9">
            <v>20</v>
          </cell>
        </row>
        <row r="10">
          <cell r="A10" t="str">
            <v>E12636691</v>
          </cell>
          <cell r="C10" t="str">
            <v>CIRCUIT BOARD</v>
          </cell>
          <cell r="D10">
            <v>1</v>
          </cell>
          <cell r="E10">
            <v>17356.919999999998</v>
          </cell>
          <cell r="F10">
            <v>2799.5</v>
          </cell>
          <cell r="G10">
            <v>2799.5</v>
          </cell>
          <cell r="H10">
            <v>83</v>
          </cell>
        </row>
        <row r="11">
          <cell r="A11" t="str">
            <v>E4019512</v>
          </cell>
          <cell r="C11" t="str">
            <v>RING</v>
          </cell>
          <cell r="D11">
            <v>4</v>
          </cell>
          <cell r="E11">
            <v>430.84</v>
          </cell>
          <cell r="F11">
            <v>69.489999999999995</v>
          </cell>
          <cell r="G11">
            <v>277.95999999999998</v>
          </cell>
          <cell r="H11">
            <v>175</v>
          </cell>
        </row>
        <row r="12">
          <cell r="A12" t="str">
            <v>E12975024</v>
          </cell>
          <cell r="C12" t="str">
            <v>CONTROL KIT</v>
          </cell>
          <cell r="D12">
            <v>1</v>
          </cell>
          <cell r="E12">
            <v>6224.1</v>
          </cell>
          <cell r="F12">
            <v>1003.89</v>
          </cell>
          <cell r="G12">
            <v>1003.89</v>
          </cell>
          <cell r="H12">
            <v>158</v>
          </cell>
        </row>
        <row r="13">
          <cell r="A13" t="str">
            <v>E12584223</v>
          </cell>
          <cell r="C13" t="str">
            <v>WASHER PUMP</v>
          </cell>
          <cell r="D13">
            <v>1</v>
          </cell>
          <cell r="E13">
            <v>366.17</v>
          </cell>
          <cell r="F13">
            <v>59.06</v>
          </cell>
          <cell r="G13">
            <v>59.06</v>
          </cell>
          <cell r="H13">
            <v>47</v>
          </cell>
        </row>
        <row r="14">
          <cell r="A14" t="str">
            <v>E12598119</v>
          </cell>
          <cell r="C14" t="str">
            <v>HOIST CUT OUT SENSOR</v>
          </cell>
          <cell r="D14">
            <v>1</v>
          </cell>
          <cell r="E14">
            <v>8253.0300000000007</v>
          </cell>
          <cell r="F14">
            <v>1331.13</v>
          </cell>
          <cell r="G14">
            <v>1331.13</v>
          </cell>
          <cell r="H14">
            <v>67</v>
          </cell>
        </row>
        <row r="15">
          <cell r="A15" t="str">
            <v>E12586563</v>
          </cell>
          <cell r="C15" t="str">
            <v>PARK BRAKE SWITCH</v>
          </cell>
          <cell r="D15">
            <v>1</v>
          </cell>
          <cell r="E15">
            <v>3180.22</v>
          </cell>
          <cell r="F15">
            <v>512.94000000000005</v>
          </cell>
          <cell r="G15">
            <v>512.94000000000005</v>
          </cell>
          <cell r="H15">
            <v>60</v>
          </cell>
        </row>
        <row r="16">
          <cell r="A16" t="str">
            <v>E4031899</v>
          </cell>
          <cell r="C16" t="str">
            <v xml:space="preserve">SHUT OFF VALVE </v>
          </cell>
          <cell r="D16">
            <v>1</v>
          </cell>
          <cell r="E16">
            <v>1088.5</v>
          </cell>
          <cell r="F16">
            <v>175.56</v>
          </cell>
          <cell r="G16">
            <v>175.56</v>
          </cell>
          <cell r="H16">
            <v>24</v>
          </cell>
        </row>
        <row r="17">
          <cell r="A17" t="str">
            <v>E13806937</v>
          </cell>
          <cell r="C17" t="str">
            <v>O RING</v>
          </cell>
          <cell r="D17">
            <v>1</v>
          </cell>
          <cell r="E17">
            <v>44.76</v>
          </cell>
          <cell r="F17">
            <v>7.22</v>
          </cell>
          <cell r="G17">
            <v>7.22</v>
          </cell>
          <cell r="H17">
            <v>165</v>
          </cell>
        </row>
        <row r="18">
          <cell r="A18" t="str">
            <v>E13805322</v>
          </cell>
          <cell r="C18" t="str">
            <v>O RING</v>
          </cell>
          <cell r="D18">
            <v>1</v>
          </cell>
          <cell r="E18">
            <v>66.819999999999993</v>
          </cell>
          <cell r="F18">
            <v>10.78</v>
          </cell>
          <cell r="G18">
            <v>10.78</v>
          </cell>
          <cell r="H18">
            <v>142</v>
          </cell>
        </row>
        <row r="19">
          <cell r="A19" t="str">
            <v>E13812996</v>
          </cell>
          <cell r="C19" t="str">
            <v>O RING</v>
          </cell>
          <cell r="D19">
            <v>1</v>
          </cell>
          <cell r="E19">
            <v>151.30000000000001</v>
          </cell>
          <cell r="F19">
            <v>24.4</v>
          </cell>
          <cell r="G19">
            <v>24.4</v>
          </cell>
          <cell r="H19">
            <v>218</v>
          </cell>
        </row>
        <row r="20">
          <cell r="A20" t="str">
            <v>E13805313</v>
          </cell>
          <cell r="C20" t="str">
            <v>O RING</v>
          </cell>
          <cell r="D20">
            <v>3</v>
          </cell>
          <cell r="E20">
            <v>39.950000000000003</v>
          </cell>
          <cell r="F20">
            <v>6.44</v>
          </cell>
          <cell r="G20">
            <v>19.329999999999998</v>
          </cell>
          <cell r="H20">
            <v>139</v>
          </cell>
        </row>
        <row r="21">
          <cell r="A21" t="str">
            <v>E12594814</v>
          </cell>
          <cell r="C21" t="str">
            <v>SPACER</v>
          </cell>
          <cell r="D21">
            <v>1</v>
          </cell>
          <cell r="E21">
            <v>194.97</v>
          </cell>
          <cell r="F21">
            <v>31.45</v>
          </cell>
          <cell r="G21">
            <v>31.45</v>
          </cell>
          <cell r="H21">
            <v>237</v>
          </cell>
        </row>
        <row r="22">
          <cell r="A22" t="str">
            <v>E828587</v>
          </cell>
          <cell r="C22" t="str">
            <v>BUZZER</v>
          </cell>
          <cell r="D22">
            <v>1</v>
          </cell>
          <cell r="E22">
            <v>473.86</v>
          </cell>
          <cell r="F22">
            <v>76.430000000000007</v>
          </cell>
          <cell r="G22">
            <v>76.430000000000007</v>
          </cell>
          <cell r="H22">
            <v>97</v>
          </cell>
        </row>
        <row r="23">
          <cell r="A23" t="str">
            <v>E12611798</v>
          </cell>
          <cell r="C23" t="str">
            <v>IGNITION SWITCH</v>
          </cell>
          <cell r="D23">
            <v>1</v>
          </cell>
          <cell r="E23">
            <v>522.29999999999995</v>
          </cell>
          <cell r="F23">
            <v>84.24</v>
          </cell>
          <cell r="G23">
            <v>84.24</v>
          </cell>
          <cell r="H23">
            <v>96</v>
          </cell>
        </row>
        <row r="24">
          <cell r="A24" t="str">
            <v>E12614737</v>
          </cell>
          <cell r="C24" t="str">
            <v>ENGINE CUT OFF SWITCH</v>
          </cell>
          <cell r="D24">
            <v>1</v>
          </cell>
          <cell r="E24">
            <v>681</v>
          </cell>
          <cell r="F24">
            <v>109.84</v>
          </cell>
          <cell r="G24">
            <v>109.84</v>
          </cell>
          <cell r="H24">
            <v>79</v>
          </cell>
        </row>
        <row r="25">
          <cell r="A25" t="str">
            <v>E12565090</v>
          </cell>
          <cell r="C25" t="str">
            <v>SOLENOID</v>
          </cell>
          <cell r="D25">
            <v>1</v>
          </cell>
          <cell r="E25">
            <v>429.5</v>
          </cell>
          <cell r="F25">
            <v>69.27</v>
          </cell>
          <cell r="G25">
            <v>69.27</v>
          </cell>
          <cell r="H25">
            <v>78</v>
          </cell>
        </row>
        <row r="26">
          <cell r="A26" t="str">
            <v>E12610500</v>
          </cell>
          <cell r="C26" t="str">
            <v>BLADE, WIPER</v>
          </cell>
          <cell r="D26">
            <v>1</v>
          </cell>
          <cell r="E26">
            <v>384.14</v>
          </cell>
          <cell r="F26">
            <v>61.96</v>
          </cell>
          <cell r="G26">
            <v>61.96</v>
          </cell>
          <cell r="H26">
            <v>1</v>
          </cell>
        </row>
        <row r="27">
          <cell r="A27" t="str">
            <v>E12979361</v>
          </cell>
          <cell r="C27" t="str">
            <v>SEAL KIT</v>
          </cell>
          <cell r="D27">
            <v>1</v>
          </cell>
          <cell r="E27">
            <v>1368</v>
          </cell>
          <cell r="F27">
            <v>220.65</v>
          </cell>
          <cell r="G27">
            <v>220.65</v>
          </cell>
          <cell r="H27">
            <v>163</v>
          </cell>
        </row>
        <row r="28">
          <cell r="A28" t="str">
            <v>E13805316</v>
          </cell>
          <cell r="C28" t="str">
            <v>O RING</v>
          </cell>
          <cell r="D28">
            <v>1</v>
          </cell>
          <cell r="E28">
            <v>50.72</v>
          </cell>
          <cell r="F28">
            <v>8.18</v>
          </cell>
          <cell r="G28">
            <v>8.18</v>
          </cell>
          <cell r="H28">
            <v>221</v>
          </cell>
        </row>
        <row r="29">
          <cell r="A29" t="str">
            <v>E4008946</v>
          </cell>
          <cell r="C29" t="str">
            <v>GASKET</v>
          </cell>
          <cell r="D29">
            <v>7</v>
          </cell>
          <cell r="E29">
            <v>660.11</v>
          </cell>
          <cell r="F29">
            <v>106.47</v>
          </cell>
          <cell r="G29">
            <v>745.29</v>
          </cell>
          <cell r="H29">
            <v>11</v>
          </cell>
        </row>
        <row r="30">
          <cell r="A30" t="str">
            <v>E13804060</v>
          </cell>
          <cell r="C30" t="str">
            <v>O RING</v>
          </cell>
          <cell r="D30">
            <v>1</v>
          </cell>
          <cell r="E30">
            <v>69.12</v>
          </cell>
          <cell r="F30">
            <v>11.15</v>
          </cell>
          <cell r="G30">
            <v>11.15</v>
          </cell>
          <cell r="H30">
            <v>124</v>
          </cell>
        </row>
        <row r="31">
          <cell r="A31" t="str">
            <v>E13804056</v>
          </cell>
          <cell r="C31" t="str">
            <v>O RING</v>
          </cell>
          <cell r="D31">
            <v>5</v>
          </cell>
          <cell r="E31">
            <v>15.65</v>
          </cell>
          <cell r="F31">
            <v>2.52</v>
          </cell>
          <cell r="G31">
            <v>12.62</v>
          </cell>
          <cell r="H31">
            <v>135</v>
          </cell>
        </row>
        <row r="32">
          <cell r="A32" t="str">
            <v>E4022643</v>
          </cell>
          <cell r="C32" t="str">
            <v>INDICATOR</v>
          </cell>
          <cell r="D32">
            <v>1</v>
          </cell>
          <cell r="E32">
            <v>226.78</v>
          </cell>
          <cell r="F32">
            <v>36.58</v>
          </cell>
          <cell r="G32">
            <v>36.58</v>
          </cell>
          <cell r="H32">
            <v>16</v>
          </cell>
        </row>
        <row r="33">
          <cell r="A33" t="str">
            <v>E12611863</v>
          </cell>
          <cell r="C33" t="str">
            <v>HOSE</v>
          </cell>
          <cell r="D33">
            <v>1</v>
          </cell>
          <cell r="E33">
            <v>918.46</v>
          </cell>
          <cell r="F33">
            <v>148.13999999999999</v>
          </cell>
          <cell r="G33">
            <v>148.13999999999999</v>
          </cell>
          <cell r="H33">
            <v>26</v>
          </cell>
        </row>
        <row r="34">
          <cell r="A34" t="str">
            <v>E12612838</v>
          </cell>
          <cell r="C34" t="str">
            <v>HANDLE</v>
          </cell>
          <cell r="D34">
            <v>1</v>
          </cell>
          <cell r="E34">
            <v>979.86</v>
          </cell>
          <cell r="F34">
            <v>158.04</v>
          </cell>
          <cell r="G34">
            <v>158.04</v>
          </cell>
          <cell r="H34">
            <v>191</v>
          </cell>
        </row>
        <row r="35">
          <cell r="A35" t="str">
            <v>E12598660</v>
          </cell>
          <cell r="C35" t="str">
            <v>SEAL</v>
          </cell>
          <cell r="D35">
            <v>1</v>
          </cell>
          <cell r="E35">
            <v>8349.18</v>
          </cell>
          <cell r="F35">
            <v>1346.64</v>
          </cell>
          <cell r="G35">
            <v>1346.64</v>
          </cell>
          <cell r="H35">
            <v>179</v>
          </cell>
        </row>
        <row r="36">
          <cell r="A36" t="str">
            <v>E13813697</v>
          </cell>
          <cell r="C36" t="str">
            <v>HOSE BULK</v>
          </cell>
          <cell r="D36">
            <v>10</v>
          </cell>
          <cell r="E36">
            <v>140.06</v>
          </cell>
          <cell r="F36">
            <v>22.59</v>
          </cell>
          <cell r="G36">
            <v>225.9</v>
          </cell>
          <cell r="H36">
            <v>3</v>
          </cell>
        </row>
        <row r="37">
          <cell r="A37" t="str">
            <v>E12003167</v>
          </cell>
          <cell r="C37" t="str">
            <v>GASKET</v>
          </cell>
          <cell r="D37">
            <v>2</v>
          </cell>
          <cell r="E37">
            <v>103.87</v>
          </cell>
          <cell r="F37">
            <v>16.75</v>
          </cell>
          <cell r="G37">
            <v>33.51</v>
          </cell>
          <cell r="H37">
            <v>14</v>
          </cell>
        </row>
        <row r="38">
          <cell r="A38" t="str">
            <v>E12598161</v>
          </cell>
          <cell r="C38" t="str">
            <v>FLASHER</v>
          </cell>
          <cell r="D38">
            <v>1</v>
          </cell>
          <cell r="E38">
            <v>873.65</v>
          </cell>
          <cell r="F38">
            <v>140.91</v>
          </cell>
          <cell r="G38">
            <v>140.91</v>
          </cell>
          <cell r="H38">
            <v>50</v>
          </cell>
        </row>
        <row r="39">
          <cell r="A39" t="str">
            <v>E4099649</v>
          </cell>
          <cell r="C39" t="str">
            <v>SEAL AND RING KIT</v>
          </cell>
          <cell r="D39">
            <v>1</v>
          </cell>
          <cell r="E39">
            <v>1681.08</v>
          </cell>
          <cell r="F39">
            <v>271.14</v>
          </cell>
          <cell r="G39">
            <v>271.14</v>
          </cell>
          <cell r="H39">
            <v>148</v>
          </cell>
        </row>
        <row r="40">
          <cell r="A40" t="str">
            <v>E4063063</v>
          </cell>
          <cell r="C40" t="str">
            <v>LIQUID GASKET</v>
          </cell>
          <cell r="D40">
            <v>1</v>
          </cell>
          <cell r="E40">
            <v>837.5</v>
          </cell>
          <cell r="F40">
            <v>135.08000000000001</v>
          </cell>
          <cell r="G40">
            <v>135.08000000000001</v>
          </cell>
          <cell r="H40">
            <v>117</v>
          </cell>
        </row>
        <row r="41">
          <cell r="A41" t="str">
            <v>E4021432</v>
          </cell>
          <cell r="C41" t="str">
            <v>ADHESIVE</v>
          </cell>
          <cell r="D41">
            <v>1</v>
          </cell>
          <cell r="E41">
            <v>261.83999999999997</v>
          </cell>
          <cell r="F41">
            <v>42.23</v>
          </cell>
          <cell r="G41">
            <v>42.23</v>
          </cell>
          <cell r="H41">
            <v>112</v>
          </cell>
        </row>
        <row r="42">
          <cell r="A42" t="str">
            <v>E11042104</v>
          </cell>
          <cell r="C42" t="str">
            <v>DISPLAY</v>
          </cell>
          <cell r="D42">
            <v>1</v>
          </cell>
          <cell r="E42">
            <v>18212.88</v>
          </cell>
          <cell r="F42">
            <v>2937.56</v>
          </cell>
          <cell r="G42">
            <v>2937.56</v>
          </cell>
          <cell r="H42">
            <v>89</v>
          </cell>
        </row>
        <row r="43">
          <cell r="A43" t="str">
            <v>E13804043</v>
          </cell>
          <cell r="C43" t="str">
            <v>O RING</v>
          </cell>
          <cell r="D43">
            <v>3</v>
          </cell>
          <cell r="E43">
            <v>17.8</v>
          </cell>
          <cell r="F43">
            <v>2.87</v>
          </cell>
          <cell r="G43">
            <v>8.61</v>
          </cell>
          <cell r="H43">
            <v>132</v>
          </cell>
        </row>
        <row r="44">
          <cell r="A44" t="str">
            <v>E12594016</v>
          </cell>
          <cell r="C44" t="str">
            <v>SEAL KIT</v>
          </cell>
          <cell r="D44">
            <v>1</v>
          </cell>
          <cell r="E44">
            <v>22192.79</v>
          </cell>
          <cell r="F44">
            <v>3579.48</v>
          </cell>
          <cell r="G44">
            <v>3579.48</v>
          </cell>
          <cell r="H44">
            <v>177</v>
          </cell>
        </row>
        <row r="45">
          <cell r="A45" t="str">
            <v>E12587176</v>
          </cell>
          <cell r="C45" t="str">
            <v>AIR FITLER SWITCH</v>
          </cell>
          <cell r="D45">
            <v>1</v>
          </cell>
          <cell r="E45">
            <v>930.81</v>
          </cell>
          <cell r="F45">
            <v>150.13</v>
          </cell>
          <cell r="G45">
            <v>150.13</v>
          </cell>
          <cell r="H45">
            <v>68</v>
          </cell>
        </row>
        <row r="46">
          <cell r="A46" t="str">
            <v>E12611810</v>
          </cell>
          <cell r="C46" t="str">
            <v>OVERFLOW HOSE</v>
          </cell>
          <cell r="D46">
            <v>1</v>
          </cell>
          <cell r="E46">
            <v>324.54000000000002</v>
          </cell>
          <cell r="F46">
            <v>52.35</v>
          </cell>
          <cell r="G46">
            <v>52.35</v>
          </cell>
          <cell r="H46">
            <v>32</v>
          </cell>
        </row>
        <row r="47">
          <cell r="A47" t="str">
            <v>E12612021</v>
          </cell>
          <cell r="C47" t="str">
            <v>HOSE</v>
          </cell>
          <cell r="D47">
            <v>1</v>
          </cell>
          <cell r="E47">
            <v>78.239999999999995</v>
          </cell>
          <cell r="F47">
            <v>12.62</v>
          </cell>
          <cell r="G47">
            <v>12.62</v>
          </cell>
          <cell r="H47">
            <v>31</v>
          </cell>
        </row>
        <row r="48">
          <cell r="A48" t="str">
            <v>E12599234</v>
          </cell>
          <cell r="C48" t="str">
            <v>SUCTION HOSE</v>
          </cell>
          <cell r="D48">
            <v>1</v>
          </cell>
          <cell r="E48">
            <v>817.84</v>
          </cell>
          <cell r="F48">
            <v>131.91</v>
          </cell>
          <cell r="G48">
            <v>131.91</v>
          </cell>
          <cell r="H48">
            <v>222</v>
          </cell>
        </row>
        <row r="49">
          <cell r="A49" t="str">
            <v>E12612022</v>
          </cell>
          <cell r="C49" t="str">
            <v>HOSE</v>
          </cell>
          <cell r="D49">
            <v>1</v>
          </cell>
          <cell r="E49">
            <v>83.64</v>
          </cell>
          <cell r="F49">
            <v>13.49</v>
          </cell>
          <cell r="G49">
            <v>13.49</v>
          </cell>
          <cell r="H49">
            <v>30</v>
          </cell>
        </row>
        <row r="50">
          <cell r="A50" t="str">
            <v>E12618224</v>
          </cell>
          <cell r="C50" t="str">
            <v>GASKET</v>
          </cell>
          <cell r="D50">
            <v>1</v>
          </cell>
          <cell r="E50">
            <v>627.78</v>
          </cell>
          <cell r="F50">
            <v>101.25</v>
          </cell>
          <cell r="G50">
            <v>101.25</v>
          </cell>
          <cell r="H50">
            <v>23</v>
          </cell>
        </row>
        <row r="51">
          <cell r="A51" t="str">
            <v>E12595819</v>
          </cell>
          <cell r="C51" t="str">
            <v>RUBBER BELT</v>
          </cell>
          <cell r="D51">
            <v>1</v>
          </cell>
          <cell r="E51">
            <v>607.55999999999995</v>
          </cell>
          <cell r="F51">
            <v>97.99</v>
          </cell>
          <cell r="G51">
            <v>97.99</v>
          </cell>
          <cell r="H51">
            <v>190</v>
          </cell>
        </row>
        <row r="52">
          <cell r="A52" t="str">
            <v>E12618225</v>
          </cell>
          <cell r="C52" t="str">
            <v>GASKET</v>
          </cell>
          <cell r="D52">
            <v>1</v>
          </cell>
          <cell r="E52">
            <v>531.74</v>
          </cell>
          <cell r="F52">
            <v>85.76</v>
          </cell>
          <cell r="G52">
            <v>85.76</v>
          </cell>
          <cell r="H52">
            <v>22</v>
          </cell>
        </row>
        <row r="53">
          <cell r="A53" t="str">
            <v>E13813317</v>
          </cell>
          <cell r="C53" t="str">
            <v>BULK HOSE</v>
          </cell>
          <cell r="D53">
            <v>10</v>
          </cell>
          <cell r="E53">
            <v>261.32</v>
          </cell>
          <cell r="F53">
            <v>42.15</v>
          </cell>
          <cell r="G53">
            <v>421.48</v>
          </cell>
          <cell r="H53">
            <v>110</v>
          </cell>
        </row>
        <row r="54">
          <cell r="A54" t="str">
            <v>E12632073</v>
          </cell>
          <cell r="C54" t="str">
            <v>CIRCUIT BOARD</v>
          </cell>
          <cell r="D54">
            <v>1</v>
          </cell>
          <cell r="E54">
            <v>17749.080000000002</v>
          </cell>
          <cell r="F54">
            <v>2862.75</v>
          </cell>
          <cell r="G54">
            <v>2862.75</v>
          </cell>
          <cell r="H54">
            <v>48</v>
          </cell>
        </row>
        <row r="55">
          <cell r="A55" t="str">
            <v>E12594659</v>
          </cell>
          <cell r="C55" t="str">
            <v>RING</v>
          </cell>
          <cell r="D55">
            <v>1</v>
          </cell>
          <cell r="E55">
            <v>992.43</v>
          </cell>
          <cell r="F55">
            <v>160.07</v>
          </cell>
          <cell r="G55">
            <v>160.07</v>
          </cell>
          <cell r="H55">
            <v>149</v>
          </cell>
        </row>
        <row r="56">
          <cell r="A56" t="str">
            <v>E4034884</v>
          </cell>
          <cell r="C56" t="str">
            <v>RING</v>
          </cell>
          <cell r="D56">
            <v>1</v>
          </cell>
          <cell r="E56">
            <v>323.17</v>
          </cell>
          <cell r="F56">
            <v>52.12</v>
          </cell>
          <cell r="G56">
            <v>52.12</v>
          </cell>
          <cell r="H56">
            <v>10</v>
          </cell>
        </row>
        <row r="57">
          <cell r="A57" t="str">
            <v>E4031209</v>
          </cell>
          <cell r="C57" t="str">
            <v>GASKET</v>
          </cell>
          <cell r="D57">
            <v>1</v>
          </cell>
          <cell r="E57">
            <v>89.25</v>
          </cell>
          <cell r="F57">
            <v>14.4</v>
          </cell>
          <cell r="G57">
            <v>14.4</v>
          </cell>
          <cell r="H57">
            <v>12</v>
          </cell>
        </row>
        <row r="58">
          <cell r="A58" t="str">
            <v>E4029333</v>
          </cell>
          <cell r="C58" t="str">
            <v>VENT HI-F</v>
          </cell>
          <cell r="D58">
            <v>1</v>
          </cell>
          <cell r="E58">
            <v>7010.05</v>
          </cell>
          <cell r="F58">
            <v>1130.6500000000001</v>
          </cell>
          <cell r="G58">
            <v>1130.6500000000001</v>
          </cell>
          <cell r="H58">
            <v>4</v>
          </cell>
        </row>
        <row r="59">
          <cell r="A59" t="str">
            <v>E9035481</v>
          </cell>
          <cell r="C59" t="str">
            <v>GASKET</v>
          </cell>
          <cell r="D59">
            <v>2</v>
          </cell>
          <cell r="E59">
            <v>44.94</v>
          </cell>
          <cell r="F59">
            <v>7.25</v>
          </cell>
          <cell r="G59">
            <v>14.5</v>
          </cell>
          <cell r="H59">
            <v>15</v>
          </cell>
        </row>
        <row r="60">
          <cell r="A60" t="str">
            <v>E12588730</v>
          </cell>
          <cell r="C60" t="str">
            <v>SPRING</v>
          </cell>
          <cell r="D60">
            <v>1</v>
          </cell>
          <cell r="E60">
            <v>276.02999999999997</v>
          </cell>
          <cell r="F60">
            <v>44.52</v>
          </cell>
          <cell r="G60">
            <v>44.52</v>
          </cell>
          <cell r="H60">
            <v>143</v>
          </cell>
        </row>
        <row r="61">
          <cell r="A61" t="str">
            <v>E9193382</v>
          </cell>
          <cell r="C61" t="str">
            <v>BREATHER</v>
          </cell>
          <cell r="D61">
            <v>1</v>
          </cell>
          <cell r="E61">
            <v>1440.63</v>
          </cell>
          <cell r="F61">
            <v>232.36</v>
          </cell>
          <cell r="G61">
            <v>232.36</v>
          </cell>
          <cell r="H61">
            <v>220</v>
          </cell>
        </row>
        <row r="62">
          <cell r="A62" t="str">
            <v>E12613945</v>
          </cell>
          <cell r="C62" t="str">
            <v>O RING</v>
          </cell>
          <cell r="D62">
            <v>1</v>
          </cell>
          <cell r="E62">
            <v>795.7</v>
          </cell>
          <cell r="F62">
            <v>128.34</v>
          </cell>
          <cell r="G62">
            <v>128.34</v>
          </cell>
          <cell r="H62">
            <v>123</v>
          </cell>
        </row>
        <row r="63">
          <cell r="A63" t="str">
            <v>E4078722</v>
          </cell>
          <cell r="C63" t="str">
            <v>BALL VALVE</v>
          </cell>
          <cell r="D63">
            <v>1</v>
          </cell>
          <cell r="E63">
            <v>1137.21</v>
          </cell>
          <cell r="F63">
            <v>183.42</v>
          </cell>
          <cell r="G63">
            <v>183.42</v>
          </cell>
          <cell r="H63">
            <v>25</v>
          </cell>
        </row>
        <row r="64">
          <cell r="A64" t="str">
            <v>E12596708</v>
          </cell>
          <cell r="C64" t="str">
            <v>SENSOR</v>
          </cell>
          <cell r="D64">
            <v>1</v>
          </cell>
          <cell r="E64">
            <v>13424.66</v>
          </cell>
          <cell r="F64">
            <v>2165.27</v>
          </cell>
          <cell r="G64">
            <v>2165.27</v>
          </cell>
          <cell r="H64">
            <v>62</v>
          </cell>
        </row>
        <row r="65">
          <cell r="A65" t="str">
            <v>E12583699</v>
          </cell>
          <cell r="C65" t="str">
            <v>FLOOD LAMP</v>
          </cell>
          <cell r="D65">
            <v>2</v>
          </cell>
          <cell r="E65">
            <v>1160.3599999999999</v>
          </cell>
          <cell r="F65">
            <v>187.15</v>
          </cell>
          <cell r="G65">
            <v>374.31</v>
          </cell>
          <cell r="H65">
            <v>77</v>
          </cell>
        </row>
        <row r="66">
          <cell r="A66" t="str">
            <v>E9126040</v>
          </cell>
          <cell r="C66" t="str">
            <v>HOSE BULK</v>
          </cell>
          <cell r="D66">
            <v>10</v>
          </cell>
          <cell r="E66">
            <v>24.75</v>
          </cell>
          <cell r="F66">
            <v>3.99</v>
          </cell>
          <cell r="G66">
            <v>39.92</v>
          </cell>
          <cell r="H66">
            <v>21</v>
          </cell>
        </row>
        <row r="67">
          <cell r="A67" t="str">
            <v>E12612901</v>
          </cell>
          <cell r="C67" t="str">
            <v>LATCH</v>
          </cell>
          <cell r="D67">
            <v>1</v>
          </cell>
          <cell r="E67">
            <v>1097.3599999999999</v>
          </cell>
          <cell r="F67">
            <v>176.99</v>
          </cell>
          <cell r="G67">
            <v>176.99</v>
          </cell>
          <cell r="H67">
            <v>192</v>
          </cell>
        </row>
        <row r="68">
          <cell r="A68" t="str">
            <v>E12977958</v>
          </cell>
          <cell r="C68" t="str">
            <v>CARTRIDGE</v>
          </cell>
          <cell r="D68">
            <v>1</v>
          </cell>
          <cell r="E68">
            <v>8643.84</v>
          </cell>
          <cell r="F68">
            <v>1394.17</v>
          </cell>
          <cell r="G68">
            <v>1394.17</v>
          </cell>
          <cell r="H68">
            <v>230</v>
          </cell>
        </row>
        <row r="69">
          <cell r="A69" t="str">
            <v>E12598576</v>
          </cell>
          <cell r="C69" t="str">
            <v>INCLINOMETER SWNSOR</v>
          </cell>
          <cell r="D69">
            <v>1</v>
          </cell>
          <cell r="E69">
            <v>10944.4</v>
          </cell>
          <cell r="F69">
            <v>1765.23</v>
          </cell>
          <cell r="G69">
            <v>1765.23</v>
          </cell>
          <cell r="H69">
            <v>103</v>
          </cell>
        </row>
        <row r="70">
          <cell r="A70" t="str">
            <v>E9028238</v>
          </cell>
          <cell r="C70" t="str">
            <v xml:space="preserve">RING </v>
          </cell>
          <cell r="D70">
            <v>2</v>
          </cell>
          <cell r="E70">
            <v>107.55</v>
          </cell>
          <cell r="F70">
            <v>17.350000000000001</v>
          </cell>
          <cell r="G70">
            <v>34.69</v>
          </cell>
          <cell r="H70">
            <v>13</v>
          </cell>
        </row>
        <row r="71">
          <cell r="A71" t="str">
            <v>E12612902</v>
          </cell>
          <cell r="C71" t="str">
            <v>LATCH</v>
          </cell>
          <cell r="D71">
            <v>1</v>
          </cell>
          <cell r="E71">
            <v>1261.96</v>
          </cell>
          <cell r="F71">
            <v>203.54</v>
          </cell>
          <cell r="G71">
            <v>203.54</v>
          </cell>
          <cell r="H71">
            <v>194</v>
          </cell>
        </row>
        <row r="72">
          <cell r="A72" t="str">
            <v>E4091755</v>
          </cell>
          <cell r="C72" t="str">
            <v>WIPER ARM</v>
          </cell>
          <cell r="D72">
            <v>1</v>
          </cell>
          <cell r="E72">
            <v>795.89</v>
          </cell>
          <cell r="F72">
            <v>128.37</v>
          </cell>
          <cell r="G72">
            <v>128.37</v>
          </cell>
          <cell r="H72">
            <v>45</v>
          </cell>
        </row>
        <row r="73">
          <cell r="A73" t="str">
            <v>E178779</v>
          </cell>
          <cell r="C73" t="str">
            <v>VALVE</v>
          </cell>
          <cell r="D73">
            <v>1</v>
          </cell>
          <cell r="E73">
            <v>74.22</v>
          </cell>
          <cell r="F73">
            <v>11.97</v>
          </cell>
          <cell r="G73">
            <v>11.97</v>
          </cell>
          <cell r="H73">
            <v>150</v>
          </cell>
        </row>
        <row r="74">
          <cell r="A74" t="str">
            <v>E12614921</v>
          </cell>
          <cell r="C74" t="str">
            <v>FRONT AIR VALVE</v>
          </cell>
          <cell r="D74">
            <v>1</v>
          </cell>
          <cell r="E74">
            <v>2270.77</v>
          </cell>
          <cell r="F74">
            <v>366.25</v>
          </cell>
          <cell r="G74">
            <v>366.25</v>
          </cell>
          <cell r="H74">
            <v>180</v>
          </cell>
        </row>
        <row r="75">
          <cell r="A75" t="str">
            <v>E12975336</v>
          </cell>
          <cell r="C75" t="str">
            <v>VALVE</v>
          </cell>
          <cell r="D75">
            <v>1</v>
          </cell>
          <cell r="E75">
            <v>3392.42</v>
          </cell>
          <cell r="F75">
            <v>547.16</v>
          </cell>
          <cell r="G75">
            <v>547.16</v>
          </cell>
          <cell r="H75">
            <v>231</v>
          </cell>
        </row>
        <row r="76">
          <cell r="A76" t="str">
            <v>E12979296</v>
          </cell>
          <cell r="C76" t="str">
            <v>SEAL KIT</v>
          </cell>
          <cell r="D76">
            <v>1</v>
          </cell>
          <cell r="E76">
            <v>918.89</v>
          </cell>
          <cell r="F76">
            <v>148.21</v>
          </cell>
          <cell r="G76">
            <v>148.21</v>
          </cell>
          <cell r="H76">
            <v>160</v>
          </cell>
        </row>
        <row r="77">
          <cell r="A77" t="str">
            <v>E12612567</v>
          </cell>
          <cell r="C77" t="str">
            <v>SWITCH</v>
          </cell>
          <cell r="D77">
            <v>1</v>
          </cell>
          <cell r="E77">
            <v>575.6</v>
          </cell>
          <cell r="F77">
            <v>92.84</v>
          </cell>
          <cell r="G77">
            <v>92.84</v>
          </cell>
          <cell r="H77">
            <v>75</v>
          </cell>
        </row>
        <row r="78">
          <cell r="A78" t="str">
            <v>E4087756</v>
          </cell>
          <cell r="C78" t="str">
            <v>O RING</v>
          </cell>
          <cell r="D78">
            <v>2</v>
          </cell>
          <cell r="E78">
            <v>69.34</v>
          </cell>
          <cell r="F78">
            <v>11.18</v>
          </cell>
          <cell r="G78">
            <v>22.37</v>
          </cell>
          <cell r="H78">
            <v>63</v>
          </cell>
        </row>
        <row r="79">
          <cell r="A79" t="str">
            <v>E12977935</v>
          </cell>
          <cell r="C79" t="str">
            <v>SWITCH KIT</v>
          </cell>
          <cell r="D79">
            <v>1</v>
          </cell>
          <cell r="E79">
            <v>2736.86</v>
          </cell>
          <cell r="F79">
            <v>441.43</v>
          </cell>
          <cell r="G79">
            <v>441.43</v>
          </cell>
          <cell r="H79">
            <v>154</v>
          </cell>
        </row>
        <row r="80">
          <cell r="A80" t="str">
            <v>E12594421</v>
          </cell>
          <cell r="C80" t="str">
            <v>SNAP RING</v>
          </cell>
          <cell r="D80">
            <v>1</v>
          </cell>
          <cell r="E80">
            <v>126.51</v>
          </cell>
          <cell r="F80">
            <v>20.399999999999999</v>
          </cell>
          <cell r="G80">
            <v>20.399999999999999</v>
          </cell>
          <cell r="H80">
            <v>151</v>
          </cell>
        </row>
        <row r="81">
          <cell r="A81" t="str">
            <v>E13813629</v>
          </cell>
          <cell r="C81" t="str">
            <v>O RING</v>
          </cell>
          <cell r="D81">
            <v>1</v>
          </cell>
          <cell r="E81">
            <v>708.7</v>
          </cell>
          <cell r="F81">
            <v>114.31</v>
          </cell>
          <cell r="G81">
            <v>114.31</v>
          </cell>
          <cell r="H81">
            <v>115</v>
          </cell>
        </row>
        <row r="82">
          <cell r="A82" t="str">
            <v>E13813595</v>
          </cell>
          <cell r="C82" t="str">
            <v>O RING</v>
          </cell>
          <cell r="D82">
            <v>1</v>
          </cell>
          <cell r="E82">
            <v>1075.75</v>
          </cell>
          <cell r="F82">
            <v>173.51</v>
          </cell>
          <cell r="G82">
            <v>173.51</v>
          </cell>
          <cell r="H82">
            <v>114</v>
          </cell>
        </row>
        <row r="83">
          <cell r="A83" t="str">
            <v>E12613763</v>
          </cell>
          <cell r="C83" t="str">
            <v>REAR AIR VALVE</v>
          </cell>
          <cell r="D83">
            <v>1</v>
          </cell>
          <cell r="E83">
            <v>1978</v>
          </cell>
          <cell r="F83">
            <v>319.02999999999997</v>
          </cell>
          <cell r="G83">
            <v>319.02999999999997</v>
          </cell>
          <cell r="H83">
            <v>188</v>
          </cell>
        </row>
        <row r="84">
          <cell r="A84" t="str">
            <v>E12593925</v>
          </cell>
          <cell r="C84" t="str">
            <v>CLAMP</v>
          </cell>
          <cell r="D84">
            <v>16</v>
          </cell>
          <cell r="E84">
            <v>1038.77</v>
          </cell>
          <cell r="F84">
            <v>167.54</v>
          </cell>
          <cell r="G84">
            <v>2680.7</v>
          </cell>
          <cell r="H84">
            <v>182</v>
          </cell>
        </row>
        <row r="85">
          <cell r="A85" t="str">
            <v>E12978338</v>
          </cell>
          <cell r="C85" t="str">
            <v>SEAL KIT</v>
          </cell>
          <cell r="D85">
            <v>1</v>
          </cell>
          <cell r="E85">
            <v>201.89</v>
          </cell>
          <cell r="F85">
            <v>32.56</v>
          </cell>
          <cell r="G85">
            <v>32.56</v>
          </cell>
          <cell r="H85">
            <v>161</v>
          </cell>
        </row>
        <row r="86">
          <cell r="A86" t="str">
            <v>E12613764</v>
          </cell>
          <cell r="C86" t="str">
            <v>REAR AIR VALVE</v>
          </cell>
          <cell r="D86">
            <v>1</v>
          </cell>
          <cell r="E86">
            <v>2081.1999999999998</v>
          </cell>
          <cell r="F86">
            <v>335.68</v>
          </cell>
          <cell r="G86">
            <v>335.68</v>
          </cell>
          <cell r="H86">
            <v>189</v>
          </cell>
        </row>
        <row r="87">
          <cell r="A87" t="str">
            <v>E12975717</v>
          </cell>
          <cell r="C87" t="str">
            <v>SENSOR KIT</v>
          </cell>
          <cell r="D87">
            <v>1</v>
          </cell>
          <cell r="E87">
            <v>1387.95</v>
          </cell>
          <cell r="F87">
            <v>223.86</v>
          </cell>
          <cell r="G87">
            <v>223.86</v>
          </cell>
          <cell r="H87">
            <v>85</v>
          </cell>
        </row>
        <row r="88">
          <cell r="A88" t="str">
            <v>E12587438</v>
          </cell>
          <cell r="C88" t="str">
            <v>RESISTOR</v>
          </cell>
          <cell r="D88">
            <v>1</v>
          </cell>
          <cell r="E88">
            <v>52.48</v>
          </cell>
          <cell r="F88">
            <v>8.4600000000000009</v>
          </cell>
          <cell r="G88">
            <v>8.4600000000000009</v>
          </cell>
          <cell r="H88">
            <v>55</v>
          </cell>
        </row>
        <row r="89">
          <cell r="A89" t="str">
            <v>E2552007</v>
          </cell>
          <cell r="C89" t="str">
            <v>RELAY</v>
          </cell>
          <cell r="D89">
            <v>4</v>
          </cell>
          <cell r="E89">
            <v>505.9</v>
          </cell>
          <cell r="F89">
            <v>81.599999999999994</v>
          </cell>
          <cell r="G89">
            <v>326.39</v>
          </cell>
          <cell r="H89">
            <v>49</v>
          </cell>
        </row>
        <row r="90">
          <cell r="A90" t="str">
            <v>E12620121</v>
          </cell>
          <cell r="C90" t="str">
            <v>CONDENSER</v>
          </cell>
          <cell r="D90">
            <v>1</v>
          </cell>
          <cell r="E90">
            <v>3224.68</v>
          </cell>
          <cell r="F90">
            <v>520.11</v>
          </cell>
          <cell r="G90">
            <v>520.11</v>
          </cell>
          <cell r="H90">
            <v>213</v>
          </cell>
        </row>
        <row r="91">
          <cell r="A91" t="str">
            <v>E12613586</v>
          </cell>
          <cell r="C91" t="str">
            <v>O RING</v>
          </cell>
          <cell r="D91">
            <v>1</v>
          </cell>
          <cell r="E91">
            <v>1928.96</v>
          </cell>
          <cell r="F91">
            <v>311.12</v>
          </cell>
          <cell r="G91">
            <v>311.12</v>
          </cell>
          <cell r="H91">
            <v>127</v>
          </cell>
        </row>
        <row r="92">
          <cell r="A92" t="str">
            <v>E12571626</v>
          </cell>
          <cell r="C92" t="str">
            <v>LAMP</v>
          </cell>
          <cell r="D92">
            <v>2</v>
          </cell>
          <cell r="E92">
            <v>65.959999999999994</v>
          </cell>
          <cell r="F92">
            <v>10.64</v>
          </cell>
          <cell r="G92">
            <v>21.28</v>
          </cell>
          <cell r="H92">
            <v>100</v>
          </cell>
        </row>
        <row r="93">
          <cell r="A93" t="str">
            <v>E9246992</v>
          </cell>
          <cell r="C93" t="str">
            <v>CAP</v>
          </cell>
          <cell r="D93">
            <v>1</v>
          </cell>
          <cell r="E93">
            <v>840.07</v>
          </cell>
          <cell r="F93">
            <v>135.5</v>
          </cell>
          <cell r="G93">
            <v>135.5</v>
          </cell>
          <cell r="H93">
            <v>216</v>
          </cell>
        </row>
        <row r="94">
          <cell r="A94" t="str">
            <v>E12977954</v>
          </cell>
          <cell r="C94" t="str">
            <v>SEAL KIT</v>
          </cell>
          <cell r="D94">
            <v>1</v>
          </cell>
          <cell r="E94">
            <v>373.15</v>
          </cell>
          <cell r="F94">
            <v>60.19</v>
          </cell>
          <cell r="G94">
            <v>60.19</v>
          </cell>
          <cell r="H94">
            <v>234</v>
          </cell>
        </row>
        <row r="95">
          <cell r="A95" t="str">
            <v>E12595199</v>
          </cell>
          <cell r="C95" t="str">
            <v>SWITCH</v>
          </cell>
          <cell r="D95">
            <v>1</v>
          </cell>
          <cell r="E95">
            <v>687.16</v>
          </cell>
          <cell r="F95">
            <v>110.83</v>
          </cell>
          <cell r="G95">
            <v>110.83</v>
          </cell>
          <cell r="H95">
            <v>212</v>
          </cell>
        </row>
        <row r="96">
          <cell r="A96" t="str">
            <v>E13807013</v>
          </cell>
          <cell r="C96" t="str">
            <v>O RING</v>
          </cell>
          <cell r="D96">
            <v>1</v>
          </cell>
          <cell r="E96">
            <v>44.46</v>
          </cell>
          <cell r="F96">
            <v>7.17</v>
          </cell>
          <cell r="G96">
            <v>7.17</v>
          </cell>
          <cell r="H96">
            <v>113</v>
          </cell>
        </row>
        <row r="97">
          <cell r="A97" t="str">
            <v>E12978489</v>
          </cell>
          <cell r="C97" t="str">
            <v>SEAL KIT</v>
          </cell>
          <cell r="D97">
            <v>1</v>
          </cell>
          <cell r="E97">
            <v>402.65</v>
          </cell>
          <cell r="F97">
            <v>64.94</v>
          </cell>
          <cell r="G97">
            <v>64.94</v>
          </cell>
          <cell r="H97">
            <v>169</v>
          </cell>
        </row>
        <row r="98">
          <cell r="A98" t="str">
            <v>E13804042</v>
          </cell>
          <cell r="C98" t="str">
            <v>O RING</v>
          </cell>
          <cell r="D98">
            <v>3</v>
          </cell>
          <cell r="E98">
            <v>20.04</v>
          </cell>
          <cell r="F98">
            <v>3.23</v>
          </cell>
          <cell r="G98">
            <v>9.6999999999999993</v>
          </cell>
          <cell r="H98">
            <v>134</v>
          </cell>
        </row>
        <row r="99">
          <cell r="A99" t="str">
            <v>E12978067</v>
          </cell>
          <cell r="C99" t="str">
            <v>CARTRIDGE KIT</v>
          </cell>
          <cell r="D99">
            <v>1</v>
          </cell>
          <cell r="E99">
            <v>612.05999999999995</v>
          </cell>
          <cell r="F99">
            <v>98.72</v>
          </cell>
          <cell r="G99">
            <v>98.72</v>
          </cell>
          <cell r="H99">
            <v>226</v>
          </cell>
        </row>
        <row r="100">
          <cell r="A100" t="str">
            <v>E12977007</v>
          </cell>
          <cell r="C100" t="str">
            <v>ROLLER KIT</v>
          </cell>
          <cell r="D100">
            <v>1</v>
          </cell>
          <cell r="E100">
            <v>347.59</v>
          </cell>
          <cell r="F100">
            <v>56.06</v>
          </cell>
          <cell r="G100">
            <v>56.06</v>
          </cell>
          <cell r="H100">
            <v>84</v>
          </cell>
        </row>
        <row r="101">
          <cell r="A101" t="str">
            <v>E13804055</v>
          </cell>
          <cell r="C101" t="str">
            <v>O RING</v>
          </cell>
          <cell r="D101">
            <v>4</v>
          </cell>
          <cell r="E101">
            <v>18.64</v>
          </cell>
          <cell r="F101">
            <v>3.01</v>
          </cell>
          <cell r="G101">
            <v>12.03</v>
          </cell>
          <cell r="H101">
            <v>65</v>
          </cell>
        </row>
        <row r="102">
          <cell r="A102" t="str">
            <v>E12613585</v>
          </cell>
          <cell r="C102" t="str">
            <v>O RING</v>
          </cell>
          <cell r="D102">
            <v>1</v>
          </cell>
          <cell r="E102">
            <v>1928.96</v>
          </cell>
          <cell r="F102">
            <v>311.12</v>
          </cell>
          <cell r="G102">
            <v>311.12</v>
          </cell>
          <cell r="H102">
            <v>128</v>
          </cell>
        </row>
        <row r="103">
          <cell r="A103" t="str">
            <v>E13812978</v>
          </cell>
          <cell r="C103" t="str">
            <v>O RING</v>
          </cell>
          <cell r="D103">
            <v>2</v>
          </cell>
          <cell r="E103">
            <v>71.7</v>
          </cell>
          <cell r="F103">
            <v>11.56</v>
          </cell>
          <cell r="G103">
            <v>23.13</v>
          </cell>
          <cell r="H103">
            <v>129</v>
          </cell>
        </row>
        <row r="104">
          <cell r="A104" t="str">
            <v>E12619961</v>
          </cell>
          <cell r="C104" t="str">
            <v>SEAL KIT</v>
          </cell>
          <cell r="D104">
            <v>1</v>
          </cell>
          <cell r="E104">
            <v>4211.55</v>
          </cell>
          <cell r="F104">
            <v>679.28</v>
          </cell>
          <cell r="G104">
            <v>679.28</v>
          </cell>
          <cell r="H104">
            <v>157</v>
          </cell>
        </row>
        <row r="105">
          <cell r="A105" t="str">
            <v>E13807009</v>
          </cell>
          <cell r="C105" t="str">
            <v>O RING</v>
          </cell>
          <cell r="D105">
            <v>4</v>
          </cell>
          <cell r="E105">
            <v>8.32</v>
          </cell>
          <cell r="F105">
            <v>1.34</v>
          </cell>
          <cell r="G105">
            <v>5.37</v>
          </cell>
          <cell r="H105">
            <v>133</v>
          </cell>
        </row>
        <row r="106">
          <cell r="A106" t="str">
            <v>E13804058</v>
          </cell>
          <cell r="C106" t="str">
            <v>O RING</v>
          </cell>
          <cell r="D106">
            <v>1</v>
          </cell>
          <cell r="E106">
            <v>41.88</v>
          </cell>
          <cell r="F106">
            <v>6.75</v>
          </cell>
          <cell r="G106">
            <v>6.75</v>
          </cell>
          <cell r="H106">
            <v>241</v>
          </cell>
        </row>
        <row r="107">
          <cell r="A107" t="str">
            <v>E12616530</v>
          </cell>
          <cell r="C107" t="str">
            <v>PROXIMITY SWITCH</v>
          </cell>
          <cell r="D107">
            <v>1</v>
          </cell>
          <cell r="E107">
            <v>5472.61</v>
          </cell>
          <cell r="F107">
            <v>882.68</v>
          </cell>
          <cell r="G107">
            <v>882.68</v>
          </cell>
          <cell r="H107">
            <v>76</v>
          </cell>
        </row>
        <row r="108">
          <cell r="A108" t="str">
            <v>E12598486</v>
          </cell>
          <cell r="C108" t="str">
            <v>LADDER SWITCH</v>
          </cell>
          <cell r="D108">
            <v>1</v>
          </cell>
          <cell r="E108">
            <v>540.45000000000005</v>
          </cell>
          <cell r="F108">
            <v>87.17</v>
          </cell>
          <cell r="G108">
            <v>87.17</v>
          </cell>
          <cell r="H108">
            <v>72</v>
          </cell>
        </row>
        <row r="109">
          <cell r="A109" t="str">
            <v>E12598203</v>
          </cell>
          <cell r="C109" t="str">
            <v>DISCONNECT SWITCH</v>
          </cell>
          <cell r="D109">
            <v>1</v>
          </cell>
          <cell r="E109">
            <v>1713.29</v>
          </cell>
          <cell r="F109">
            <v>276.33999999999997</v>
          </cell>
          <cell r="G109">
            <v>276.33999999999997</v>
          </cell>
          <cell r="H109">
            <v>33</v>
          </cell>
        </row>
        <row r="110">
          <cell r="A110" t="str">
            <v>E12978982</v>
          </cell>
          <cell r="C110" t="str">
            <v>SEAL KIT</v>
          </cell>
          <cell r="D110">
            <v>1</v>
          </cell>
          <cell r="E110">
            <v>338.22</v>
          </cell>
          <cell r="F110">
            <v>54.55</v>
          </cell>
          <cell r="G110">
            <v>54.55</v>
          </cell>
          <cell r="H110">
            <v>235</v>
          </cell>
        </row>
        <row r="111">
          <cell r="A111" t="str">
            <v>E13805958</v>
          </cell>
          <cell r="C111" t="str">
            <v>O RING</v>
          </cell>
          <cell r="D111">
            <v>2</v>
          </cell>
          <cell r="E111">
            <v>20.36</v>
          </cell>
          <cell r="F111">
            <v>3.28</v>
          </cell>
          <cell r="G111">
            <v>6.57</v>
          </cell>
          <cell r="H111">
            <v>116</v>
          </cell>
        </row>
        <row r="112">
          <cell r="A112" t="str">
            <v>E4090204</v>
          </cell>
          <cell r="C112" t="str">
            <v>RESISTOR</v>
          </cell>
          <cell r="D112">
            <v>1</v>
          </cell>
          <cell r="E112">
            <v>179.2</v>
          </cell>
          <cell r="F112">
            <v>28.9</v>
          </cell>
          <cell r="G112">
            <v>28.9</v>
          </cell>
          <cell r="H112">
            <v>198</v>
          </cell>
        </row>
        <row r="113">
          <cell r="A113" t="str">
            <v>E13804061</v>
          </cell>
          <cell r="C113" t="str">
            <v>O RING</v>
          </cell>
          <cell r="D113">
            <v>1</v>
          </cell>
          <cell r="E113">
            <v>105.24</v>
          </cell>
          <cell r="F113">
            <v>16.97</v>
          </cell>
          <cell r="G113">
            <v>16.97</v>
          </cell>
          <cell r="H113">
            <v>215</v>
          </cell>
        </row>
        <row r="114">
          <cell r="A114" t="str">
            <v>E4084467</v>
          </cell>
          <cell r="C114" t="str">
            <v>O RING</v>
          </cell>
          <cell r="D114">
            <v>1</v>
          </cell>
          <cell r="E114">
            <v>220.7</v>
          </cell>
          <cell r="F114">
            <v>35.6</v>
          </cell>
          <cell r="G114">
            <v>35.6</v>
          </cell>
          <cell r="H114">
            <v>181</v>
          </cell>
        </row>
        <row r="115">
          <cell r="A115" t="str">
            <v>E13812790</v>
          </cell>
          <cell r="C115" t="str">
            <v>O RING</v>
          </cell>
          <cell r="D115">
            <v>1</v>
          </cell>
          <cell r="E115">
            <v>145.13</v>
          </cell>
          <cell r="F115">
            <v>23.41</v>
          </cell>
          <cell r="G115">
            <v>23.41</v>
          </cell>
          <cell r="H115">
            <v>153</v>
          </cell>
        </row>
        <row r="116">
          <cell r="A116" t="str">
            <v>E13805145</v>
          </cell>
          <cell r="C116" t="str">
            <v>O RING</v>
          </cell>
          <cell r="D116">
            <v>1</v>
          </cell>
          <cell r="E116">
            <v>32.979999999999997</v>
          </cell>
          <cell r="F116">
            <v>5.32</v>
          </cell>
          <cell r="G116">
            <v>5.32</v>
          </cell>
          <cell r="H116">
            <v>219</v>
          </cell>
        </row>
        <row r="117">
          <cell r="A117" t="str">
            <v>E12579398</v>
          </cell>
          <cell r="C117" t="str">
            <v>SEAL</v>
          </cell>
          <cell r="D117">
            <v>5</v>
          </cell>
          <cell r="E117">
            <v>746.8</v>
          </cell>
          <cell r="F117">
            <v>120.45</v>
          </cell>
          <cell r="G117">
            <v>602.26</v>
          </cell>
          <cell r="H117">
            <v>122</v>
          </cell>
        </row>
        <row r="118">
          <cell r="A118" t="str">
            <v>E13804057</v>
          </cell>
          <cell r="C118" t="str">
            <v>O RING</v>
          </cell>
          <cell r="D118">
            <v>1</v>
          </cell>
          <cell r="E118">
            <v>29.82</v>
          </cell>
          <cell r="F118">
            <v>4.8099999999999996</v>
          </cell>
          <cell r="G118">
            <v>4.8099999999999996</v>
          </cell>
          <cell r="H118">
            <v>61</v>
          </cell>
        </row>
        <row r="119">
          <cell r="A119" t="str">
            <v>E12977192</v>
          </cell>
          <cell r="C119" t="str">
            <v>SEAL KIT</v>
          </cell>
          <cell r="D119">
            <v>1</v>
          </cell>
          <cell r="E119">
            <v>193.59</v>
          </cell>
          <cell r="F119">
            <v>31.22</v>
          </cell>
          <cell r="G119">
            <v>31.22</v>
          </cell>
          <cell r="H119">
            <v>171</v>
          </cell>
        </row>
        <row r="120">
          <cell r="A120" t="str">
            <v>E12978315</v>
          </cell>
          <cell r="C120" t="str">
            <v>SPRING AND SEAL KIT</v>
          </cell>
          <cell r="D120">
            <v>1</v>
          </cell>
          <cell r="E120">
            <v>709.37</v>
          </cell>
          <cell r="F120">
            <v>114.41</v>
          </cell>
          <cell r="G120">
            <v>114.41</v>
          </cell>
          <cell r="H120">
            <v>229</v>
          </cell>
        </row>
        <row r="121">
          <cell r="A121" t="str">
            <v>E12595239</v>
          </cell>
          <cell r="C121" t="str">
            <v>RELIEF VALVE</v>
          </cell>
          <cell r="D121">
            <v>1</v>
          </cell>
          <cell r="E121">
            <v>1052.75</v>
          </cell>
          <cell r="F121">
            <v>169.8</v>
          </cell>
          <cell r="G121">
            <v>169.8</v>
          </cell>
          <cell r="H121">
            <v>238</v>
          </cell>
        </row>
        <row r="122">
          <cell r="A122" t="str">
            <v>E12978281</v>
          </cell>
          <cell r="C122" t="str">
            <v>SOFT GOODS KIT</v>
          </cell>
          <cell r="D122">
            <v>1</v>
          </cell>
          <cell r="E122">
            <v>1805.4</v>
          </cell>
          <cell r="F122">
            <v>291.19</v>
          </cell>
          <cell r="G122">
            <v>291.19</v>
          </cell>
          <cell r="H122">
            <v>236</v>
          </cell>
        </row>
        <row r="123">
          <cell r="A123" t="str">
            <v>E12978068</v>
          </cell>
          <cell r="C123" t="str">
            <v>CARTRIDGE KIT</v>
          </cell>
          <cell r="D123">
            <v>1</v>
          </cell>
          <cell r="E123">
            <v>839.7</v>
          </cell>
          <cell r="F123">
            <v>135.44</v>
          </cell>
          <cell r="G123">
            <v>135.44</v>
          </cell>
          <cell r="H123">
            <v>225</v>
          </cell>
        </row>
        <row r="124">
          <cell r="A124" t="str">
            <v>E13804000</v>
          </cell>
          <cell r="C124" t="str">
            <v>O RING</v>
          </cell>
          <cell r="D124">
            <v>2</v>
          </cell>
          <cell r="E124">
            <v>13.48</v>
          </cell>
          <cell r="F124">
            <v>2.17</v>
          </cell>
          <cell r="G124">
            <v>4.3499999999999996</v>
          </cell>
          <cell r="H124">
            <v>125</v>
          </cell>
        </row>
        <row r="125">
          <cell r="A125" t="str">
            <v>E13804046</v>
          </cell>
          <cell r="C125" t="str">
            <v>O RING</v>
          </cell>
          <cell r="D125">
            <v>2</v>
          </cell>
          <cell r="E125">
            <v>78.86</v>
          </cell>
          <cell r="F125">
            <v>12.72</v>
          </cell>
          <cell r="G125">
            <v>25.44</v>
          </cell>
          <cell r="H125">
            <v>137</v>
          </cell>
        </row>
        <row r="126">
          <cell r="A126" t="str">
            <v>E13807008</v>
          </cell>
          <cell r="C126" t="str">
            <v>O RING</v>
          </cell>
          <cell r="D126">
            <v>5</v>
          </cell>
          <cell r="E126">
            <v>12.62</v>
          </cell>
          <cell r="F126">
            <v>2.04</v>
          </cell>
          <cell r="G126">
            <v>10.18</v>
          </cell>
          <cell r="H126">
            <v>147</v>
          </cell>
        </row>
        <row r="127">
          <cell r="A127" t="str">
            <v>E13803495</v>
          </cell>
          <cell r="C127" t="str">
            <v>O RING</v>
          </cell>
          <cell r="D127">
            <v>1</v>
          </cell>
          <cell r="E127">
            <v>4.99</v>
          </cell>
          <cell r="F127">
            <v>0.8</v>
          </cell>
          <cell r="G127">
            <v>0.8</v>
          </cell>
          <cell r="H127">
            <v>159</v>
          </cell>
        </row>
        <row r="128">
          <cell r="A128" t="str">
            <v>E4039958</v>
          </cell>
          <cell r="C128" t="str">
            <v>CROSS KIT</v>
          </cell>
          <cell r="D128">
            <v>1</v>
          </cell>
          <cell r="E128">
            <v>548.21</v>
          </cell>
          <cell r="F128">
            <v>88.42</v>
          </cell>
          <cell r="G128">
            <v>88.42</v>
          </cell>
          <cell r="H128">
            <v>156</v>
          </cell>
        </row>
        <row r="129">
          <cell r="A129" t="str">
            <v>E12635045</v>
          </cell>
          <cell r="C129" t="str">
            <v>LED AMBER LAMP</v>
          </cell>
          <cell r="D129">
            <v>2</v>
          </cell>
          <cell r="E129">
            <v>2115.11</v>
          </cell>
          <cell r="F129">
            <v>341.15</v>
          </cell>
          <cell r="G129">
            <v>682.29</v>
          </cell>
          <cell r="H129">
            <v>69</v>
          </cell>
        </row>
        <row r="130">
          <cell r="A130" t="str">
            <v>E12635044</v>
          </cell>
          <cell r="C130" t="str">
            <v>LED RED LAMP</v>
          </cell>
          <cell r="D130">
            <v>1</v>
          </cell>
          <cell r="E130">
            <v>1865.58</v>
          </cell>
          <cell r="F130">
            <v>300.89999999999998</v>
          </cell>
          <cell r="G130">
            <v>300.89999999999998</v>
          </cell>
          <cell r="H130">
            <v>71</v>
          </cell>
        </row>
        <row r="131">
          <cell r="A131" t="str">
            <v>E12635046</v>
          </cell>
          <cell r="C131" t="str">
            <v>LED GREEN LAMP</v>
          </cell>
          <cell r="D131">
            <v>1</v>
          </cell>
          <cell r="E131">
            <v>2362.0300000000002</v>
          </cell>
          <cell r="F131">
            <v>380.97</v>
          </cell>
          <cell r="G131">
            <v>380.97</v>
          </cell>
          <cell r="H131">
            <v>70</v>
          </cell>
        </row>
        <row r="132">
          <cell r="A132" t="str">
            <v>E4090207</v>
          </cell>
          <cell r="C132" t="str">
            <v>SWITCH</v>
          </cell>
          <cell r="D132">
            <v>1</v>
          </cell>
          <cell r="E132">
            <v>112.02</v>
          </cell>
          <cell r="F132">
            <v>18.07</v>
          </cell>
          <cell r="G132">
            <v>18.07</v>
          </cell>
          <cell r="H132">
            <v>199</v>
          </cell>
        </row>
        <row r="133">
          <cell r="A133" t="str">
            <v>E13807010</v>
          </cell>
          <cell r="C133" t="str">
            <v>O RING</v>
          </cell>
          <cell r="D133">
            <v>5</v>
          </cell>
          <cell r="E133">
            <v>31.84</v>
          </cell>
          <cell r="F133">
            <v>5.14</v>
          </cell>
          <cell r="G133">
            <v>25.68</v>
          </cell>
          <cell r="H133">
            <v>131</v>
          </cell>
        </row>
        <row r="134">
          <cell r="A134" t="str">
            <v>E4092049</v>
          </cell>
          <cell r="C134" t="str">
            <v>CAP</v>
          </cell>
          <cell r="D134">
            <v>1</v>
          </cell>
          <cell r="E134">
            <v>1947.13</v>
          </cell>
          <cell r="F134">
            <v>314.05</v>
          </cell>
          <cell r="G134">
            <v>314.05</v>
          </cell>
          <cell r="H134">
            <v>29</v>
          </cell>
        </row>
        <row r="135">
          <cell r="A135" t="str">
            <v>E12978125</v>
          </cell>
          <cell r="C135" t="str">
            <v>SWITCH</v>
          </cell>
          <cell r="D135">
            <v>1</v>
          </cell>
          <cell r="E135">
            <v>2004.47</v>
          </cell>
          <cell r="F135">
            <v>323.3</v>
          </cell>
          <cell r="G135">
            <v>323.3</v>
          </cell>
          <cell r="H135">
            <v>224</v>
          </cell>
        </row>
        <row r="136">
          <cell r="A136" t="str">
            <v>E12625641</v>
          </cell>
          <cell r="C136" t="str">
            <v>HOIST STEER TRANSDUCER</v>
          </cell>
          <cell r="D136">
            <v>1</v>
          </cell>
          <cell r="E136">
            <v>11667.02</v>
          </cell>
          <cell r="F136">
            <v>1881.78</v>
          </cell>
          <cell r="G136">
            <v>1881.78</v>
          </cell>
          <cell r="H136">
            <v>64</v>
          </cell>
        </row>
        <row r="137">
          <cell r="A137" t="str">
            <v>E12977453</v>
          </cell>
          <cell r="C137" t="str">
            <v>SWITCH</v>
          </cell>
          <cell r="D137">
            <v>1</v>
          </cell>
          <cell r="E137">
            <v>433.25</v>
          </cell>
          <cell r="F137">
            <v>69.88</v>
          </cell>
          <cell r="G137">
            <v>69.88</v>
          </cell>
          <cell r="H137">
            <v>206</v>
          </cell>
        </row>
        <row r="138">
          <cell r="A138" t="str">
            <v>E12573266</v>
          </cell>
          <cell r="C138" t="str">
            <v>SEAL KIT</v>
          </cell>
          <cell r="D138">
            <v>1</v>
          </cell>
          <cell r="E138">
            <v>6556.64</v>
          </cell>
          <cell r="F138">
            <v>1057.52</v>
          </cell>
          <cell r="G138">
            <v>1057.52</v>
          </cell>
          <cell r="H138">
            <v>173</v>
          </cell>
        </row>
        <row r="139">
          <cell r="A139" t="str">
            <v>E193102</v>
          </cell>
          <cell r="C139" t="str">
            <v>LAMP</v>
          </cell>
          <cell r="D139">
            <v>1</v>
          </cell>
          <cell r="E139">
            <v>105.37</v>
          </cell>
          <cell r="F139">
            <v>17</v>
          </cell>
          <cell r="G139">
            <v>17</v>
          </cell>
          <cell r="H139">
            <v>56</v>
          </cell>
        </row>
        <row r="140">
          <cell r="A140" t="str">
            <v>E4091716</v>
          </cell>
          <cell r="C140" t="str">
            <v>WIPER MOTOR</v>
          </cell>
          <cell r="D140">
            <v>1</v>
          </cell>
          <cell r="E140">
            <v>4551.79</v>
          </cell>
          <cell r="F140">
            <v>734.16</v>
          </cell>
          <cell r="G140">
            <v>734.16</v>
          </cell>
          <cell r="H140">
            <v>44</v>
          </cell>
        </row>
        <row r="141">
          <cell r="A141" t="str">
            <v>E13804059</v>
          </cell>
          <cell r="C141" t="str">
            <v>O RING</v>
          </cell>
          <cell r="D141">
            <v>2</v>
          </cell>
          <cell r="E141">
            <v>14.64</v>
          </cell>
          <cell r="F141">
            <v>2.36</v>
          </cell>
          <cell r="G141">
            <v>4.72</v>
          </cell>
          <cell r="H141">
            <v>109</v>
          </cell>
        </row>
        <row r="142">
          <cell r="A142" t="str">
            <v>E12624469</v>
          </cell>
          <cell r="C142" t="str">
            <v>SEAL KIT</v>
          </cell>
          <cell r="D142">
            <v>1</v>
          </cell>
          <cell r="E142">
            <v>2382.46</v>
          </cell>
          <cell r="F142">
            <v>384.27</v>
          </cell>
          <cell r="G142">
            <v>384.27</v>
          </cell>
          <cell r="H142">
            <v>146</v>
          </cell>
        </row>
        <row r="143">
          <cell r="A143" t="str">
            <v>E4042266</v>
          </cell>
          <cell r="C143" t="str">
            <v>SWITCH</v>
          </cell>
          <cell r="D143">
            <v>1</v>
          </cell>
          <cell r="E143">
            <v>1582.08</v>
          </cell>
          <cell r="F143">
            <v>255.17</v>
          </cell>
          <cell r="G143">
            <v>255.17</v>
          </cell>
          <cell r="H143">
            <v>58</v>
          </cell>
        </row>
        <row r="144">
          <cell r="A144" t="str">
            <v>E1578846</v>
          </cell>
          <cell r="C144" t="str">
            <v>RHEOSTAT</v>
          </cell>
          <cell r="D144">
            <v>1</v>
          </cell>
          <cell r="E144">
            <v>360.91</v>
          </cell>
          <cell r="F144">
            <v>58.21</v>
          </cell>
          <cell r="G144">
            <v>58.21</v>
          </cell>
          <cell r="H144">
            <v>92</v>
          </cell>
        </row>
        <row r="145">
          <cell r="A145" t="str">
            <v>E12596709</v>
          </cell>
          <cell r="C145" t="str">
            <v>TEMP SENSOR</v>
          </cell>
          <cell r="D145">
            <v>1</v>
          </cell>
          <cell r="E145">
            <v>3485.24</v>
          </cell>
          <cell r="F145">
            <v>562.14</v>
          </cell>
          <cell r="G145">
            <v>562.14</v>
          </cell>
          <cell r="H145">
            <v>66</v>
          </cell>
        </row>
        <row r="146">
          <cell r="A146" t="str">
            <v>E4047421</v>
          </cell>
          <cell r="C146" t="str">
            <v>CLAMP</v>
          </cell>
          <cell r="D146">
            <v>3</v>
          </cell>
          <cell r="E146">
            <v>241.77</v>
          </cell>
          <cell r="F146">
            <v>39</v>
          </cell>
          <cell r="G146">
            <v>116.99</v>
          </cell>
          <cell r="H146">
            <v>8</v>
          </cell>
        </row>
        <row r="147">
          <cell r="A147" t="str">
            <v>E12977017</v>
          </cell>
          <cell r="C147" t="str">
            <v>SEAL KIT</v>
          </cell>
          <cell r="D147">
            <v>1</v>
          </cell>
          <cell r="E147">
            <v>280.77</v>
          </cell>
          <cell r="F147">
            <v>45.29</v>
          </cell>
          <cell r="G147">
            <v>45.29</v>
          </cell>
          <cell r="H147">
            <v>170</v>
          </cell>
        </row>
        <row r="148">
          <cell r="A148" t="str">
            <v>E13804049</v>
          </cell>
          <cell r="C148" t="str">
            <v>O RING</v>
          </cell>
          <cell r="D148">
            <v>1</v>
          </cell>
          <cell r="E148">
            <v>174.5</v>
          </cell>
          <cell r="F148">
            <v>28.15</v>
          </cell>
          <cell r="G148">
            <v>28.15</v>
          </cell>
          <cell r="H148">
            <v>172</v>
          </cell>
        </row>
        <row r="149">
          <cell r="A149" t="str">
            <v>E13804266</v>
          </cell>
          <cell r="C149" t="str">
            <v>O RING</v>
          </cell>
          <cell r="D149">
            <v>1</v>
          </cell>
          <cell r="E149">
            <v>8.2799999999999994</v>
          </cell>
          <cell r="F149">
            <v>1.34</v>
          </cell>
          <cell r="G149">
            <v>1.34</v>
          </cell>
          <cell r="H149">
            <v>99</v>
          </cell>
        </row>
        <row r="150">
          <cell r="A150" t="str">
            <v>E12977193</v>
          </cell>
          <cell r="C150" t="str">
            <v>SEAL KIT</v>
          </cell>
          <cell r="D150">
            <v>1</v>
          </cell>
          <cell r="E150">
            <v>231.4</v>
          </cell>
          <cell r="F150">
            <v>37.32</v>
          </cell>
          <cell r="G150">
            <v>37.32</v>
          </cell>
          <cell r="H150">
            <v>168</v>
          </cell>
        </row>
        <row r="151">
          <cell r="A151" t="str">
            <v>E13813002</v>
          </cell>
          <cell r="C151" t="str">
            <v>O RING</v>
          </cell>
          <cell r="D151">
            <v>1</v>
          </cell>
          <cell r="E151">
            <v>221.71</v>
          </cell>
          <cell r="F151">
            <v>35.76</v>
          </cell>
          <cell r="G151">
            <v>35.76</v>
          </cell>
          <cell r="H151">
            <v>118</v>
          </cell>
        </row>
        <row r="152">
          <cell r="A152" t="str">
            <v>E13813002</v>
          </cell>
          <cell r="C152" t="str">
            <v>O RING</v>
          </cell>
          <cell r="D152">
            <v>1</v>
          </cell>
          <cell r="E152">
            <v>221.71</v>
          </cell>
          <cell r="F152">
            <v>35.76</v>
          </cell>
          <cell r="G152">
            <v>35.76</v>
          </cell>
          <cell r="H152">
            <v>140</v>
          </cell>
        </row>
        <row r="153">
          <cell r="A153" t="str">
            <v>E13813002</v>
          </cell>
          <cell r="C153" t="str">
            <v>O RING</v>
          </cell>
          <cell r="D153">
            <v>1</v>
          </cell>
          <cell r="E153">
            <v>221.71</v>
          </cell>
          <cell r="F153">
            <v>35.76</v>
          </cell>
          <cell r="G153">
            <v>35.76</v>
          </cell>
          <cell r="H153">
            <v>162</v>
          </cell>
        </row>
        <row r="154">
          <cell r="A154" t="str">
            <v>E13813002</v>
          </cell>
          <cell r="C154" t="str">
            <v>O RING</v>
          </cell>
          <cell r="D154">
            <v>1</v>
          </cell>
          <cell r="E154">
            <v>221.71</v>
          </cell>
          <cell r="F154">
            <v>35.76</v>
          </cell>
          <cell r="G154">
            <v>35.76</v>
          </cell>
          <cell r="H154">
            <v>183</v>
          </cell>
        </row>
        <row r="155">
          <cell r="A155" t="str">
            <v>E13813002</v>
          </cell>
          <cell r="C155" t="str">
            <v>O RING</v>
          </cell>
          <cell r="D155">
            <v>1</v>
          </cell>
          <cell r="E155">
            <v>221.71</v>
          </cell>
          <cell r="F155">
            <v>35.76</v>
          </cell>
          <cell r="G155">
            <v>35.76</v>
          </cell>
          <cell r="H155">
            <v>204</v>
          </cell>
        </row>
        <row r="156">
          <cell r="A156" t="str">
            <v>E13804047</v>
          </cell>
          <cell r="C156" t="str">
            <v>O RING</v>
          </cell>
          <cell r="D156">
            <v>4</v>
          </cell>
          <cell r="E156">
            <v>107.3</v>
          </cell>
          <cell r="F156">
            <v>17.309999999999999</v>
          </cell>
          <cell r="G156">
            <v>69.23</v>
          </cell>
          <cell r="H156">
            <v>126</v>
          </cell>
        </row>
        <row r="157">
          <cell r="A157" t="str">
            <v>E13804048</v>
          </cell>
          <cell r="C157" t="str">
            <v>O RING</v>
          </cell>
          <cell r="D157">
            <v>3</v>
          </cell>
          <cell r="E157">
            <v>134.38999999999999</v>
          </cell>
          <cell r="F157">
            <v>21.68</v>
          </cell>
          <cell r="G157">
            <v>65.03</v>
          </cell>
          <cell r="H157">
            <v>138</v>
          </cell>
        </row>
        <row r="158">
          <cell r="A158" t="str">
            <v>E12974832</v>
          </cell>
          <cell r="C158" t="str">
            <v>O RING</v>
          </cell>
          <cell r="D158">
            <v>1</v>
          </cell>
          <cell r="E158">
            <v>3945.16</v>
          </cell>
          <cell r="F158">
            <v>636.32000000000005</v>
          </cell>
          <cell r="G158">
            <v>636.32000000000005</v>
          </cell>
          <cell r="H158">
            <v>187</v>
          </cell>
        </row>
        <row r="159">
          <cell r="A159" t="str">
            <v>E4091929</v>
          </cell>
          <cell r="C159" t="str">
            <v xml:space="preserve">BALL </v>
          </cell>
          <cell r="D159">
            <v>4</v>
          </cell>
          <cell r="E159">
            <v>116.1</v>
          </cell>
          <cell r="F159">
            <v>18.73</v>
          </cell>
          <cell r="G159">
            <v>74.900000000000006</v>
          </cell>
          <cell r="H159">
            <v>174</v>
          </cell>
        </row>
        <row r="160">
          <cell r="A160" t="str">
            <v>E12977185</v>
          </cell>
          <cell r="C160" t="str">
            <v>SOLENOID</v>
          </cell>
          <cell r="D160">
            <v>1</v>
          </cell>
          <cell r="E160">
            <v>2353.79</v>
          </cell>
          <cell r="F160">
            <v>379.64</v>
          </cell>
          <cell r="G160">
            <v>379.64</v>
          </cell>
          <cell r="H160">
            <v>166</v>
          </cell>
        </row>
        <row r="161">
          <cell r="A161" t="str">
            <v>E12975334</v>
          </cell>
          <cell r="C161" t="str">
            <v>SOLENOID</v>
          </cell>
          <cell r="D161">
            <v>1</v>
          </cell>
          <cell r="E161">
            <v>803.58</v>
          </cell>
          <cell r="F161">
            <v>129.61000000000001</v>
          </cell>
          <cell r="G161">
            <v>129.61000000000001</v>
          </cell>
          <cell r="H161">
            <v>232</v>
          </cell>
        </row>
        <row r="162">
          <cell r="A162" t="str">
            <v>E12589880</v>
          </cell>
          <cell r="C162" t="str">
            <v>BATTERY EQUALISER</v>
          </cell>
          <cell r="D162">
            <v>1</v>
          </cell>
          <cell r="E162">
            <v>9787.4699999999993</v>
          </cell>
          <cell r="F162">
            <v>1578.62</v>
          </cell>
          <cell r="G162">
            <v>1578.62</v>
          </cell>
          <cell r="H162">
            <v>57</v>
          </cell>
        </row>
        <row r="163">
          <cell r="A163" t="str">
            <v>E4082634</v>
          </cell>
          <cell r="C163" t="str">
            <v>SNAP RING</v>
          </cell>
          <cell r="D163">
            <v>1</v>
          </cell>
          <cell r="E163">
            <v>482.57</v>
          </cell>
          <cell r="F163">
            <v>77.83</v>
          </cell>
          <cell r="G163">
            <v>77.83</v>
          </cell>
          <cell r="H163">
            <v>239</v>
          </cell>
        </row>
        <row r="164">
          <cell r="A164" t="str">
            <v>E12977186</v>
          </cell>
          <cell r="C164" t="str">
            <v>SOLENOID</v>
          </cell>
          <cell r="D164">
            <v>1</v>
          </cell>
          <cell r="E164">
            <v>2364.0700000000002</v>
          </cell>
          <cell r="F164">
            <v>381.3</v>
          </cell>
          <cell r="G164">
            <v>381.3</v>
          </cell>
          <cell r="H164">
            <v>167</v>
          </cell>
        </row>
        <row r="165">
          <cell r="A165" t="str">
            <v>E9413419</v>
          </cell>
          <cell r="C165" t="str">
            <v>SNAP RING</v>
          </cell>
          <cell r="D165">
            <v>1</v>
          </cell>
          <cell r="E165">
            <v>123.37</v>
          </cell>
          <cell r="F165">
            <v>19.899999999999999</v>
          </cell>
          <cell r="G165">
            <v>19.899999999999999</v>
          </cell>
          <cell r="H165">
            <v>152</v>
          </cell>
        </row>
        <row r="166">
          <cell r="A166" t="str">
            <v>E12977765</v>
          </cell>
          <cell r="C166" t="str">
            <v>CROSS KIT</v>
          </cell>
          <cell r="D166">
            <v>1</v>
          </cell>
          <cell r="E166">
            <v>1752.01</v>
          </cell>
          <cell r="F166">
            <v>282.58</v>
          </cell>
          <cell r="G166">
            <v>282.58</v>
          </cell>
          <cell r="H166">
            <v>105</v>
          </cell>
        </row>
        <row r="167">
          <cell r="A167" t="str">
            <v>E12590199</v>
          </cell>
          <cell r="C167" t="str">
            <v>BACK UP ALARM</v>
          </cell>
          <cell r="D167">
            <v>1</v>
          </cell>
          <cell r="E167">
            <v>1361.66</v>
          </cell>
          <cell r="F167">
            <v>219.62</v>
          </cell>
          <cell r="G167">
            <v>219.62</v>
          </cell>
          <cell r="H167">
            <v>80</v>
          </cell>
        </row>
        <row r="168">
          <cell r="A168" t="str">
            <v>E13801339</v>
          </cell>
          <cell r="C168" t="str">
            <v>GREASE FITTING</v>
          </cell>
          <cell r="D168">
            <v>1</v>
          </cell>
          <cell r="E168">
            <v>32.47</v>
          </cell>
          <cell r="F168">
            <v>5.24</v>
          </cell>
          <cell r="G168">
            <v>5.24</v>
          </cell>
          <cell r="H168">
            <v>106</v>
          </cell>
        </row>
        <row r="169">
          <cell r="A169" t="str">
            <v>E4006456</v>
          </cell>
          <cell r="C169" t="str">
            <v>CAP ASSEMBLY</v>
          </cell>
          <cell r="D169">
            <v>1</v>
          </cell>
          <cell r="E169">
            <v>1677.27</v>
          </cell>
          <cell r="F169">
            <v>270.52999999999997</v>
          </cell>
          <cell r="G169">
            <v>270.52999999999997</v>
          </cell>
          <cell r="H169">
            <v>5</v>
          </cell>
        </row>
        <row r="170">
          <cell r="A170" t="str">
            <v>E4002289</v>
          </cell>
          <cell r="B170" t="str">
            <v>E4006456</v>
          </cell>
          <cell r="C170" t="str">
            <v>FUEL CAP</v>
          </cell>
          <cell r="D170">
            <v>1</v>
          </cell>
          <cell r="E170">
            <v>1935.03</v>
          </cell>
          <cell r="F170">
            <v>312.10000000000002</v>
          </cell>
          <cell r="G170">
            <v>312.10000000000002</v>
          </cell>
          <cell r="H170">
            <v>6</v>
          </cell>
        </row>
        <row r="171">
          <cell r="A171" t="str">
            <v>E12979559</v>
          </cell>
          <cell r="C171" t="str">
            <v>TRANSFORMER FOR HID LAMP</v>
          </cell>
          <cell r="D171">
            <v>1</v>
          </cell>
          <cell r="E171">
            <v>7176.18</v>
          </cell>
          <cell r="F171">
            <v>1157.45</v>
          </cell>
          <cell r="G171">
            <v>1157.45</v>
          </cell>
          <cell r="H171">
            <v>35</v>
          </cell>
        </row>
        <row r="172">
          <cell r="A172" t="str">
            <v>E12613898</v>
          </cell>
          <cell r="C172" t="str">
            <v>V RING SEAL</v>
          </cell>
          <cell r="D172">
            <v>1</v>
          </cell>
          <cell r="E172">
            <v>7171.67</v>
          </cell>
          <cell r="F172">
            <v>1156.72</v>
          </cell>
          <cell r="G172">
            <v>1156.72</v>
          </cell>
          <cell r="H172">
            <v>121</v>
          </cell>
        </row>
        <row r="173">
          <cell r="A173" t="str">
            <v>E12617646</v>
          </cell>
          <cell r="C173" t="str">
            <v>COMPRESSOR</v>
          </cell>
          <cell r="D173">
            <v>1</v>
          </cell>
          <cell r="E173">
            <v>4960.3100000000004</v>
          </cell>
          <cell r="F173">
            <v>800.05</v>
          </cell>
          <cell r="G173">
            <v>800.05</v>
          </cell>
          <cell r="H173">
            <v>210</v>
          </cell>
        </row>
        <row r="174">
          <cell r="A174" t="str">
            <v>E4031185</v>
          </cell>
          <cell r="C174" t="str">
            <v>SWITCH</v>
          </cell>
          <cell r="D174">
            <v>1</v>
          </cell>
          <cell r="E174">
            <v>4824.26</v>
          </cell>
          <cell r="F174">
            <v>778.11</v>
          </cell>
          <cell r="G174">
            <v>778.11</v>
          </cell>
          <cell r="H174">
            <v>81</v>
          </cell>
        </row>
        <row r="175">
          <cell r="A175" t="str">
            <v>E12977454</v>
          </cell>
          <cell r="C175" t="str">
            <v>COIL</v>
          </cell>
          <cell r="D175">
            <v>1</v>
          </cell>
          <cell r="E175">
            <v>4479.78</v>
          </cell>
          <cell r="F175">
            <v>722.55</v>
          </cell>
          <cell r="G175">
            <v>722.55</v>
          </cell>
          <cell r="H175">
            <v>207</v>
          </cell>
        </row>
        <row r="176">
          <cell r="A176" t="str">
            <v>E12622550</v>
          </cell>
          <cell r="B176" t="str">
            <v>E12627150</v>
          </cell>
          <cell r="C176" t="str">
            <v>VALVE, STEER</v>
          </cell>
          <cell r="D176">
            <v>2</v>
          </cell>
          <cell r="E176">
            <v>1223.24</v>
          </cell>
          <cell r="F176">
            <v>707.03</v>
          </cell>
          <cell r="G176">
            <v>1414.06</v>
          </cell>
          <cell r="H176">
            <v>208</v>
          </cell>
        </row>
        <row r="177">
          <cell r="A177" t="str">
            <v>E12592071</v>
          </cell>
          <cell r="C177" t="str">
            <v>A/C KIT</v>
          </cell>
          <cell r="D177">
            <v>1</v>
          </cell>
          <cell r="E177">
            <v>3745.62</v>
          </cell>
          <cell r="F177">
            <v>604.13</v>
          </cell>
          <cell r="G177">
            <v>604.13</v>
          </cell>
          <cell r="H177">
            <v>202</v>
          </cell>
        </row>
        <row r="178">
          <cell r="A178" t="str">
            <v>E12631943</v>
          </cell>
          <cell r="C178" t="str">
            <v>MIRROR ASSY</v>
          </cell>
          <cell r="D178">
            <v>1</v>
          </cell>
          <cell r="E178">
            <v>3398.63</v>
          </cell>
          <cell r="F178">
            <v>548.16999999999996</v>
          </cell>
          <cell r="G178">
            <v>548.16999999999996</v>
          </cell>
          <cell r="H178">
            <v>197</v>
          </cell>
        </row>
        <row r="179">
          <cell r="A179" t="str">
            <v>E12978903</v>
          </cell>
          <cell r="C179" t="str">
            <v>HID LAMP</v>
          </cell>
          <cell r="D179">
            <v>1</v>
          </cell>
          <cell r="E179">
            <v>3310.06</v>
          </cell>
          <cell r="F179">
            <v>533.88</v>
          </cell>
          <cell r="G179">
            <v>533.88</v>
          </cell>
          <cell r="H179">
            <v>34</v>
          </cell>
        </row>
        <row r="180">
          <cell r="A180" t="str">
            <v>E12633145</v>
          </cell>
          <cell r="C180" t="str">
            <v>SEAL KIT</v>
          </cell>
          <cell r="D180">
            <v>1</v>
          </cell>
          <cell r="E180">
            <v>3293.71</v>
          </cell>
          <cell r="F180">
            <v>531.24</v>
          </cell>
          <cell r="G180">
            <v>531.24</v>
          </cell>
          <cell r="H180">
            <v>145</v>
          </cell>
        </row>
        <row r="181">
          <cell r="A181" t="str">
            <v>E1257684</v>
          </cell>
          <cell r="C181" t="str">
            <v>DISPLAY</v>
          </cell>
          <cell r="D181">
            <v>1</v>
          </cell>
          <cell r="E181">
            <v>3189.03</v>
          </cell>
          <cell r="F181">
            <v>514.36</v>
          </cell>
          <cell r="G181">
            <v>514.36</v>
          </cell>
          <cell r="H181">
            <v>86</v>
          </cell>
        </row>
        <row r="182">
          <cell r="A182" t="str">
            <v>E4069396</v>
          </cell>
          <cell r="C182" t="str">
            <v>GASKET</v>
          </cell>
          <cell r="D182">
            <v>1</v>
          </cell>
          <cell r="E182">
            <v>3068.39</v>
          </cell>
          <cell r="F182">
            <v>494.9</v>
          </cell>
          <cell r="G182">
            <v>494.9</v>
          </cell>
          <cell r="H182">
            <v>9</v>
          </cell>
        </row>
        <row r="183">
          <cell r="A183" t="str">
            <v>E12631945</v>
          </cell>
          <cell r="C183" t="str">
            <v>MIRROR ASSY</v>
          </cell>
          <cell r="D183">
            <v>1</v>
          </cell>
          <cell r="E183">
            <v>2962.57</v>
          </cell>
          <cell r="F183">
            <v>477.83</v>
          </cell>
          <cell r="G183">
            <v>477.83</v>
          </cell>
          <cell r="H183">
            <v>196</v>
          </cell>
        </row>
        <row r="184">
          <cell r="A184" t="str">
            <v>E12977480</v>
          </cell>
          <cell r="C184" t="str">
            <v>SWITCH KIT</v>
          </cell>
          <cell r="D184">
            <v>1</v>
          </cell>
          <cell r="E184">
            <v>2515.86</v>
          </cell>
          <cell r="F184">
            <v>405.78</v>
          </cell>
          <cell r="G184">
            <v>405.78</v>
          </cell>
          <cell r="H184">
            <v>155</v>
          </cell>
        </row>
        <row r="185">
          <cell r="A185" t="str">
            <v>E12979362</v>
          </cell>
          <cell r="C185" t="str">
            <v>SEAL KIT</v>
          </cell>
          <cell r="D185">
            <v>2</v>
          </cell>
          <cell r="E185">
            <v>2388.7800000000002</v>
          </cell>
          <cell r="F185">
            <v>385.29</v>
          </cell>
          <cell r="G185">
            <v>770.57</v>
          </cell>
          <cell r="H185">
            <v>119</v>
          </cell>
        </row>
        <row r="186">
          <cell r="A186" t="str">
            <v>E13813138</v>
          </cell>
          <cell r="C186" t="str">
            <v>O RING</v>
          </cell>
          <cell r="D186">
            <v>1</v>
          </cell>
          <cell r="E186">
            <v>1777.94</v>
          </cell>
          <cell r="F186">
            <v>286.76</v>
          </cell>
          <cell r="G186">
            <v>286.76</v>
          </cell>
          <cell r="H186">
            <v>178</v>
          </cell>
        </row>
        <row r="187">
          <cell r="A187" t="str">
            <v>E12629058</v>
          </cell>
          <cell r="C187" t="str">
            <v>REGULATOR</v>
          </cell>
          <cell r="D187">
            <v>1</v>
          </cell>
          <cell r="E187">
            <v>1586.36</v>
          </cell>
          <cell r="F187">
            <v>255.86</v>
          </cell>
          <cell r="G187">
            <v>255.86</v>
          </cell>
          <cell r="H187">
            <v>193</v>
          </cell>
        </row>
        <row r="188">
          <cell r="A188" t="str">
            <v>E12629059</v>
          </cell>
          <cell r="C188" t="str">
            <v>REGULATOR</v>
          </cell>
          <cell r="D188">
            <v>1</v>
          </cell>
          <cell r="E188">
            <v>1565.69</v>
          </cell>
          <cell r="F188">
            <v>252.53</v>
          </cell>
          <cell r="G188">
            <v>252.53</v>
          </cell>
          <cell r="H188">
            <v>195</v>
          </cell>
        </row>
        <row r="189">
          <cell r="A189" t="str">
            <v>E12612905</v>
          </cell>
          <cell r="C189" t="str">
            <v>REGULATOR KIT</v>
          </cell>
          <cell r="D189">
            <v>1</v>
          </cell>
          <cell r="E189">
            <v>1114.32</v>
          </cell>
          <cell r="F189">
            <v>179.73</v>
          </cell>
          <cell r="G189">
            <v>179.73</v>
          </cell>
          <cell r="H189">
            <v>28</v>
          </cell>
        </row>
        <row r="190">
          <cell r="A190" t="str">
            <v>E12599327</v>
          </cell>
          <cell r="C190" t="str">
            <v>BUSHING</v>
          </cell>
          <cell r="D190">
            <v>1</v>
          </cell>
          <cell r="E190">
            <v>1065.72</v>
          </cell>
          <cell r="F190">
            <v>171.89</v>
          </cell>
          <cell r="G190">
            <v>171.89</v>
          </cell>
          <cell r="H190">
            <v>176</v>
          </cell>
        </row>
        <row r="191">
          <cell r="A191" t="str">
            <v>E12640525</v>
          </cell>
          <cell r="C191" t="str">
            <v>HALOGEN LAMP</v>
          </cell>
          <cell r="D191">
            <v>1</v>
          </cell>
          <cell r="E191">
            <v>1059.9100000000001</v>
          </cell>
          <cell r="F191">
            <v>170.95</v>
          </cell>
          <cell r="G191">
            <v>170.95</v>
          </cell>
          <cell r="H191">
            <v>73</v>
          </cell>
        </row>
        <row r="192">
          <cell r="A192" t="str">
            <v>E12977986</v>
          </cell>
          <cell r="C192" t="str">
            <v>RELAY</v>
          </cell>
          <cell r="D192">
            <v>1</v>
          </cell>
          <cell r="E192">
            <v>917.17</v>
          </cell>
          <cell r="F192">
            <v>147.93</v>
          </cell>
          <cell r="G192">
            <v>147.93</v>
          </cell>
          <cell r="H192">
            <v>82</v>
          </cell>
        </row>
        <row r="193">
          <cell r="A193" t="str">
            <v>E12574889</v>
          </cell>
          <cell r="C193" t="str">
            <v>CHACK VALVE</v>
          </cell>
          <cell r="D193">
            <v>1</v>
          </cell>
          <cell r="E193">
            <v>789.7</v>
          </cell>
          <cell r="F193">
            <v>127.37</v>
          </cell>
          <cell r="G193">
            <v>127.37</v>
          </cell>
          <cell r="H193">
            <v>27</v>
          </cell>
        </row>
        <row r="194">
          <cell r="A194" t="str">
            <v>E12978050</v>
          </cell>
          <cell r="C194" t="str">
            <v>SEAL KIT</v>
          </cell>
          <cell r="D194">
            <v>1</v>
          </cell>
          <cell r="E194">
            <v>647.45000000000005</v>
          </cell>
          <cell r="F194">
            <v>104.43</v>
          </cell>
          <cell r="G194">
            <v>104.43</v>
          </cell>
          <cell r="H194">
            <v>228</v>
          </cell>
        </row>
        <row r="195">
          <cell r="A195" t="str">
            <v>E4026135</v>
          </cell>
          <cell r="C195" t="str">
            <v>TEHRMOSTAT</v>
          </cell>
          <cell r="D195">
            <v>1</v>
          </cell>
          <cell r="E195">
            <v>631.15</v>
          </cell>
          <cell r="F195">
            <v>101.8</v>
          </cell>
          <cell r="G195">
            <v>101.8</v>
          </cell>
          <cell r="H195">
            <v>214</v>
          </cell>
        </row>
        <row r="196">
          <cell r="A196" t="str">
            <v>E12003139</v>
          </cell>
          <cell r="C196" t="str">
            <v>HOSE BULK</v>
          </cell>
          <cell r="D196">
            <v>1</v>
          </cell>
          <cell r="E196">
            <v>597.33000000000004</v>
          </cell>
          <cell r="F196">
            <v>96.34</v>
          </cell>
          <cell r="G196">
            <v>96.34</v>
          </cell>
          <cell r="H196">
            <v>19</v>
          </cell>
        </row>
        <row r="197">
          <cell r="A197" t="str">
            <v>E12587311</v>
          </cell>
          <cell r="C197" t="str">
            <v>HEADLIGHT SWITCH</v>
          </cell>
          <cell r="D197">
            <v>1</v>
          </cell>
          <cell r="E197">
            <v>571.58000000000004</v>
          </cell>
          <cell r="F197">
            <v>92.19</v>
          </cell>
          <cell r="G197">
            <v>92.19</v>
          </cell>
          <cell r="H197">
            <v>90</v>
          </cell>
        </row>
        <row r="198">
          <cell r="A198" t="str">
            <v>E12618408</v>
          </cell>
          <cell r="C198" t="str">
            <v>CRUISE CONT. SWITCH</v>
          </cell>
          <cell r="D198">
            <v>1</v>
          </cell>
          <cell r="E198">
            <v>561.82000000000005</v>
          </cell>
          <cell r="F198">
            <v>90.62</v>
          </cell>
          <cell r="G198">
            <v>90.62</v>
          </cell>
          <cell r="H198">
            <v>104</v>
          </cell>
        </row>
        <row r="199">
          <cell r="A199" t="str">
            <v>E12594983</v>
          </cell>
          <cell r="C199" t="str">
            <v>STUD</v>
          </cell>
          <cell r="D199">
            <v>16</v>
          </cell>
          <cell r="E199">
            <v>546.34</v>
          </cell>
          <cell r="F199">
            <v>88.12</v>
          </cell>
          <cell r="G199">
            <v>1409.91</v>
          </cell>
          <cell r="H199">
            <v>184</v>
          </cell>
        </row>
        <row r="200">
          <cell r="A200" t="str">
            <v>E12594983</v>
          </cell>
          <cell r="C200" t="str">
            <v>STUD</v>
          </cell>
          <cell r="D200">
            <v>16</v>
          </cell>
          <cell r="E200">
            <v>546.34</v>
          </cell>
          <cell r="F200">
            <v>88.12</v>
          </cell>
          <cell r="G200">
            <v>1409.91</v>
          </cell>
          <cell r="H200">
            <v>205</v>
          </cell>
        </row>
        <row r="201">
          <cell r="A201" t="str">
            <v>E12621516</v>
          </cell>
          <cell r="C201" t="str">
            <v>NUT</v>
          </cell>
          <cell r="D201">
            <v>16</v>
          </cell>
          <cell r="E201">
            <v>529.29</v>
          </cell>
          <cell r="F201">
            <v>85.37</v>
          </cell>
          <cell r="G201">
            <v>1365.91</v>
          </cell>
          <cell r="H201">
            <v>185</v>
          </cell>
        </row>
        <row r="202">
          <cell r="A202" t="str">
            <v>E12628827</v>
          </cell>
          <cell r="C202" t="str">
            <v>LENS</v>
          </cell>
          <cell r="D202">
            <v>1</v>
          </cell>
          <cell r="E202">
            <v>527.29</v>
          </cell>
          <cell r="F202">
            <v>85.05</v>
          </cell>
          <cell r="G202">
            <v>85.05</v>
          </cell>
          <cell r="H202">
            <v>87</v>
          </cell>
        </row>
        <row r="203">
          <cell r="A203" t="str">
            <v>E12591706</v>
          </cell>
          <cell r="C203" t="str">
            <v>SWITCH</v>
          </cell>
          <cell r="D203">
            <v>1</v>
          </cell>
          <cell r="E203">
            <v>412.97</v>
          </cell>
          <cell r="F203">
            <v>66.61</v>
          </cell>
          <cell r="G203">
            <v>66.61</v>
          </cell>
          <cell r="H203">
            <v>98</v>
          </cell>
        </row>
        <row r="204">
          <cell r="A204" t="str">
            <v>E12588314</v>
          </cell>
          <cell r="C204" t="str">
            <v>AIR DRIER</v>
          </cell>
          <cell r="D204">
            <v>1</v>
          </cell>
          <cell r="E204">
            <v>402.46</v>
          </cell>
          <cell r="F204">
            <v>64.91</v>
          </cell>
          <cell r="G204">
            <v>64.91</v>
          </cell>
          <cell r="H204">
            <v>209</v>
          </cell>
        </row>
        <row r="205">
          <cell r="A205" t="str">
            <v>E12640345</v>
          </cell>
          <cell r="C205" t="str">
            <v>LOW KIT HORN</v>
          </cell>
          <cell r="D205">
            <v>1</v>
          </cell>
          <cell r="E205">
            <v>391.79</v>
          </cell>
          <cell r="F205">
            <v>63.19</v>
          </cell>
          <cell r="G205">
            <v>63.19</v>
          </cell>
          <cell r="H205">
            <v>40</v>
          </cell>
        </row>
        <row r="206">
          <cell r="A206" t="str">
            <v>E12640346</v>
          </cell>
          <cell r="C206" t="str">
            <v>HIGH KIT HORE</v>
          </cell>
          <cell r="D206">
            <v>1</v>
          </cell>
          <cell r="E206">
            <v>391.79</v>
          </cell>
          <cell r="F206">
            <v>63.19</v>
          </cell>
          <cell r="G206">
            <v>63.19</v>
          </cell>
          <cell r="H206">
            <v>36</v>
          </cell>
        </row>
        <row r="207">
          <cell r="A207" t="str">
            <v>E12588812</v>
          </cell>
          <cell r="C207" t="str">
            <v>SWITCH</v>
          </cell>
          <cell r="D207">
            <v>1</v>
          </cell>
          <cell r="E207">
            <v>383.32</v>
          </cell>
          <cell r="F207">
            <v>61.83</v>
          </cell>
          <cell r="G207">
            <v>61.83</v>
          </cell>
          <cell r="H207">
            <v>102</v>
          </cell>
        </row>
        <row r="208">
          <cell r="A208" t="str">
            <v>E4045726</v>
          </cell>
          <cell r="C208" t="str">
            <v>VALVE</v>
          </cell>
          <cell r="D208">
            <v>1</v>
          </cell>
          <cell r="E208">
            <v>366.66</v>
          </cell>
          <cell r="F208">
            <v>59.14</v>
          </cell>
          <cell r="G208">
            <v>59.14</v>
          </cell>
          <cell r="H208">
            <v>201</v>
          </cell>
        </row>
        <row r="209">
          <cell r="A209" t="str">
            <v>E12618068</v>
          </cell>
          <cell r="C209" t="str">
            <v>VALVE</v>
          </cell>
          <cell r="D209">
            <v>1</v>
          </cell>
          <cell r="E209">
            <v>329.9</v>
          </cell>
          <cell r="F209">
            <v>53.21</v>
          </cell>
          <cell r="G209">
            <v>53.21</v>
          </cell>
          <cell r="H209">
            <v>208</v>
          </cell>
        </row>
        <row r="210">
          <cell r="A210" t="str">
            <v>E4091032</v>
          </cell>
          <cell r="C210" t="str">
            <v>GASKET</v>
          </cell>
          <cell r="D210">
            <v>1</v>
          </cell>
          <cell r="E210">
            <v>326.11</v>
          </cell>
          <cell r="F210">
            <v>52.6</v>
          </cell>
          <cell r="G210">
            <v>52.6</v>
          </cell>
          <cell r="H210">
            <v>107</v>
          </cell>
        </row>
        <row r="211">
          <cell r="A211" t="str">
            <v>E12618067</v>
          </cell>
          <cell r="C211" t="str">
            <v>VALVE</v>
          </cell>
          <cell r="D211">
            <v>1</v>
          </cell>
          <cell r="E211">
            <v>323.23</v>
          </cell>
          <cell r="F211">
            <v>52.13</v>
          </cell>
          <cell r="G211">
            <v>52.13</v>
          </cell>
          <cell r="H211">
            <v>211</v>
          </cell>
        </row>
        <row r="212">
          <cell r="A212" t="str">
            <v>E12594724</v>
          </cell>
          <cell r="C212" t="str">
            <v>GASKET</v>
          </cell>
          <cell r="D212">
            <v>1</v>
          </cell>
          <cell r="E212">
            <v>320.07</v>
          </cell>
          <cell r="F212">
            <v>51.62</v>
          </cell>
          <cell r="G212">
            <v>51.62</v>
          </cell>
          <cell r="H212">
            <v>186</v>
          </cell>
        </row>
        <row r="213">
          <cell r="A213" t="str">
            <v>E12587312</v>
          </cell>
          <cell r="C213" t="str">
            <v>SWITCH</v>
          </cell>
          <cell r="D213">
            <v>1</v>
          </cell>
          <cell r="E213">
            <v>294.52999999999997</v>
          </cell>
          <cell r="F213">
            <v>47.5</v>
          </cell>
          <cell r="G213">
            <v>47.5</v>
          </cell>
          <cell r="H213">
            <v>93</v>
          </cell>
        </row>
        <row r="214">
          <cell r="A214" t="str">
            <v>E12977447</v>
          </cell>
          <cell r="C214" t="str">
            <v>SWITCH</v>
          </cell>
          <cell r="D214">
            <v>1</v>
          </cell>
          <cell r="E214">
            <v>275.29000000000002</v>
          </cell>
          <cell r="F214">
            <v>44.4</v>
          </cell>
          <cell r="G214">
            <v>44.4</v>
          </cell>
          <cell r="H214">
            <v>203</v>
          </cell>
        </row>
        <row r="215">
          <cell r="A215" t="str">
            <v>E12587421</v>
          </cell>
          <cell r="C215" t="str">
            <v>SWITCH</v>
          </cell>
          <cell r="D215">
            <v>1</v>
          </cell>
          <cell r="E215">
            <v>267.8</v>
          </cell>
          <cell r="F215">
            <v>43.19</v>
          </cell>
          <cell r="G215">
            <v>43.19</v>
          </cell>
          <cell r="H215">
            <v>101</v>
          </cell>
        </row>
        <row r="216">
          <cell r="A216" t="str">
            <v>E4087445</v>
          </cell>
          <cell r="C216" t="str">
            <v>SPRING</v>
          </cell>
          <cell r="D216">
            <v>1</v>
          </cell>
          <cell r="E216">
            <v>257.37</v>
          </cell>
          <cell r="F216">
            <v>41.51</v>
          </cell>
          <cell r="G216">
            <v>41.51</v>
          </cell>
          <cell r="H216">
            <v>144</v>
          </cell>
        </row>
        <row r="217">
          <cell r="A217" t="str">
            <v>E13812470</v>
          </cell>
          <cell r="C217" t="str">
            <v>HOSE BULK</v>
          </cell>
          <cell r="D217">
            <v>2</v>
          </cell>
          <cell r="E217">
            <v>255.51</v>
          </cell>
          <cell r="F217">
            <v>41.21</v>
          </cell>
          <cell r="G217">
            <v>82.42</v>
          </cell>
          <cell r="H217">
            <v>17</v>
          </cell>
        </row>
        <row r="218">
          <cell r="A218" t="str">
            <v>E12614480</v>
          </cell>
          <cell r="C218" t="str">
            <v>GASKET</v>
          </cell>
          <cell r="D218">
            <v>1</v>
          </cell>
          <cell r="E218">
            <v>202.55</v>
          </cell>
          <cell r="F218">
            <v>32.67</v>
          </cell>
          <cell r="G218">
            <v>32.67</v>
          </cell>
          <cell r="H218">
            <v>111</v>
          </cell>
        </row>
        <row r="219">
          <cell r="A219" t="str">
            <v>E12587185</v>
          </cell>
          <cell r="C219" t="str">
            <v>WIPER SWITCH</v>
          </cell>
          <cell r="D219">
            <v>1</v>
          </cell>
          <cell r="E219">
            <v>196.06</v>
          </cell>
          <cell r="F219">
            <v>31.62</v>
          </cell>
          <cell r="G219">
            <v>31.62</v>
          </cell>
          <cell r="H219">
            <v>94</v>
          </cell>
        </row>
        <row r="220">
          <cell r="A220" t="str">
            <v>E12597520</v>
          </cell>
          <cell r="C220" t="str">
            <v>CIRCUIT BREAKER 5 AMP</v>
          </cell>
          <cell r="D220">
            <v>3</v>
          </cell>
          <cell r="E220">
            <v>193.79</v>
          </cell>
          <cell r="F220">
            <v>31.26</v>
          </cell>
          <cell r="G220">
            <v>93.77</v>
          </cell>
          <cell r="H220">
            <v>51</v>
          </cell>
        </row>
        <row r="221">
          <cell r="A221" t="str">
            <v>E12597521</v>
          </cell>
          <cell r="C221" t="str">
            <v>CIRCUIT BREAKER 10 AMP</v>
          </cell>
          <cell r="D221">
            <v>3</v>
          </cell>
          <cell r="E221">
            <v>183.79</v>
          </cell>
          <cell r="F221">
            <v>29.64</v>
          </cell>
          <cell r="G221">
            <v>88.93</v>
          </cell>
          <cell r="H221">
            <v>52</v>
          </cell>
        </row>
        <row r="222">
          <cell r="A222" t="str">
            <v>E12597522</v>
          </cell>
          <cell r="C222" t="str">
            <v>CIRCUIT BREAKER 15 AMP</v>
          </cell>
          <cell r="D222">
            <v>1</v>
          </cell>
          <cell r="E222">
            <v>181.47</v>
          </cell>
          <cell r="F222">
            <v>29.27</v>
          </cell>
          <cell r="G222">
            <v>29.27</v>
          </cell>
          <cell r="H222">
            <v>53</v>
          </cell>
        </row>
        <row r="223">
          <cell r="A223" t="str">
            <v>E12597523</v>
          </cell>
          <cell r="C223" t="str">
            <v>CIRCUIT BREAKER 20 AMP</v>
          </cell>
          <cell r="D223">
            <v>1</v>
          </cell>
          <cell r="E223">
            <v>181.47</v>
          </cell>
          <cell r="F223">
            <v>29.27</v>
          </cell>
          <cell r="G223">
            <v>29.27</v>
          </cell>
          <cell r="H223">
            <v>54</v>
          </cell>
        </row>
        <row r="224">
          <cell r="A224" t="str">
            <v>E12587313</v>
          </cell>
          <cell r="C224" t="str">
            <v>WASH SWITCH</v>
          </cell>
          <cell r="D224">
            <v>1</v>
          </cell>
          <cell r="E224">
            <v>149.5</v>
          </cell>
          <cell r="F224">
            <v>24.11</v>
          </cell>
          <cell r="G224">
            <v>24.11</v>
          </cell>
          <cell r="H224">
            <v>95</v>
          </cell>
        </row>
        <row r="225">
          <cell r="A225" t="str">
            <v>E12619274</v>
          </cell>
          <cell r="C225" t="str">
            <v>BULB</v>
          </cell>
          <cell r="D225">
            <v>1</v>
          </cell>
          <cell r="E225">
            <v>145.4</v>
          </cell>
          <cell r="F225">
            <v>23.45</v>
          </cell>
          <cell r="G225">
            <v>23.45</v>
          </cell>
          <cell r="H225">
            <v>74</v>
          </cell>
        </row>
        <row r="226">
          <cell r="A226" t="str">
            <v>E4029811</v>
          </cell>
          <cell r="C226" t="str">
            <v>V BELT</v>
          </cell>
          <cell r="D226">
            <v>1</v>
          </cell>
          <cell r="E226">
            <v>140.97</v>
          </cell>
          <cell r="F226">
            <v>22.74</v>
          </cell>
          <cell r="G226">
            <v>22.74</v>
          </cell>
          <cell r="H226">
            <v>2</v>
          </cell>
        </row>
        <row r="227">
          <cell r="A227" t="str">
            <v>E13966327</v>
          </cell>
          <cell r="C227" t="str">
            <v>BULB</v>
          </cell>
          <cell r="D227">
            <v>4</v>
          </cell>
          <cell r="E227">
            <v>82.6</v>
          </cell>
          <cell r="F227">
            <v>13.32</v>
          </cell>
          <cell r="G227">
            <v>53.29</v>
          </cell>
          <cell r="H227">
            <v>88</v>
          </cell>
        </row>
        <row r="228">
          <cell r="A228" t="str">
            <v>E4027369</v>
          </cell>
          <cell r="C228" t="str">
            <v>BULB</v>
          </cell>
          <cell r="D228">
            <v>1</v>
          </cell>
          <cell r="E228">
            <v>82.22</v>
          </cell>
          <cell r="F228">
            <v>13.26</v>
          </cell>
          <cell r="G228">
            <v>13.26</v>
          </cell>
          <cell r="H228">
            <v>200</v>
          </cell>
        </row>
        <row r="229">
          <cell r="A229" t="str">
            <v>E12978980</v>
          </cell>
          <cell r="C229" t="str">
            <v>O RING</v>
          </cell>
          <cell r="D229">
            <v>1</v>
          </cell>
          <cell r="E229">
            <v>73.400000000000006</v>
          </cell>
          <cell r="F229">
            <v>11.84</v>
          </cell>
          <cell r="G229">
            <v>11.84</v>
          </cell>
          <cell r="H229">
            <v>233</v>
          </cell>
        </row>
        <row r="230">
          <cell r="A230" t="str">
            <v>E9247259</v>
          </cell>
          <cell r="C230" t="str">
            <v>GASKET</v>
          </cell>
          <cell r="D230">
            <v>1</v>
          </cell>
          <cell r="E230">
            <v>71.36</v>
          </cell>
          <cell r="F230">
            <v>11.51</v>
          </cell>
          <cell r="G230">
            <v>11.51</v>
          </cell>
          <cell r="H230">
            <v>217</v>
          </cell>
        </row>
        <row r="231">
          <cell r="A231" t="str">
            <v>E4074681</v>
          </cell>
          <cell r="C231" t="str">
            <v>BLEEDER</v>
          </cell>
          <cell r="D231">
            <v>1</v>
          </cell>
          <cell r="E231">
            <v>48.18</v>
          </cell>
          <cell r="F231">
            <v>7.77</v>
          </cell>
          <cell r="G231">
            <v>7.77</v>
          </cell>
          <cell r="H231">
            <v>136</v>
          </cell>
        </row>
        <row r="232">
          <cell r="A232" t="str">
            <v>E9183385</v>
          </cell>
          <cell r="C232" t="str">
            <v>GASKET</v>
          </cell>
          <cell r="D232">
            <v>1</v>
          </cell>
          <cell r="E232">
            <v>39.56</v>
          </cell>
          <cell r="F232">
            <v>6.38</v>
          </cell>
          <cell r="G232">
            <v>6.38</v>
          </cell>
          <cell r="H232">
            <v>7</v>
          </cell>
        </row>
        <row r="233">
          <cell r="A233" t="str">
            <v>E11997242</v>
          </cell>
          <cell r="C233" t="str">
            <v>BULB</v>
          </cell>
          <cell r="D233">
            <v>2</v>
          </cell>
          <cell r="E233">
            <v>38.14</v>
          </cell>
          <cell r="F233">
            <v>6.15</v>
          </cell>
          <cell r="G233">
            <v>12.3</v>
          </cell>
          <cell r="H233">
            <v>91</v>
          </cell>
        </row>
        <row r="234">
          <cell r="A234" t="str">
            <v>E4015997</v>
          </cell>
          <cell r="C234" t="str">
            <v>HOSE BULK</v>
          </cell>
          <cell r="D234">
            <v>1</v>
          </cell>
          <cell r="E234">
            <v>36.119999999999997</v>
          </cell>
          <cell r="F234">
            <v>5.83</v>
          </cell>
          <cell r="G234">
            <v>5.83</v>
          </cell>
          <cell r="H234">
            <v>18</v>
          </cell>
        </row>
        <row r="235">
          <cell r="A235" t="str">
            <v>E13805272</v>
          </cell>
          <cell r="C235" t="str">
            <v>O RING</v>
          </cell>
          <cell r="D235">
            <v>1</v>
          </cell>
          <cell r="E235">
            <v>26.68</v>
          </cell>
          <cell r="F235">
            <v>4.3</v>
          </cell>
          <cell r="G235">
            <v>4.3</v>
          </cell>
          <cell r="H235">
            <v>130</v>
          </cell>
        </row>
        <row r="236">
          <cell r="A236" t="str">
            <v>E12591623</v>
          </cell>
          <cell r="C236" t="str">
            <v>FUSE</v>
          </cell>
          <cell r="D236">
            <v>1</v>
          </cell>
          <cell r="E236">
            <v>21.61</v>
          </cell>
          <cell r="F236">
            <v>3.49</v>
          </cell>
          <cell r="G236">
            <v>3.49</v>
          </cell>
          <cell r="H236">
            <v>59</v>
          </cell>
        </row>
        <row r="237">
          <cell r="A237" t="str">
            <v>E13807012</v>
          </cell>
          <cell r="C237" t="str">
            <v>O RING</v>
          </cell>
          <cell r="D237">
            <v>1</v>
          </cell>
          <cell r="E237">
            <v>20.3</v>
          </cell>
          <cell r="F237">
            <v>3.27</v>
          </cell>
          <cell r="G237">
            <v>3.27</v>
          </cell>
          <cell r="H237">
            <v>164</v>
          </cell>
        </row>
        <row r="238">
          <cell r="A238" t="str">
            <v>E1298069</v>
          </cell>
          <cell r="C238" t="str">
            <v>SEAL KIT</v>
          </cell>
          <cell r="D238">
            <v>1</v>
          </cell>
          <cell r="E238">
            <v>17.14</v>
          </cell>
          <cell r="F238">
            <v>2.76</v>
          </cell>
          <cell r="G238">
            <v>2.76</v>
          </cell>
          <cell r="H238">
            <v>227</v>
          </cell>
        </row>
        <row r="239">
          <cell r="A239" t="str">
            <v>E12003092</v>
          </cell>
          <cell r="C239" t="str">
            <v>BULK HOSE</v>
          </cell>
          <cell r="D239">
            <v>1</v>
          </cell>
          <cell r="E239">
            <v>12.41</v>
          </cell>
          <cell r="F239">
            <v>2</v>
          </cell>
          <cell r="G239">
            <v>2</v>
          </cell>
          <cell r="H239">
            <v>46</v>
          </cell>
        </row>
        <row r="240">
          <cell r="A240" t="str">
            <v>E1261560</v>
          </cell>
          <cell r="C240" t="str">
            <v>TERMINAL</v>
          </cell>
          <cell r="D240">
            <v>1</v>
          </cell>
          <cell r="E240">
            <v>6.49</v>
          </cell>
          <cell r="F240">
            <v>1.05</v>
          </cell>
          <cell r="G240">
            <v>1.05</v>
          </cell>
          <cell r="H240">
            <v>38</v>
          </cell>
        </row>
        <row r="241">
          <cell r="A241" t="str">
            <v>E1261559</v>
          </cell>
          <cell r="C241" t="str">
            <v>CONTACTOR</v>
          </cell>
          <cell r="D241">
            <v>1</v>
          </cell>
          <cell r="E241">
            <v>5.33</v>
          </cell>
          <cell r="F241">
            <v>0.86</v>
          </cell>
          <cell r="G241">
            <v>0.86</v>
          </cell>
          <cell r="H241">
            <v>37</v>
          </cell>
        </row>
        <row r="242">
          <cell r="A242" t="str">
            <v>E12623140</v>
          </cell>
          <cell r="B242" t="str">
            <v>E12627282</v>
          </cell>
          <cell r="C242" t="str">
            <v>TRACTION ALTERNATOR (Alt.with rectifier)</v>
          </cell>
          <cell r="D242">
            <v>2</v>
          </cell>
          <cell r="E242">
            <v>0</v>
          </cell>
          <cell r="G242" t="str">
            <v xml:space="preserve"> </v>
          </cell>
          <cell r="H242">
            <v>1000</v>
          </cell>
        </row>
        <row r="243">
          <cell r="B243" t="str">
            <v>E12635761</v>
          </cell>
          <cell r="C243" t="str">
            <v>Alternator TROLLEY dual wound</v>
          </cell>
        </row>
        <row r="244">
          <cell r="B244" t="str">
            <v>E12975761</v>
          </cell>
          <cell r="C244" t="str">
            <v>Rectiifier</v>
          </cell>
        </row>
        <row r="245">
          <cell r="A245" t="str">
            <v>E12635776</v>
          </cell>
          <cell r="B245" t="str">
            <v>E12641657</v>
          </cell>
          <cell r="C245" t="str">
            <v>Spindle ASSY (INCLUDES PLANETARY GEARS, SPINDLE, WET DISC BRAKE, LESS TRACTION MOTOR &amp; MISCELLANEOUS HARDWARE)</v>
          </cell>
          <cell r="D245">
            <v>4</v>
          </cell>
          <cell r="E245">
            <v>323948</v>
          </cell>
          <cell r="F245">
            <v>213806</v>
          </cell>
          <cell r="G245">
            <v>855224</v>
          </cell>
          <cell r="H245">
            <v>1</v>
          </cell>
        </row>
        <row r="246">
          <cell r="A246" t="str">
            <v>E12593416</v>
          </cell>
          <cell r="C246" t="str">
            <v>STRUT ASSEMBLY FRONT</v>
          </cell>
          <cell r="D246">
            <v>4</v>
          </cell>
          <cell r="E246">
            <v>23096</v>
          </cell>
          <cell r="F246">
            <v>14377.26</v>
          </cell>
          <cell r="G246">
            <v>57509.04</v>
          </cell>
          <cell r="H246">
            <v>2</v>
          </cell>
        </row>
        <row r="247">
          <cell r="A247" t="str">
            <v>E12618728</v>
          </cell>
          <cell r="C247" t="str">
            <v>STRUT ASSEMBLY REAR</v>
          </cell>
          <cell r="D247">
            <v>4</v>
          </cell>
          <cell r="E247">
            <v>18481</v>
          </cell>
          <cell r="F247">
            <v>11781.85</v>
          </cell>
          <cell r="G247">
            <v>47127.4</v>
          </cell>
          <cell r="H247">
            <v>3</v>
          </cell>
        </row>
        <row r="248">
          <cell r="A248" t="str">
            <v>E12597535</v>
          </cell>
          <cell r="C248" t="str">
            <v>PUMP - HYDRAULIC</v>
          </cell>
          <cell r="D248">
            <v>4</v>
          </cell>
          <cell r="E248">
            <v>7985.09</v>
          </cell>
          <cell r="F248">
            <v>5090.49</v>
          </cell>
          <cell r="G248">
            <v>20361.96</v>
          </cell>
          <cell r="H248">
            <v>4</v>
          </cell>
        </row>
        <row r="249">
          <cell r="A249" t="str">
            <v>E12619749</v>
          </cell>
          <cell r="C249" t="str">
            <v>ACCUMULATOR - STEER</v>
          </cell>
          <cell r="D249">
            <v>2</v>
          </cell>
          <cell r="E249">
            <v>5842.32</v>
          </cell>
          <cell r="F249">
            <v>3724.49</v>
          </cell>
          <cell r="G249">
            <v>7448.98</v>
          </cell>
          <cell r="H249">
            <v>5</v>
          </cell>
        </row>
        <row r="250">
          <cell r="A250" t="str">
            <v>E12596419</v>
          </cell>
          <cell r="C250" t="str">
            <v>STEER PUMP</v>
          </cell>
          <cell r="D250">
            <v>3</v>
          </cell>
          <cell r="E250">
            <v>5163.2700000000004</v>
          </cell>
          <cell r="F250">
            <v>3291.58</v>
          </cell>
          <cell r="G250">
            <v>9874.74</v>
          </cell>
          <cell r="H250">
            <v>6</v>
          </cell>
        </row>
        <row r="251">
          <cell r="A251" t="str">
            <v>E12627151</v>
          </cell>
          <cell r="C251" t="str">
            <v>VALVE - FLOW AMPLIFIER</v>
          </cell>
          <cell r="D251">
            <v>2</v>
          </cell>
          <cell r="E251">
            <v>3810.88</v>
          </cell>
          <cell r="F251">
            <v>2202.69</v>
          </cell>
          <cell r="G251">
            <v>4405.38</v>
          </cell>
          <cell r="H251">
            <v>7</v>
          </cell>
        </row>
        <row r="252">
          <cell r="A252" t="str">
            <v>E2542896</v>
          </cell>
          <cell r="C252" t="str">
            <v>ACCUMULATOR, BRAKE</v>
          </cell>
          <cell r="D252">
            <v>2</v>
          </cell>
          <cell r="E252">
            <v>877.16</v>
          </cell>
          <cell r="F252">
            <v>507</v>
          </cell>
          <cell r="G252">
            <v>1014</v>
          </cell>
          <cell r="H252">
            <v>6</v>
          </cell>
        </row>
        <row r="253">
          <cell r="A253" t="str">
            <v>E12641560</v>
          </cell>
          <cell r="C253" t="str">
            <v>TERMINAL</v>
          </cell>
          <cell r="D253">
            <v>1</v>
          </cell>
          <cell r="E253">
            <v>6.49</v>
          </cell>
          <cell r="F253">
            <v>1.05</v>
          </cell>
          <cell r="G253">
            <v>1.05</v>
          </cell>
          <cell r="H253">
            <v>42</v>
          </cell>
        </row>
        <row r="254">
          <cell r="A254" t="str">
            <v>E12641559</v>
          </cell>
          <cell r="C254" t="str">
            <v>CONTACTOR</v>
          </cell>
          <cell r="D254">
            <v>1</v>
          </cell>
          <cell r="E254">
            <v>5.33</v>
          </cell>
          <cell r="F254">
            <v>0.86</v>
          </cell>
          <cell r="G254">
            <v>0.86</v>
          </cell>
          <cell r="H254">
            <v>41</v>
          </cell>
        </row>
        <row r="255">
          <cell r="A255" t="str">
            <v>E12641561</v>
          </cell>
          <cell r="C255" t="str">
            <v>TERMINAL</v>
          </cell>
          <cell r="D255">
            <v>1</v>
          </cell>
          <cell r="E255">
            <v>5.33</v>
          </cell>
          <cell r="F255">
            <v>0.86</v>
          </cell>
          <cell r="G255">
            <v>0.86</v>
          </cell>
          <cell r="H255">
            <v>39</v>
          </cell>
        </row>
        <row r="256">
          <cell r="A256" t="str">
            <v>E12641561</v>
          </cell>
          <cell r="C256" t="str">
            <v>TERMINAL</v>
          </cell>
          <cell r="D256">
            <v>1</v>
          </cell>
          <cell r="E256">
            <v>5.33</v>
          </cell>
          <cell r="F256">
            <v>0.86</v>
          </cell>
          <cell r="G256">
            <v>0.86</v>
          </cell>
          <cell r="H256">
            <v>43</v>
          </cell>
        </row>
        <row r="257">
          <cell r="A257" t="str">
            <v>Engine DDC</v>
          </cell>
          <cell r="C257" t="str">
            <v>16VS4000  2700 HP DETROIT DIESEL ENGINE, 1900 RPM (MODEL. T1637K11)</v>
          </cell>
          <cell r="D257">
            <v>1</v>
          </cell>
          <cell r="F257">
            <v>286000</v>
          </cell>
          <cell r="G257">
            <v>286000</v>
          </cell>
          <cell r="H257">
            <v>44</v>
          </cell>
        </row>
        <row r="258">
          <cell r="A258" t="str">
            <v>E12613580</v>
          </cell>
          <cell r="B258" t="str">
            <v>E 12626530</v>
          </cell>
          <cell r="C258" t="str">
            <v>TRACTION MOTOR</v>
          </cell>
          <cell r="D258">
            <v>2</v>
          </cell>
          <cell r="E258">
            <v>198332</v>
          </cell>
          <cell r="F258">
            <v>138336.57</v>
          </cell>
          <cell r="G258">
            <v>276673.14</v>
          </cell>
          <cell r="H258">
            <v>45</v>
          </cell>
        </row>
        <row r="259">
          <cell r="A259" t="str">
            <v>E12624753</v>
          </cell>
          <cell r="B259" t="str">
            <v>E12634866</v>
          </cell>
          <cell r="C259" t="str">
            <v>RADIATOR</v>
          </cell>
          <cell r="D259">
            <v>2</v>
          </cell>
          <cell r="E259">
            <v>47678.21</v>
          </cell>
          <cell r="F259">
            <v>31610.66</v>
          </cell>
          <cell r="G259">
            <v>63221.32</v>
          </cell>
          <cell r="H259">
            <v>46</v>
          </cell>
        </row>
        <row r="260">
          <cell r="A260" t="str">
            <v>E12614455</v>
          </cell>
          <cell r="B260" t="str">
            <v>E12628192</v>
          </cell>
          <cell r="C260" t="str">
            <v>CYLINDER - HOIST</v>
          </cell>
          <cell r="D260">
            <v>4</v>
          </cell>
          <cell r="E260">
            <v>28850.67</v>
          </cell>
          <cell r="F260">
            <v>18392.3</v>
          </cell>
          <cell r="G260">
            <v>73569.2</v>
          </cell>
          <cell r="H260">
            <v>47</v>
          </cell>
        </row>
        <row r="261">
          <cell r="A261" t="str">
            <v>E12614898</v>
          </cell>
          <cell r="B261" t="str">
            <v>E12630973</v>
          </cell>
          <cell r="C261" t="str">
            <v>BRAKE - REAR</v>
          </cell>
          <cell r="D261">
            <v>2</v>
          </cell>
          <cell r="E261">
            <v>28577</v>
          </cell>
          <cell r="F261">
            <v>18217.830000000002</v>
          </cell>
          <cell r="G261">
            <v>36435.660000000003</v>
          </cell>
          <cell r="H261">
            <v>48</v>
          </cell>
        </row>
        <row r="262">
          <cell r="A262" t="str">
            <v>E12619683</v>
          </cell>
          <cell r="B262" t="str">
            <v>E12625636</v>
          </cell>
          <cell r="C262" t="str">
            <v>BRAKE VALVE ASSEMBLY</v>
          </cell>
          <cell r="D262">
            <v>2</v>
          </cell>
          <cell r="E262">
            <v>9261.6299999999992</v>
          </cell>
          <cell r="F262">
            <v>5353.22</v>
          </cell>
          <cell r="G262">
            <v>10706.44</v>
          </cell>
          <cell r="H262">
            <v>49</v>
          </cell>
        </row>
        <row r="263">
          <cell r="A263" t="str">
            <v>E12597529</v>
          </cell>
          <cell r="B263" t="str">
            <v>E12637745</v>
          </cell>
          <cell r="C263" t="str">
            <v>E12626530</v>
          </cell>
          <cell r="D263">
            <v>2</v>
          </cell>
          <cell r="E263">
            <v>7200.05</v>
          </cell>
          <cell r="F263">
            <v>4590</v>
          </cell>
          <cell r="G263">
            <v>9180</v>
          </cell>
          <cell r="H263">
            <v>50</v>
          </cell>
        </row>
        <row r="264">
          <cell r="A264" t="str">
            <v>E12619890</v>
          </cell>
          <cell r="B264" t="str">
            <v>E12628435</v>
          </cell>
          <cell r="C264" t="str">
            <v>STEER CYLINDER</v>
          </cell>
          <cell r="D264">
            <v>4</v>
          </cell>
          <cell r="E264">
            <v>4900</v>
          </cell>
          <cell r="F264">
            <v>3123.75</v>
          </cell>
          <cell r="G264">
            <v>12495</v>
          </cell>
          <cell r="H264">
            <v>51</v>
          </cell>
        </row>
        <row r="265">
          <cell r="A265" t="str">
            <v>E12614912</v>
          </cell>
          <cell r="C265" t="str">
            <v>BYPASS VALVE</v>
          </cell>
          <cell r="D265">
            <v>1</v>
          </cell>
          <cell r="E265">
            <v>18275.55</v>
          </cell>
          <cell r="F265">
            <v>2947.67</v>
          </cell>
          <cell r="G265">
            <v>2947.67</v>
          </cell>
          <cell r="H265">
            <v>141</v>
          </cell>
        </row>
        <row r="266">
          <cell r="A266" t="str">
            <v>E12979420</v>
          </cell>
          <cell r="B266" t="str">
            <v>E12635701</v>
          </cell>
          <cell r="C266" t="str">
            <v xml:space="preserve">Alternator </v>
          </cell>
          <cell r="D266">
            <v>2</v>
          </cell>
          <cell r="E266">
            <v>210775</v>
          </cell>
          <cell r="F266">
            <v>147015</v>
          </cell>
          <cell r="G266">
            <v>294030</v>
          </cell>
          <cell r="H266">
            <v>142</v>
          </cell>
        </row>
        <row r="267">
          <cell r="B267" t="str">
            <v>E12979867</v>
          </cell>
          <cell r="C267" t="str">
            <v>Rectifier</v>
          </cell>
          <cell r="D267">
            <v>2</v>
          </cell>
          <cell r="E267">
            <v>9301.43</v>
          </cell>
          <cell r="F267">
            <v>6487.77</v>
          </cell>
          <cell r="G267">
            <v>12975.54</v>
          </cell>
          <cell r="H267">
            <v>143</v>
          </cell>
        </row>
      </sheetData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down"/>
      <sheetName val="APL NO."/>
      <sheetName val="APLpriceOLD"/>
    </sheetNames>
    <sheetDataSet>
      <sheetData sheetId="0" refreshError="1"/>
      <sheetData sheetId="1" refreshError="1"/>
      <sheetData sheetId="2" refreshError="1">
        <row r="5">
          <cell r="E5" t="str">
            <v>4131531</v>
          </cell>
        </row>
        <row r="6">
          <cell r="E6" t="str">
            <v>4158026</v>
          </cell>
        </row>
        <row r="7">
          <cell r="E7" t="str">
            <v>4200387</v>
          </cell>
        </row>
        <row r="8">
          <cell r="E8" t="str">
            <v>4118106</v>
          </cell>
        </row>
        <row r="9">
          <cell r="E9" t="str">
            <v>4506418</v>
          </cell>
        </row>
        <row r="10">
          <cell r="E10" t="str">
            <v>4506418</v>
          </cell>
        </row>
        <row r="11">
          <cell r="E11" t="str">
            <v>4509180</v>
          </cell>
        </row>
        <row r="12">
          <cell r="E12" t="str">
            <v>4509180</v>
          </cell>
        </row>
        <row r="13">
          <cell r="E13" t="str">
            <v>4184890</v>
          </cell>
        </row>
        <row r="14">
          <cell r="E14" t="str">
            <v>4216436</v>
          </cell>
        </row>
        <row r="15">
          <cell r="E15" t="str">
            <v xml:space="preserve">A811035 </v>
          </cell>
        </row>
        <row r="16">
          <cell r="E16" t="str">
            <v>4023186</v>
          </cell>
        </row>
        <row r="17">
          <cell r="E17" t="str">
            <v>4118274</v>
          </cell>
        </row>
        <row r="18">
          <cell r="E18" t="str">
            <v>4506418</v>
          </cell>
        </row>
        <row r="19">
          <cell r="E19" t="str">
            <v>4509180</v>
          </cell>
        </row>
        <row r="20">
          <cell r="E20" t="str">
            <v>4509180</v>
          </cell>
        </row>
        <row r="21">
          <cell r="E21" t="str">
            <v>4072745</v>
          </cell>
        </row>
        <row r="22">
          <cell r="E22" t="str">
            <v>4118106</v>
          </cell>
        </row>
        <row r="23">
          <cell r="E23" t="str">
            <v>4055225</v>
          </cell>
        </row>
        <row r="24">
          <cell r="E24" t="str">
            <v>4184880</v>
          </cell>
        </row>
        <row r="25">
          <cell r="E25" t="str">
            <v>4184881</v>
          </cell>
        </row>
        <row r="26">
          <cell r="E26" t="str">
            <v>4158054</v>
          </cell>
        </row>
        <row r="27">
          <cell r="E27" t="str">
            <v>4118275</v>
          </cell>
        </row>
        <row r="28">
          <cell r="E28" t="str">
            <v>4184882</v>
          </cell>
        </row>
        <row r="29">
          <cell r="E29" t="str">
            <v>957366</v>
          </cell>
        </row>
        <row r="30">
          <cell r="E30" t="str">
            <v>4509180</v>
          </cell>
        </row>
        <row r="31">
          <cell r="E31" t="str">
            <v>957366</v>
          </cell>
        </row>
        <row r="32">
          <cell r="E32" t="str">
            <v>957366</v>
          </cell>
        </row>
        <row r="33">
          <cell r="E33" t="str">
            <v xml:space="preserve">A811025 </v>
          </cell>
        </row>
        <row r="34">
          <cell r="E34" t="str">
            <v>4022547</v>
          </cell>
        </row>
        <row r="35">
          <cell r="E35" t="str">
            <v>4022544</v>
          </cell>
        </row>
        <row r="36">
          <cell r="E36" t="str">
            <v>4107297</v>
          </cell>
        </row>
        <row r="37">
          <cell r="E37" t="str">
            <v>4020838</v>
          </cell>
        </row>
        <row r="38">
          <cell r="E38" t="str">
            <v>4060516</v>
          </cell>
        </row>
        <row r="39">
          <cell r="E39" t="str">
            <v>4158043</v>
          </cell>
        </row>
        <row r="40">
          <cell r="E40" t="str">
            <v>4158046</v>
          </cell>
        </row>
        <row r="41">
          <cell r="E41" t="str">
            <v>4163078</v>
          </cell>
        </row>
        <row r="42">
          <cell r="E42" t="str">
            <v>4223549</v>
          </cell>
        </row>
        <row r="43">
          <cell r="E43" t="str">
            <v>4184894</v>
          </cell>
        </row>
        <row r="44">
          <cell r="E44" t="str">
            <v>4067529</v>
          </cell>
        </row>
        <row r="45">
          <cell r="E45" t="str">
            <v>957366</v>
          </cell>
        </row>
        <row r="46">
          <cell r="E46" t="str">
            <v>957366</v>
          </cell>
        </row>
        <row r="47">
          <cell r="E47" t="str">
            <v>957366</v>
          </cell>
        </row>
        <row r="48">
          <cell r="E48" t="str">
            <v>4509180</v>
          </cell>
        </row>
        <row r="49">
          <cell r="E49" t="str">
            <v>957366</v>
          </cell>
        </row>
        <row r="50">
          <cell r="E50" t="str">
            <v>4509180</v>
          </cell>
        </row>
        <row r="51">
          <cell r="E51" t="str">
            <v>957366</v>
          </cell>
        </row>
        <row r="52">
          <cell r="E52" t="str">
            <v>957366</v>
          </cell>
        </row>
        <row r="53">
          <cell r="E53" t="str">
            <v>4509180</v>
          </cell>
        </row>
        <row r="54">
          <cell r="E54" t="str">
            <v>4509180</v>
          </cell>
        </row>
        <row r="55">
          <cell r="E55" t="str">
            <v>4509180</v>
          </cell>
        </row>
        <row r="56">
          <cell r="E56" t="str">
            <v>4184892</v>
          </cell>
        </row>
        <row r="57">
          <cell r="E57" t="str">
            <v>4193840</v>
          </cell>
        </row>
        <row r="58">
          <cell r="E58" t="str">
            <v>4224423</v>
          </cell>
        </row>
        <row r="59">
          <cell r="E59" t="str">
            <v xml:space="preserve">A811025 </v>
          </cell>
        </row>
        <row r="60">
          <cell r="E60" t="str">
            <v>4022547</v>
          </cell>
        </row>
        <row r="61">
          <cell r="E61" t="str">
            <v>4022544</v>
          </cell>
        </row>
        <row r="62">
          <cell r="E62" t="str">
            <v>4107297</v>
          </cell>
        </row>
        <row r="63">
          <cell r="E63" t="str">
            <v>4022545</v>
          </cell>
        </row>
        <row r="64">
          <cell r="E64" t="str">
            <v>4158043</v>
          </cell>
        </row>
        <row r="65">
          <cell r="E65" t="str">
            <v>4204150</v>
          </cell>
        </row>
        <row r="66">
          <cell r="E66" t="str">
            <v>4163064</v>
          </cell>
        </row>
        <row r="67">
          <cell r="E67" t="str">
            <v>4184886</v>
          </cell>
        </row>
        <row r="68">
          <cell r="E68" t="str">
            <v>4223549</v>
          </cell>
        </row>
        <row r="69">
          <cell r="E69" t="str">
            <v>957366</v>
          </cell>
        </row>
        <row r="70">
          <cell r="E70" t="str">
            <v>957366</v>
          </cell>
        </row>
        <row r="71">
          <cell r="E71" t="str">
            <v>4509180</v>
          </cell>
        </row>
        <row r="72">
          <cell r="E72" t="str">
            <v>4509180</v>
          </cell>
        </row>
        <row r="73">
          <cell r="E73" t="str">
            <v>957366</v>
          </cell>
        </row>
        <row r="74">
          <cell r="E74" t="str">
            <v>4509180</v>
          </cell>
        </row>
        <row r="75">
          <cell r="E75" t="str">
            <v>957366</v>
          </cell>
        </row>
        <row r="76">
          <cell r="E76" t="str">
            <v>957366</v>
          </cell>
        </row>
        <row r="77">
          <cell r="E77" t="str">
            <v>4509180</v>
          </cell>
        </row>
        <row r="78">
          <cell r="E78" t="str">
            <v>4509180</v>
          </cell>
        </row>
        <row r="79">
          <cell r="E79" t="str">
            <v>4509180</v>
          </cell>
        </row>
        <row r="80">
          <cell r="E80" t="str">
            <v>957366</v>
          </cell>
        </row>
        <row r="81">
          <cell r="E81" t="str">
            <v>4184894</v>
          </cell>
        </row>
        <row r="82">
          <cell r="E82" t="str">
            <v>4059074</v>
          </cell>
        </row>
        <row r="83">
          <cell r="E83" t="str">
            <v>4184892</v>
          </cell>
        </row>
        <row r="84">
          <cell r="E84" t="str">
            <v>4193840</v>
          </cell>
        </row>
        <row r="85">
          <cell r="E85" t="str">
            <v>4224423</v>
          </cell>
        </row>
        <row r="86">
          <cell r="E86" t="str">
            <v>4061873</v>
          </cell>
        </row>
        <row r="87">
          <cell r="E87" t="str">
            <v>957366</v>
          </cell>
        </row>
        <row r="88">
          <cell r="E88" t="str">
            <v>957366</v>
          </cell>
        </row>
        <row r="89">
          <cell r="E89" t="str">
            <v>4509180</v>
          </cell>
        </row>
        <row r="90">
          <cell r="E90" t="str">
            <v>4509180</v>
          </cell>
        </row>
        <row r="91">
          <cell r="E91" t="str">
            <v>957366</v>
          </cell>
        </row>
        <row r="92">
          <cell r="E92" t="str">
            <v>957366</v>
          </cell>
        </row>
        <row r="93">
          <cell r="E93" t="str">
            <v>4509180</v>
          </cell>
        </row>
        <row r="94">
          <cell r="E94" t="str">
            <v>957366</v>
          </cell>
        </row>
        <row r="95">
          <cell r="E95" t="str">
            <v>957366</v>
          </cell>
        </row>
        <row r="96">
          <cell r="E96" t="str">
            <v>4062815</v>
          </cell>
        </row>
        <row r="97">
          <cell r="E97" t="str">
            <v>4022544</v>
          </cell>
        </row>
        <row r="98">
          <cell r="E98" t="str">
            <v>4055174</v>
          </cell>
        </row>
        <row r="99">
          <cell r="E99" t="str">
            <v>4022542</v>
          </cell>
        </row>
        <row r="100">
          <cell r="E100" t="str">
            <v>4067528</v>
          </cell>
        </row>
        <row r="101">
          <cell r="E101" t="str">
            <v>4158081</v>
          </cell>
        </row>
        <row r="102">
          <cell r="E102" t="str">
            <v>4184883</v>
          </cell>
        </row>
        <row r="103">
          <cell r="E103" t="str">
            <v>4055214</v>
          </cell>
        </row>
        <row r="104">
          <cell r="E104" t="str">
            <v>4151419</v>
          </cell>
        </row>
        <row r="105">
          <cell r="E105" t="str">
            <v>986953</v>
          </cell>
        </row>
        <row r="106">
          <cell r="E106" t="str">
            <v>986952</v>
          </cell>
        </row>
        <row r="107">
          <cell r="E107" t="str">
            <v>4089533</v>
          </cell>
        </row>
        <row r="108">
          <cell r="E108" t="str">
            <v>4185573</v>
          </cell>
        </row>
        <row r="109">
          <cell r="E109" t="str">
            <v>4087447</v>
          </cell>
        </row>
        <row r="110">
          <cell r="E110" t="str">
            <v>4125684</v>
          </cell>
        </row>
        <row r="111">
          <cell r="E111" t="str">
            <v>4089533</v>
          </cell>
        </row>
        <row r="112">
          <cell r="E112" t="str">
            <v>4198244</v>
          </cell>
        </row>
        <row r="113">
          <cell r="E113" t="str">
            <v>4514700</v>
          </cell>
        </row>
        <row r="114">
          <cell r="E114" t="str">
            <v>984219</v>
          </cell>
        </row>
        <row r="115">
          <cell r="E115" t="str">
            <v>984225</v>
          </cell>
        </row>
        <row r="116">
          <cell r="E116" t="str">
            <v>4081377</v>
          </cell>
        </row>
        <row r="117">
          <cell r="E117" t="str">
            <v>4174647</v>
          </cell>
        </row>
        <row r="118">
          <cell r="E118" t="str">
            <v>4159073</v>
          </cell>
        </row>
        <row r="119">
          <cell r="E119" t="str">
            <v>4122106</v>
          </cell>
        </row>
        <row r="120">
          <cell r="E120" t="str">
            <v>4185571</v>
          </cell>
        </row>
        <row r="121">
          <cell r="E121" t="str">
            <v>4081374</v>
          </cell>
        </row>
        <row r="122">
          <cell r="E122" t="str">
            <v>4174329</v>
          </cell>
        </row>
        <row r="123">
          <cell r="E123" t="str">
            <v>4185576</v>
          </cell>
        </row>
        <row r="124">
          <cell r="E124" t="str">
            <v>4174330</v>
          </cell>
        </row>
        <row r="125">
          <cell r="E125" t="str">
            <v>4176968</v>
          </cell>
        </row>
        <row r="126">
          <cell r="E126" t="str">
            <v>4176969</v>
          </cell>
        </row>
        <row r="127">
          <cell r="E127" t="str">
            <v>4185574</v>
          </cell>
        </row>
        <row r="128">
          <cell r="E128" t="str">
            <v>4174329</v>
          </cell>
        </row>
        <row r="129">
          <cell r="E129" t="str">
            <v>4185575</v>
          </cell>
        </row>
        <row r="130">
          <cell r="E130" t="str">
            <v>4185576</v>
          </cell>
        </row>
        <row r="131">
          <cell r="E131" t="str">
            <v xml:space="preserve">A811040 </v>
          </cell>
        </row>
        <row r="132">
          <cell r="E132" t="str">
            <v>4177500</v>
          </cell>
        </row>
        <row r="133">
          <cell r="E133" t="str">
            <v>4205130</v>
          </cell>
        </row>
        <row r="134">
          <cell r="E134" t="str">
            <v>4205430</v>
          </cell>
        </row>
        <row r="135">
          <cell r="E135" t="str">
            <v>4252628</v>
          </cell>
        </row>
        <row r="136">
          <cell r="E136" t="str">
            <v>4252627</v>
          </cell>
        </row>
        <row r="137">
          <cell r="E137" t="str">
            <v>4204800</v>
          </cell>
        </row>
        <row r="138">
          <cell r="E138" t="str">
            <v>4211365</v>
          </cell>
        </row>
        <row r="139">
          <cell r="E139" t="str">
            <v>4261585</v>
          </cell>
        </row>
        <row r="140">
          <cell r="E140" t="str">
            <v>4131662</v>
          </cell>
        </row>
        <row r="141">
          <cell r="E141" t="str">
            <v>4129942</v>
          </cell>
        </row>
        <row r="142">
          <cell r="E142" t="str">
            <v>4186075</v>
          </cell>
        </row>
        <row r="143">
          <cell r="E143" t="str">
            <v xml:space="preserve">A890016 </v>
          </cell>
        </row>
        <row r="144">
          <cell r="E144" t="str">
            <v>4166465</v>
          </cell>
        </row>
        <row r="145">
          <cell r="E145" t="str">
            <v>4257115</v>
          </cell>
        </row>
        <row r="146">
          <cell r="E146" t="str">
            <v>4141171</v>
          </cell>
        </row>
        <row r="147">
          <cell r="E147" t="str">
            <v>4294080</v>
          </cell>
        </row>
        <row r="148">
          <cell r="E148" t="str">
            <v>4271488</v>
          </cell>
        </row>
        <row r="149">
          <cell r="E149" t="str">
            <v>4245629</v>
          </cell>
        </row>
        <row r="150">
          <cell r="E150" t="str">
            <v>4291232</v>
          </cell>
        </row>
        <row r="151">
          <cell r="E151" t="str">
            <v>4187223</v>
          </cell>
        </row>
        <row r="152">
          <cell r="E152" t="str">
            <v>4149335</v>
          </cell>
        </row>
        <row r="153">
          <cell r="E153" t="str">
            <v>4088538</v>
          </cell>
        </row>
        <row r="154">
          <cell r="E154" t="str">
            <v>4191728</v>
          </cell>
        </row>
        <row r="155">
          <cell r="E155" t="str">
            <v xml:space="preserve">A890022 </v>
          </cell>
        </row>
        <row r="156">
          <cell r="E156" t="str">
            <v>4129941</v>
          </cell>
        </row>
        <row r="157">
          <cell r="E157" t="str">
            <v>4033743</v>
          </cell>
        </row>
        <row r="158">
          <cell r="E158" t="str">
            <v>4504289</v>
          </cell>
        </row>
        <row r="159">
          <cell r="E159" t="str">
            <v>4141171</v>
          </cell>
        </row>
        <row r="160">
          <cell r="E160" t="str">
            <v>4237456</v>
          </cell>
        </row>
        <row r="161">
          <cell r="E161" t="str">
            <v>4208344</v>
          </cell>
        </row>
        <row r="162">
          <cell r="E162" t="str">
            <v>4031771</v>
          </cell>
        </row>
        <row r="163">
          <cell r="E163" t="str">
            <v>4275750</v>
          </cell>
        </row>
        <row r="164">
          <cell r="E164" t="str">
            <v>4287277</v>
          </cell>
        </row>
        <row r="165">
          <cell r="E165" t="str">
            <v>4277264</v>
          </cell>
        </row>
        <row r="166">
          <cell r="E166" t="str">
            <v>4187561</v>
          </cell>
        </row>
        <row r="167">
          <cell r="E167" t="str">
            <v>4184231</v>
          </cell>
        </row>
        <row r="168">
          <cell r="E168" t="str">
            <v>4144862</v>
          </cell>
        </row>
        <row r="169">
          <cell r="E169" t="str">
            <v>4249969</v>
          </cell>
        </row>
        <row r="170">
          <cell r="E170" t="str">
            <v>4270989</v>
          </cell>
        </row>
        <row r="171">
          <cell r="E171" t="str">
            <v>4270990</v>
          </cell>
        </row>
        <row r="172">
          <cell r="E172" t="str">
            <v>4318630</v>
          </cell>
        </row>
        <row r="173">
          <cell r="E173" t="str">
            <v>4510169</v>
          </cell>
        </row>
        <row r="174">
          <cell r="E174" t="str">
            <v>2021552</v>
          </cell>
        </row>
        <row r="175">
          <cell r="E175" t="str">
            <v>41809991</v>
          </cell>
        </row>
        <row r="176">
          <cell r="E176" t="str">
            <v>4184940</v>
          </cell>
        </row>
        <row r="177">
          <cell r="E177" t="str">
            <v>4184856</v>
          </cell>
        </row>
        <row r="178">
          <cell r="E178" t="str">
            <v>4184831</v>
          </cell>
        </row>
        <row r="179">
          <cell r="E179" t="str">
            <v>4510170</v>
          </cell>
        </row>
        <row r="180">
          <cell r="E180" t="str">
            <v xml:space="preserve"> </v>
          </cell>
        </row>
        <row r="181">
          <cell r="E181" t="str">
            <v>4288926</v>
          </cell>
        </row>
        <row r="182">
          <cell r="E182" t="str">
            <v>3014023</v>
          </cell>
        </row>
        <row r="183">
          <cell r="E183" t="str">
            <v>4282482</v>
          </cell>
        </row>
        <row r="184">
          <cell r="E184" t="str">
            <v>3014022</v>
          </cell>
        </row>
        <row r="185">
          <cell r="E185" t="str">
            <v>4282486</v>
          </cell>
        </row>
        <row r="186">
          <cell r="E186" t="str">
            <v>8041217</v>
          </cell>
        </row>
        <row r="187">
          <cell r="E187" t="str">
            <v xml:space="preserve">94-2022 </v>
          </cell>
        </row>
        <row r="188">
          <cell r="E188" t="str">
            <v>3013864</v>
          </cell>
        </row>
        <row r="189">
          <cell r="E189" t="str">
            <v>4085071</v>
          </cell>
        </row>
        <row r="190">
          <cell r="E190" t="str">
            <v>4187931</v>
          </cell>
        </row>
        <row r="191">
          <cell r="E191" t="str">
            <v>4187932</v>
          </cell>
        </row>
        <row r="192">
          <cell r="E192" t="str">
            <v>4159670</v>
          </cell>
        </row>
        <row r="193">
          <cell r="E193" t="str">
            <v>4113326</v>
          </cell>
        </row>
        <row r="194">
          <cell r="E194" t="str">
            <v>4226986</v>
          </cell>
        </row>
        <row r="195">
          <cell r="E195" t="str">
            <v>4153546</v>
          </cell>
        </row>
        <row r="196">
          <cell r="E196" t="str">
            <v>4153541</v>
          </cell>
        </row>
        <row r="197">
          <cell r="E197" t="str">
            <v>4292384</v>
          </cell>
        </row>
        <row r="198">
          <cell r="E198" t="str">
            <v>4508805</v>
          </cell>
        </row>
        <row r="199">
          <cell r="E199" t="str">
            <v xml:space="preserve">A811035 </v>
          </cell>
        </row>
        <row r="200">
          <cell r="E200" t="str">
            <v>4506418</v>
          </cell>
        </row>
        <row r="201">
          <cell r="E201" t="str">
            <v>4221052</v>
          </cell>
        </row>
        <row r="202">
          <cell r="E202" t="str">
            <v>4184863</v>
          </cell>
        </row>
        <row r="203">
          <cell r="E203" t="str">
            <v xml:space="preserve">U12547U </v>
          </cell>
        </row>
        <row r="204">
          <cell r="E204" t="str">
            <v xml:space="preserve">A590927 </v>
          </cell>
        </row>
        <row r="205">
          <cell r="E205" t="str">
            <v xml:space="preserve">J912775 </v>
          </cell>
        </row>
        <row r="206">
          <cell r="E206" t="str">
            <v>4183996</v>
          </cell>
        </row>
        <row r="207">
          <cell r="E207" t="str">
            <v xml:space="preserve">J833319 </v>
          </cell>
        </row>
        <row r="208">
          <cell r="E208" t="str">
            <v>4083438</v>
          </cell>
        </row>
        <row r="209">
          <cell r="E209" t="str">
            <v xml:space="preserve">M663033 </v>
          </cell>
        </row>
        <row r="210">
          <cell r="E210" t="str">
            <v xml:space="preserve">A590918 </v>
          </cell>
        </row>
        <row r="211">
          <cell r="E211" t="str">
            <v xml:space="preserve">J931850 </v>
          </cell>
        </row>
        <row r="212">
          <cell r="E212" t="str">
            <v>4183995</v>
          </cell>
        </row>
        <row r="213">
          <cell r="E213" t="str">
            <v xml:space="preserve">J932216 </v>
          </cell>
        </row>
        <row r="214">
          <cell r="E214" t="str">
            <v>4089822</v>
          </cell>
        </row>
        <row r="215">
          <cell r="E215" t="str">
            <v xml:space="preserve">M662022 </v>
          </cell>
        </row>
        <row r="216">
          <cell r="E216" t="str">
            <v>4226986</v>
          </cell>
        </row>
        <row r="217">
          <cell r="E217" t="str">
            <v>4200402</v>
          </cell>
        </row>
        <row r="218">
          <cell r="E218" t="str">
            <v>4055102</v>
          </cell>
        </row>
        <row r="219">
          <cell r="E219" t="str">
            <v>4022542</v>
          </cell>
        </row>
        <row r="220">
          <cell r="E220" t="str">
            <v>4085829</v>
          </cell>
        </row>
        <row r="221">
          <cell r="E221" t="str">
            <v>3014023</v>
          </cell>
        </row>
        <row r="222">
          <cell r="E222" t="str">
            <v>4282482</v>
          </cell>
        </row>
        <row r="223">
          <cell r="E223" t="str">
            <v>3014022</v>
          </cell>
        </row>
        <row r="224">
          <cell r="E224" t="str">
            <v>4282486</v>
          </cell>
        </row>
        <row r="225">
          <cell r="E225" t="str">
            <v>4091183</v>
          </cell>
        </row>
        <row r="226">
          <cell r="E226" t="str">
            <v>4153536</v>
          </cell>
        </row>
        <row r="227">
          <cell r="E227" t="str">
            <v>4288217</v>
          </cell>
        </row>
        <row r="228">
          <cell r="E228" t="str">
            <v>4214350</v>
          </cell>
        </row>
        <row r="229">
          <cell r="E229" t="str">
            <v>4302209</v>
          </cell>
        </row>
        <row r="230">
          <cell r="E230" t="str">
            <v>4229915</v>
          </cell>
        </row>
        <row r="231">
          <cell r="E231" t="str">
            <v>4206314</v>
          </cell>
        </row>
        <row r="232">
          <cell r="E232" t="str">
            <v>4248510</v>
          </cell>
        </row>
        <row r="233">
          <cell r="E233" t="str">
            <v>4214355</v>
          </cell>
        </row>
        <row r="234">
          <cell r="E234" t="str">
            <v>4143888</v>
          </cell>
        </row>
        <row r="235">
          <cell r="E235" t="str">
            <v>4206318</v>
          </cell>
        </row>
        <row r="236">
          <cell r="E236" t="str">
            <v>4214358</v>
          </cell>
        </row>
        <row r="237">
          <cell r="E237" t="str">
            <v>4214359</v>
          </cell>
        </row>
        <row r="238">
          <cell r="E238" t="str">
            <v>M111036</v>
          </cell>
        </row>
        <row r="239">
          <cell r="E239" t="str">
            <v>A590910</v>
          </cell>
        </row>
        <row r="240">
          <cell r="E240" t="str">
            <v>M111240</v>
          </cell>
        </row>
        <row r="241">
          <cell r="E241" t="str">
            <v>A590912</v>
          </cell>
        </row>
        <row r="242">
          <cell r="E242" t="str">
            <v>M111230</v>
          </cell>
        </row>
        <row r="243">
          <cell r="E243" t="str">
            <v>A590112</v>
          </cell>
        </row>
        <row r="244">
          <cell r="E244" t="str">
            <v>M111025</v>
          </cell>
        </row>
        <row r="245">
          <cell r="E245" t="str">
            <v>A590110</v>
          </cell>
        </row>
        <row r="246">
          <cell r="E246" t="str">
            <v>4336338</v>
          </cell>
        </row>
        <row r="247">
          <cell r="E247" t="str">
            <v xml:space="preserve">19H2284 </v>
          </cell>
        </row>
        <row r="248">
          <cell r="E248" t="str">
            <v>4221051</v>
          </cell>
        </row>
        <row r="249">
          <cell r="E249" t="str">
            <v>4187339</v>
          </cell>
        </row>
        <row r="250">
          <cell r="E250" t="str">
            <v>4221054</v>
          </cell>
        </row>
        <row r="251">
          <cell r="E251" t="str">
            <v>4221052</v>
          </cell>
        </row>
        <row r="252">
          <cell r="E252" t="str">
            <v>4224238</v>
          </cell>
        </row>
        <row r="253">
          <cell r="E253" t="str">
            <v>4181347</v>
          </cell>
        </row>
        <row r="254">
          <cell r="E254" t="str">
            <v>4184393</v>
          </cell>
        </row>
        <row r="255">
          <cell r="E255" t="str">
            <v xml:space="preserve">A590912 </v>
          </cell>
        </row>
        <row r="256">
          <cell r="E256" t="str">
            <v xml:space="preserve">M520012 </v>
          </cell>
        </row>
        <row r="257">
          <cell r="E257" t="str">
            <v>8037942</v>
          </cell>
        </row>
        <row r="258">
          <cell r="E258" t="str">
            <v>3013865</v>
          </cell>
        </row>
        <row r="259">
          <cell r="E259" t="str">
            <v xml:space="preserve">J901265 </v>
          </cell>
        </row>
        <row r="260">
          <cell r="E260" t="str">
            <v xml:space="preserve">M520012 </v>
          </cell>
        </row>
        <row r="261">
          <cell r="E261" t="str">
            <v>8041217</v>
          </cell>
        </row>
        <row r="262">
          <cell r="E262" t="str">
            <v xml:space="preserve">94-2022 </v>
          </cell>
        </row>
        <row r="263">
          <cell r="E263" t="str">
            <v>4085068</v>
          </cell>
        </row>
        <row r="264">
          <cell r="E264" t="str">
            <v>4203308</v>
          </cell>
        </row>
        <row r="265">
          <cell r="E265" t="str">
            <v>7019361</v>
          </cell>
        </row>
        <row r="266">
          <cell r="E266" t="str">
            <v xml:space="preserve">J901265 </v>
          </cell>
        </row>
        <row r="267">
          <cell r="E267" t="str">
            <v xml:space="preserve">M520012 </v>
          </cell>
        </row>
        <row r="268">
          <cell r="E268" t="str">
            <v>4199263</v>
          </cell>
        </row>
        <row r="269">
          <cell r="E269" t="str">
            <v>8041218</v>
          </cell>
        </row>
        <row r="270">
          <cell r="E270" t="str">
            <v>4218317</v>
          </cell>
        </row>
        <row r="271">
          <cell r="E271" t="str">
            <v xml:space="preserve">J901040 </v>
          </cell>
        </row>
        <row r="272">
          <cell r="E272" t="str">
            <v xml:space="preserve">M520010 </v>
          </cell>
        </row>
        <row r="273">
          <cell r="E273" t="str">
            <v>3013864</v>
          </cell>
        </row>
        <row r="274">
          <cell r="E274" t="str">
            <v>4085071</v>
          </cell>
        </row>
        <row r="275">
          <cell r="E275" t="str">
            <v>4187931</v>
          </cell>
        </row>
        <row r="276">
          <cell r="E276" t="str">
            <v>4187932</v>
          </cell>
        </row>
        <row r="277">
          <cell r="E277" t="str">
            <v>4159670</v>
          </cell>
        </row>
        <row r="278">
          <cell r="E278" t="str">
            <v>4113326</v>
          </cell>
        </row>
        <row r="279">
          <cell r="E279" t="str">
            <v>4193832</v>
          </cell>
        </row>
        <row r="280">
          <cell r="E280" t="str">
            <v>4226986</v>
          </cell>
        </row>
        <row r="281">
          <cell r="E281" t="str">
            <v>4184542</v>
          </cell>
        </row>
        <row r="282">
          <cell r="E282" t="str">
            <v>499682</v>
          </cell>
        </row>
        <row r="283">
          <cell r="E283" t="str">
            <v xml:space="preserve">A810160 </v>
          </cell>
        </row>
        <row r="284">
          <cell r="E284" t="str">
            <v>985582</v>
          </cell>
        </row>
        <row r="285">
          <cell r="E285" t="str">
            <v>453143</v>
          </cell>
        </row>
        <row r="286">
          <cell r="E286" t="str">
            <v xml:space="preserve">A810160 </v>
          </cell>
        </row>
        <row r="287">
          <cell r="E287" t="str">
            <v xml:space="preserve">A810165 </v>
          </cell>
        </row>
        <row r="288">
          <cell r="E288" t="str">
            <v xml:space="preserve">A810075 </v>
          </cell>
        </row>
        <row r="289">
          <cell r="E289" t="str">
            <v>4196261</v>
          </cell>
        </row>
        <row r="290">
          <cell r="E290" t="str">
            <v>4089532</v>
          </cell>
        </row>
        <row r="291">
          <cell r="E291" t="str">
            <v>4107495</v>
          </cell>
        </row>
        <row r="292">
          <cell r="E292" t="str">
            <v>4187929</v>
          </cell>
        </row>
        <row r="293">
          <cell r="E293" t="str">
            <v>4187930</v>
          </cell>
        </row>
        <row r="294">
          <cell r="E294" t="str">
            <v>4187931</v>
          </cell>
        </row>
        <row r="295">
          <cell r="E295" t="str">
            <v>4187932</v>
          </cell>
        </row>
        <row r="296">
          <cell r="E296" t="str">
            <v>4292740</v>
          </cell>
        </row>
        <row r="297">
          <cell r="E297" t="str">
            <v>4312386</v>
          </cell>
        </row>
        <row r="298">
          <cell r="E298" t="str">
            <v>4287430</v>
          </cell>
        </row>
        <row r="299">
          <cell r="E299" t="str">
            <v>4249968</v>
          </cell>
        </row>
        <row r="300">
          <cell r="E300" t="str">
            <v>4288801</v>
          </cell>
        </row>
        <row r="301">
          <cell r="E301" t="str">
            <v>4288802</v>
          </cell>
        </row>
        <row r="302">
          <cell r="E302" t="str">
            <v>4197727</v>
          </cell>
        </row>
        <row r="303">
          <cell r="E303" t="str">
            <v>970486</v>
          </cell>
        </row>
        <row r="304">
          <cell r="E304" t="str">
            <v xml:space="preserve">A810045 </v>
          </cell>
        </row>
        <row r="305">
          <cell r="E305" t="str">
            <v>4506418</v>
          </cell>
        </row>
        <row r="306">
          <cell r="E306" t="str">
            <v>4288803</v>
          </cell>
        </row>
        <row r="307">
          <cell r="E307" t="str">
            <v xml:space="preserve">A890022 </v>
          </cell>
        </row>
        <row r="308">
          <cell r="E308" t="str">
            <v>4083753</v>
          </cell>
        </row>
        <row r="309">
          <cell r="E309" t="str">
            <v xml:space="preserve">A810080 </v>
          </cell>
        </row>
        <row r="310">
          <cell r="E310" t="str">
            <v>4275054</v>
          </cell>
        </row>
        <row r="311">
          <cell r="E311" t="str">
            <v>4288738</v>
          </cell>
        </row>
        <row r="312">
          <cell r="E312" t="str">
            <v>4288739</v>
          </cell>
        </row>
        <row r="313">
          <cell r="E313" t="str">
            <v>4288740</v>
          </cell>
        </row>
        <row r="314">
          <cell r="E314" t="str">
            <v>4288763</v>
          </cell>
        </row>
        <row r="315">
          <cell r="E315" t="str">
            <v>4288741</v>
          </cell>
        </row>
        <row r="316">
          <cell r="E316" t="str">
            <v>4288742</v>
          </cell>
        </row>
        <row r="317">
          <cell r="E317" t="str">
            <v xml:space="preserve">U12547U </v>
          </cell>
        </row>
        <row r="318">
          <cell r="E318" t="str">
            <v>4297706</v>
          </cell>
        </row>
        <row r="319">
          <cell r="E319" t="str">
            <v>4099039</v>
          </cell>
        </row>
        <row r="320">
          <cell r="E320" t="str">
            <v>4197729</v>
          </cell>
        </row>
        <row r="321">
          <cell r="E321" t="str">
            <v>4083852</v>
          </cell>
        </row>
        <row r="322">
          <cell r="E322" t="str">
            <v>4197728</v>
          </cell>
        </row>
        <row r="323">
          <cell r="E323" t="str">
            <v>4196265</v>
          </cell>
        </row>
        <row r="324">
          <cell r="E324" t="str">
            <v>4197726</v>
          </cell>
        </row>
        <row r="325">
          <cell r="E325" t="str">
            <v>4197731</v>
          </cell>
        </row>
        <row r="326">
          <cell r="E326" t="str">
            <v>4197730</v>
          </cell>
        </row>
        <row r="327">
          <cell r="E327" t="str">
            <v>4181649</v>
          </cell>
        </row>
        <row r="328">
          <cell r="E328" t="str">
            <v>4153547</v>
          </cell>
        </row>
        <row r="329">
          <cell r="E329" t="str">
            <v>4083426</v>
          </cell>
        </row>
        <row r="330">
          <cell r="E330" t="str">
            <v>2023357</v>
          </cell>
        </row>
        <row r="331">
          <cell r="E331" t="str">
            <v>4297266</v>
          </cell>
        </row>
        <row r="332">
          <cell r="E332" t="str">
            <v>4297166</v>
          </cell>
        </row>
        <row r="333">
          <cell r="E333" t="str">
            <v>4297163</v>
          </cell>
        </row>
        <row r="334">
          <cell r="E334" t="str">
            <v>4297262</v>
          </cell>
        </row>
        <row r="335">
          <cell r="E335" t="str">
            <v>3059134</v>
          </cell>
        </row>
        <row r="336">
          <cell r="E336" t="str">
            <v>4174575</v>
          </cell>
        </row>
        <row r="337">
          <cell r="E337" t="str">
            <v>4096555</v>
          </cell>
        </row>
        <row r="338">
          <cell r="E338" t="str">
            <v>2035514</v>
          </cell>
        </row>
        <row r="339">
          <cell r="E339" t="str">
            <v>4174575</v>
          </cell>
        </row>
        <row r="340">
          <cell r="E340" t="str">
            <v>4096555</v>
          </cell>
        </row>
        <row r="341">
          <cell r="E341" t="str">
            <v>3037244</v>
          </cell>
        </row>
        <row r="342">
          <cell r="E342" t="str">
            <v>4002151</v>
          </cell>
        </row>
        <row r="343">
          <cell r="E343" t="str">
            <v>962002</v>
          </cell>
        </row>
        <row r="344">
          <cell r="E344" t="str">
            <v>2023358</v>
          </cell>
        </row>
        <row r="345">
          <cell r="E345" t="str">
            <v>991732</v>
          </cell>
        </row>
        <row r="346">
          <cell r="E346" t="str">
            <v>2035515</v>
          </cell>
        </row>
        <row r="347">
          <cell r="E347" t="str">
            <v>4268266</v>
          </cell>
        </row>
        <row r="348">
          <cell r="E348" t="str">
            <v>4322121</v>
          </cell>
        </row>
        <row r="349">
          <cell r="E349" t="str">
            <v>4504367</v>
          </cell>
        </row>
        <row r="350">
          <cell r="E350" t="str">
            <v>4275056</v>
          </cell>
        </row>
        <row r="351">
          <cell r="E351" t="str">
            <v>4083754</v>
          </cell>
        </row>
        <row r="352">
          <cell r="E352" t="str">
            <v>4081887</v>
          </cell>
        </row>
        <row r="353">
          <cell r="E353" t="str">
            <v>4253751</v>
          </cell>
        </row>
        <row r="354">
          <cell r="E354" t="str">
            <v>4261965</v>
          </cell>
        </row>
        <row r="355">
          <cell r="E355" t="str">
            <v>4252570</v>
          </cell>
        </row>
        <row r="356">
          <cell r="E356" t="str">
            <v>3033083</v>
          </cell>
        </row>
        <row r="357">
          <cell r="E357" t="str">
            <v>4177236</v>
          </cell>
        </row>
        <row r="358">
          <cell r="E358" t="str">
            <v>4177240</v>
          </cell>
        </row>
        <row r="359">
          <cell r="E359" t="str">
            <v>3033086</v>
          </cell>
        </row>
        <row r="360">
          <cell r="E360" t="str">
            <v>4180344</v>
          </cell>
        </row>
        <row r="361">
          <cell r="E361" t="str">
            <v>4180343</v>
          </cell>
        </row>
        <row r="362">
          <cell r="E362" t="str">
            <v>4176281</v>
          </cell>
        </row>
        <row r="363">
          <cell r="E363" t="str">
            <v>4177241</v>
          </cell>
        </row>
        <row r="364">
          <cell r="E364" t="str">
            <v>4180345</v>
          </cell>
        </row>
        <row r="365">
          <cell r="E365" t="str">
            <v>973069</v>
          </cell>
        </row>
        <row r="366">
          <cell r="E366" t="str">
            <v>4120522</v>
          </cell>
        </row>
        <row r="367">
          <cell r="E367" t="str">
            <v>4180346</v>
          </cell>
        </row>
        <row r="368">
          <cell r="E368" t="str">
            <v>959501</v>
          </cell>
        </row>
        <row r="369">
          <cell r="E369" t="str">
            <v>4116289</v>
          </cell>
        </row>
        <row r="370">
          <cell r="E370" t="str">
            <v>4158010</v>
          </cell>
        </row>
        <row r="371">
          <cell r="E371" t="str">
            <v>4083842</v>
          </cell>
        </row>
        <row r="372">
          <cell r="E372" t="str">
            <v>4177246</v>
          </cell>
        </row>
        <row r="373">
          <cell r="E373" t="str">
            <v xml:space="preserve">A810200 </v>
          </cell>
        </row>
        <row r="374">
          <cell r="E374" t="str">
            <v>4177842</v>
          </cell>
        </row>
        <row r="375">
          <cell r="E375" t="str">
            <v>4514053</v>
          </cell>
        </row>
        <row r="376">
          <cell r="E376" t="str">
            <v>428028</v>
          </cell>
        </row>
        <row r="377">
          <cell r="E377" t="str">
            <v>456336</v>
          </cell>
        </row>
        <row r="378">
          <cell r="E378" t="str">
            <v>3035092</v>
          </cell>
        </row>
        <row r="379">
          <cell r="E379" t="str">
            <v>998738</v>
          </cell>
        </row>
        <row r="380">
          <cell r="E380" t="str">
            <v>4153566</v>
          </cell>
        </row>
        <row r="381">
          <cell r="E381" t="str">
            <v>4153549</v>
          </cell>
        </row>
        <row r="382">
          <cell r="E382" t="str">
            <v>4153447</v>
          </cell>
        </row>
        <row r="383">
          <cell r="E383" t="str">
            <v>4196263</v>
          </cell>
        </row>
        <row r="384">
          <cell r="E384" t="str">
            <v>4120312</v>
          </cell>
        </row>
        <row r="385">
          <cell r="E385" t="str">
            <v>4059333</v>
          </cell>
        </row>
        <row r="386">
          <cell r="E386" t="str">
            <v>4263764</v>
          </cell>
        </row>
        <row r="387">
          <cell r="E387" t="str">
            <v>4263765</v>
          </cell>
        </row>
        <row r="388">
          <cell r="E388" t="str">
            <v>4153546</v>
          </cell>
        </row>
        <row r="389">
          <cell r="E389" t="str">
            <v>4153541</v>
          </cell>
        </row>
        <row r="390">
          <cell r="E390" t="str">
            <v>4153538</v>
          </cell>
        </row>
        <row r="391">
          <cell r="E391" t="str">
            <v>998738</v>
          </cell>
        </row>
        <row r="392">
          <cell r="E392" t="str">
            <v>4153541</v>
          </cell>
        </row>
        <row r="393">
          <cell r="E393" t="str">
            <v>4184839</v>
          </cell>
        </row>
        <row r="394">
          <cell r="E394" t="str">
            <v>4293250</v>
          </cell>
        </row>
        <row r="395">
          <cell r="E395" t="str">
            <v>4153538</v>
          </cell>
        </row>
        <row r="396">
          <cell r="E396" t="str">
            <v>4141974</v>
          </cell>
        </row>
        <row r="397">
          <cell r="E397" t="str">
            <v>4196261</v>
          </cell>
        </row>
        <row r="398">
          <cell r="E398" t="str">
            <v>4153538</v>
          </cell>
        </row>
        <row r="399">
          <cell r="E399" t="str">
            <v>4067834</v>
          </cell>
        </row>
        <row r="400">
          <cell r="E400" t="str">
            <v>4153108</v>
          </cell>
        </row>
        <row r="401">
          <cell r="E401" t="str">
            <v>4158034</v>
          </cell>
        </row>
        <row r="402">
          <cell r="E402" t="str">
            <v>4112497</v>
          </cell>
        </row>
        <row r="403">
          <cell r="E403" t="str">
            <v>4196260</v>
          </cell>
        </row>
        <row r="404">
          <cell r="E404" t="str">
            <v>4067833</v>
          </cell>
        </row>
        <row r="405">
          <cell r="E405" t="str">
            <v>4153536</v>
          </cell>
        </row>
        <row r="406">
          <cell r="E406" t="str">
            <v>4094001</v>
          </cell>
        </row>
        <row r="407">
          <cell r="E407" t="str">
            <v>4263764</v>
          </cell>
        </row>
        <row r="408">
          <cell r="E408" t="str">
            <v>4081954</v>
          </cell>
        </row>
        <row r="409">
          <cell r="E409" t="str">
            <v>4282477</v>
          </cell>
        </row>
        <row r="410">
          <cell r="E410" t="str">
            <v>4185984</v>
          </cell>
        </row>
        <row r="411">
          <cell r="E411" t="str">
            <v>4153538</v>
          </cell>
        </row>
        <row r="412">
          <cell r="E412" t="str">
            <v>4094001</v>
          </cell>
        </row>
        <row r="413">
          <cell r="E413" t="str">
            <v>4263764</v>
          </cell>
        </row>
        <row r="414">
          <cell r="E414" t="str">
            <v>4157985</v>
          </cell>
        </row>
        <row r="415">
          <cell r="E415" t="str">
            <v>4077931</v>
          </cell>
        </row>
        <row r="416">
          <cell r="E416" t="str">
            <v>4292385</v>
          </cell>
        </row>
        <row r="417">
          <cell r="E417" t="str">
            <v>4292385</v>
          </cell>
        </row>
        <row r="418">
          <cell r="E418" t="str">
            <v>4292385</v>
          </cell>
        </row>
        <row r="419">
          <cell r="E419" t="str">
            <v>4182622</v>
          </cell>
        </row>
        <row r="420">
          <cell r="E420" t="str">
            <v>4182623</v>
          </cell>
        </row>
        <row r="421">
          <cell r="E421" t="str">
            <v>4292385</v>
          </cell>
        </row>
        <row r="422">
          <cell r="E422" t="str">
            <v>4325449</v>
          </cell>
        </row>
        <row r="423">
          <cell r="E423" t="str">
            <v>4325450</v>
          </cell>
        </row>
        <row r="424">
          <cell r="E424" t="str">
            <v>4292385</v>
          </cell>
        </row>
        <row r="425">
          <cell r="E425" t="str">
            <v>4182633</v>
          </cell>
        </row>
        <row r="426">
          <cell r="E426" t="str">
            <v>4292383</v>
          </cell>
        </row>
        <row r="427">
          <cell r="E427" t="str">
            <v>4292385</v>
          </cell>
        </row>
        <row r="428">
          <cell r="E428" t="str">
            <v>4292384</v>
          </cell>
        </row>
        <row r="429">
          <cell r="E429" t="str">
            <v>4292387</v>
          </cell>
        </row>
        <row r="430">
          <cell r="E430" t="str">
            <v>4197747</v>
          </cell>
        </row>
        <row r="431">
          <cell r="E431" t="str">
            <v>4197748</v>
          </cell>
        </row>
        <row r="432">
          <cell r="E432" t="str">
            <v>4210311</v>
          </cell>
        </row>
        <row r="433">
          <cell r="E433" t="str">
            <v>4292384</v>
          </cell>
        </row>
        <row r="434">
          <cell r="E434" t="str">
            <v>4292385</v>
          </cell>
        </row>
        <row r="435">
          <cell r="E435" t="str">
            <v>4196250</v>
          </cell>
        </row>
        <row r="436">
          <cell r="E436" t="str">
            <v>4292383</v>
          </cell>
        </row>
        <row r="437">
          <cell r="E437" t="str">
            <v>8037743</v>
          </cell>
        </row>
        <row r="438">
          <cell r="E438" t="str">
            <v>8037744</v>
          </cell>
        </row>
        <row r="439">
          <cell r="E439" t="str">
            <v>8037745</v>
          </cell>
        </row>
        <row r="440">
          <cell r="E440" t="str">
            <v>8037746</v>
          </cell>
        </row>
        <row r="441">
          <cell r="E441" t="str">
            <v>8037747</v>
          </cell>
        </row>
        <row r="442">
          <cell r="E442" t="str">
            <v>8037748</v>
          </cell>
        </row>
        <row r="443">
          <cell r="E443" t="str">
            <v>8037750</v>
          </cell>
        </row>
        <row r="444">
          <cell r="E444" t="str">
            <v>8037751</v>
          </cell>
        </row>
        <row r="445">
          <cell r="E445" t="str">
            <v>8037749</v>
          </cell>
        </row>
        <row r="446">
          <cell r="E446" t="str">
            <v>8037739</v>
          </cell>
        </row>
        <row r="447">
          <cell r="E447" t="str">
            <v>8037740</v>
          </cell>
        </row>
        <row r="448">
          <cell r="E448" t="str">
            <v>8037741</v>
          </cell>
        </row>
        <row r="449">
          <cell r="E449" t="str">
            <v>8037742</v>
          </cell>
        </row>
        <row r="450">
          <cell r="E450" t="str">
            <v>8037752</v>
          </cell>
        </row>
        <row r="451">
          <cell r="E451" t="str">
            <v>8037753</v>
          </cell>
        </row>
        <row r="452">
          <cell r="E452" t="str">
            <v>8037754</v>
          </cell>
        </row>
        <row r="453">
          <cell r="E453" t="str">
            <v>8037755</v>
          </cell>
        </row>
        <row r="454">
          <cell r="E454" t="str">
            <v>8037756</v>
          </cell>
        </row>
        <row r="455">
          <cell r="E455" t="str">
            <v>4292386</v>
          </cell>
        </row>
        <row r="456">
          <cell r="E456" t="str">
            <v>4182621</v>
          </cell>
        </row>
        <row r="457">
          <cell r="E457" t="str">
            <v>4182620</v>
          </cell>
        </row>
        <row r="458">
          <cell r="E458" t="str">
            <v>4182628</v>
          </cell>
        </row>
        <row r="459">
          <cell r="E459" t="str">
            <v>4239735</v>
          </cell>
        </row>
        <row r="460">
          <cell r="E460" t="str">
            <v>4292382</v>
          </cell>
        </row>
        <row r="461">
          <cell r="E461" t="str">
            <v>4292942</v>
          </cell>
        </row>
        <row r="462">
          <cell r="E462" t="str">
            <v>4182621</v>
          </cell>
        </row>
        <row r="463">
          <cell r="E463" t="str">
            <v>4182620</v>
          </cell>
        </row>
        <row r="464">
          <cell r="E464" t="str">
            <v>4292382</v>
          </cell>
        </row>
        <row r="465">
          <cell r="E465" t="str">
            <v>4292386</v>
          </cell>
        </row>
        <row r="466">
          <cell r="E466" t="str">
            <v>8034216</v>
          </cell>
        </row>
        <row r="467">
          <cell r="E467" t="str">
            <v>8047197</v>
          </cell>
        </row>
        <row r="468">
          <cell r="E468" t="str">
            <v>4182625</v>
          </cell>
        </row>
        <row r="469">
          <cell r="E469" t="str">
            <v>4182624</v>
          </cell>
        </row>
        <row r="470">
          <cell r="E470" t="str">
            <v>4292383</v>
          </cell>
        </row>
        <row r="471">
          <cell r="E471" t="str">
            <v>4059070</v>
          </cell>
        </row>
        <row r="472">
          <cell r="E472" t="str">
            <v>4095073</v>
          </cell>
        </row>
        <row r="473">
          <cell r="E473" t="str">
            <v>4063584</v>
          </cell>
        </row>
        <row r="474">
          <cell r="E474" t="str">
            <v>4153439</v>
          </cell>
        </row>
        <row r="475">
          <cell r="E475" t="str">
            <v>4506424</v>
          </cell>
        </row>
        <row r="476">
          <cell r="E476" t="str">
            <v>4158018</v>
          </cell>
        </row>
        <row r="477">
          <cell r="E477" t="str">
            <v>4506424</v>
          </cell>
        </row>
        <row r="478">
          <cell r="E478" t="str">
            <v>4190931</v>
          </cell>
        </row>
        <row r="479">
          <cell r="E479" t="str">
            <v>4196815</v>
          </cell>
        </row>
        <row r="480">
          <cell r="E480" t="str">
            <v>4196816</v>
          </cell>
        </row>
        <row r="481">
          <cell r="E481" t="str">
            <v>4190932</v>
          </cell>
        </row>
        <row r="482">
          <cell r="E482" t="str">
            <v>4190929</v>
          </cell>
        </row>
        <row r="483">
          <cell r="E483" t="str">
            <v>939306</v>
          </cell>
        </row>
        <row r="484">
          <cell r="E484" t="str">
            <v>4216355</v>
          </cell>
        </row>
        <row r="485">
          <cell r="E485" t="str">
            <v>4248383</v>
          </cell>
        </row>
        <row r="486">
          <cell r="E486" t="str">
            <v>4248384</v>
          </cell>
        </row>
        <row r="487">
          <cell r="E487" t="str">
            <v>4173387</v>
          </cell>
        </row>
        <row r="488">
          <cell r="E488" t="str">
            <v>949865</v>
          </cell>
        </row>
        <row r="489">
          <cell r="E489" t="str">
            <v>954495</v>
          </cell>
        </row>
        <row r="490">
          <cell r="E490" t="str">
            <v>954493</v>
          </cell>
        </row>
        <row r="491">
          <cell r="E491" t="str">
            <v>4142055</v>
          </cell>
        </row>
        <row r="492">
          <cell r="E492" t="str">
            <v>4158017</v>
          </cell>
        </row>
        <row r="493">
          <cell r="E493" t="str">
            <v>4131531</v>
          </cell>
        </row>
        <row r="494">
          <cell r="E494" t="str">
            <v>4054347</v>
          </cell>
        </row>
        <row r="495">
          <cell r="E495" t="str">
            <v>4200387</v>
          </cell>
        </row>
        <row r="496">
          <cell r="E496" t="str">
            <v>4118106</v>
          </cell>
        </row>
        <row r="497">
          <cell r="E497" t="str">
            <v>4506418</v>
          </cell>
        </row>
        <row r="498">
          <cell r="E498" t="str">
            <v>4506418</v>
          </cell>
        </row>
        <row r="499">
          <cell r="E499" t="str">
            <v>4509180</v>
          </cell>
        </row>
        <row r="500">
          <cell r="E500" t="str">
            <v>4509180</v>
          </cell>
        </row>
        <row r="501">
          <cell r="E501" t="str">
            <v>4184890</v>
          </cell>
        </row>
        <row r="502">
          <cell r="E502" t="str">
            <v>4216436</v>
          </cell>
        </row>
        <row r="503">
          <cell r="E503" t="str">
            <v xml:space="preserve">A811035 </v>
          </cell>
        </row>
        <row r="504">
          <cell r="E504" t="str">
            <v>4023186</v>
          </cell>
        </row>
        <row r="505">
          <cell r="E505" t="str">
            <v>4118274</v>
          </cell>
        </row>
        <row r="506">
          <cell r="E506" t="str">
            <v>4506418</v>
          </cell>
        </row>
        <row r="507">
          <cell r="E507" t="str">
            <v>4509180</v>
          </cell>
        </row>
        <row r="508">
          <cell r="E508" t="str">
            <v>4509180</v>
          </cell>
        </row>
        <row r="509">
          <cell r="E509" t="str">
            <v>4204198</v>
          </cell>
        </row>
        <row r="510">
          <cell r="E510" t="str">
            <v>4062815</v>
          </cell>
        </row>
        <row r="511">
          <cell r="E511" t="str">
            <v>4107297</v>
          </cell>
        </row>
        <row r="512">
          <cell r="E512" t="str">
            <v>4060516</v>
          </cell>
        </row>
        <row r="513">
          <cell r="E513" t="str">
            <v>4022542</v>
          </cell>
        </row>
        <row r="514">
          <cell r="E514" t="str">
            <v>4129762</v>
          </cell>
        </row>
        <row r="515">
          <cell r="E515" t="str">
            <v>4124814</v>
          </cell>
        </row>
        <row r="516">
          <cell r="E516" t="str">
            <v>4123224</v>
          </cell>
        </row>
        <row r="517">
          <cell r="E517" t="str">
            <v>957366</v>
          </cell>
        </row>
        <row r="518">
          <cell r="E518" t="str">
            <v>957366</v>
          </cell>
        </row>
        <row r="519">
          <cell r="E519" t="str">
            <v>957366</v>
          </cell>
        </row>
        <row r="520">
          <cell r="E520" t="str">
            <v>957366</v>
          </cell>
        </row>
        <row r="521">
          <cell r="E521" t="str">
            <v>4509180</v>
          </cell>
        </row>
        <row r="522">
          <cell r="E522" t="str">
            <v>957366</v>
          </cell>
        </row>
        <row r="523">
          <cell r="E523" t="str">
            <v>4509180</v>
          </cell>
        </row>
        <row r="524">
          <cell r="E524" t="str">
            <v>4192097</v>
          </cell>
        </row>
        <row r="525">
          <cell r="E525" t="str">
            <v>4192098</v>
          </cell>
        </row>
        <row r="526">
          <cell r="E526" t="str">
            <v>4061873</v>
          </cell>
        </row>
        <row r="527">
          <cell r="E527" t="str">
            <v>957366</v>
          </cell>
        </row>
        <row r="528">
          <cell r="E528" t="str">
            <v>957366</v>
          </cell>
        </row>
        <row r="529">
          <cell r="E529" t="str">
            <v>957366</v>
          </cell>
        </row>
        <row r="530">
          <cell r="E530" t="str">
            <v>957366</v>
          </cell>
        </row>
        <row r="531">
          <cell r="E531" t="str">
            <v>957366</v>
          </cell>
        </row>
        <row r="532">
          <cell r="E532" t="str">
            <v>4509180</v>
          </cell>
        </row>
        <row r="533">
          <cell r="E533" t="str">
            <v>957366</v>
          </cell>
        </row>
        <row r="534">
          <cell r="E534" t="str">
            <v>4022544</v>
          </cell>
        </row>
        <row r="535">
          <cell r="E535" t="str">
            <v>4158042</v>
          </cell>
        </row>
        <row r="536">
          <cell r="E536" t="str">
            <v>4022542</v>
          </cell>
        </row>
        <row r="537">
          <cell r="E537" t="str">
            <v>4113198</v>
          </cell>
        </row>
        <row r="538">
          <cell r="E538" t="str">
            <v>4022548</v>
          </cell>
        </row>
        <row r="539">
          <cell r="E539" t="str">
            <v>4028877</v>
          </cell>
        </row>
        <row r="540">
          <cell r="E540" t="str">
            <v>4118106</v>
          </cell>
        </row>
        <row r="541">
          <cell r="E541" t="str">
            <v>4158049</v>
          </cell>
        </row>
        <row r="542">
          <cell r="E542" t="str">
            <v>4022545</v>
          </cell>
        </row>
        <row r="543">
          <cell r="E543" t="str">
            <v>4142627</v>
          </cell>
        </row>
        <row r="544">
          <cell r="E544" t="str">
            <v>4142628</v>
          </cell>
        </row>
        <row r="545">
          <cell r="E545" t="str">
            <v>4060516</v>
          </cell>
        </row>
        <row r="546">
          <cell r="E546" t="str">
            <v>957366</v>
          </cell>
        </row>
        <row r="547">
          <cell r="E547" t="str">
            <v>4509180</v>
          </cell>
        </row>
        <row r="548">
          <cell r="E548" t="str">
            <v>957366</v>
          </cell>
        </row>
        <row r="549">
          <cell r="E549" t="str">
            <v>957366</v>
          </cell>
        </row>
        <row r="550">
          <cell r="E550" t="str">
            <v>957366</v>
          </cell>
        </row>
        <row r="551">
          <cell r="E551" t="str">
            <v>957366</v>
          </cell>
        </row>
        <row r="552">
          <cell r="E552" t="str">
            <v>4509180</v>
          </cell>
        </row>
        <row r="553">
          <cell r="E553" t="str">
            <v>4509180</v>
          </cell>
        </row>
        <row r="554">
          <cell r="E554" t="str">
            <v>4509180</v>
          </cell>
        </row>
        <row r="555">
          <cell r="E555" t="str">
            <v>4509180</v>
          </cell>
        </row>
        <row r="556">
          <cell r="E556" t="str">
            <v>957366</v>
          </cell>
        </row>
        <row r="557">
          <cell r="E557" t="str">
            <v>957366</v>
          </cell>
        </row>
        <row r="558">
          <cell r="E558" t="str">
            <v>4509180</v>
          </cell>
        </row>
        <row r="559">
          <cell r="E559" t="str">
            <v>4022542</v>
          </cell>
        </row>
        <row r="560">
          <cell r="E560" t="str">
            <v>4158043</v>
          </cell>
        </row>
        <row r="561">
          <cell r="E561" t="str">
            <v>4151523</v>
          </cell>
        </row>
        <row r="562">
          <cell r="E562" t="str">
            <v>4071343</v>
          </cell>
        </row>
        <row r="563">
          <cell r="E563" t="str">
            <v>4151419</v>
          </cell>
        </row>
        <row r="564">
          <cell r="E564" t="str">
            <v>4123224</v>
          </cell>
        </row>
        <row r="565">
          <cell r="E565" t="str">
            <v>4124803</v>
          </cell>
        </row>
        <row r="566">
          <cell r="E566" t="str">
            <v>4124802</v>
          </cell>
        </row>
        <row r="567">
          <cell r="E567" t="str">
            <v>4129762</v>
          </cell>
        </row>
        <row r="568">
          <cell r="E568" t="str">
            <v>4204199</v>
          </cell>
        </row>
        <row r="569">
          <cell r="E569" t="str">
            <v>4509180</v>
          </cell>
        </row>
        <row r="570">
          <cell r="E570" t="str">
            <v>957366</v>
          </cell>
        </row>
        <row r="571">
          <cell r="E571" t="str">
            <v>957366</v>
          </cell>
        </row>
        <row r="572">
          <cell r="E572" t="str">
            <v>957366</v>
          </cell>
        </row>
        <row r="573">
          <cell r="E573" t="str">
            <v>957366</v>
          </cell>
        </row>
        <row r="574">
          <cell r="E574" t="str">
            <v>957366</v>
          </cell>
        </row>
        <row r="575">
          <cell r="E575" t="str">
            <v>4509180</v>
          </cell>
        </row>
        <row r="576">
          <cell r="E576" t="str">
            <v>4509180</v>
          </cell>
        </row>
        <row r="577">
          <cell r="E577" t="str">
            <v>4506418</v>
          </cell>
        </row>
        <row r="578">
          <cell r="E578" t="str">
            <v>4506418</v>
          </cell>
        </row>
        <row r="579">
          <cell r="E579" t="str">
            <v>957366</v>
          </cell>
        </row>
        <row r="580">
          <cell r="E580" t="str">
            <v>4509180</v>
          </cell>
        </row>
        <row r="581">
          <cell r="E581" t="str">
            <v>4069767</v>
          </cell>
        </row>
        <row r="582">
          <cell r="E582" t="str">
            <v>4022547</v>
          </cell>
        </row>
        <row r="583">
          <cell r="E583" t="str">
            <v>4062815</v>
          </cell>
        </row>
        <row r="584">
          <cell r="E584" t="str">
            <v>4022544</v>
          </cell>
        </row>
        <row r="585">
          <cell r="E585" t="str">
            <v>4055174</v>
          </cell>
        </row>
        <row r="586">
          <cell r="E586" t="str">
            <v>4022542</v>
          </cell>
        </row>
        <row r="587">
          <cell r="E587" t="str">
            <v>4141394</v>
          </cell>
        </row>
        <row r="588">
          <cell r="E588" t="str">
            <v>4158049</v>
          </cell>
        </row>
        <row r="589">
          <cell r="E589" t="str">
            <v>4067526</v>
          </cell>
        </row>
        <row r="590">
          <cell r="E590" t="str">
            <v>4138009</v>
          </cell>
        </row>
        <row r="591">
          <cell r="E591" t="str">
            <v>4123225</v>
          </cell>
        </row>
        <row r="592">
          <cell r="E592" t="str">
            <v>4125572</v>
          </cell>
        </row>
        <row r="593">
          <cell r="E593" t="str">
            <v>4123224</v>
          </cell>
        </row>
        <row r="594">
          <cell r="E594" t="str">
            <v>4185740</v>
          </cell>
        </row>
        <row r="595">
          <cell r="E595" t="str">
            <v>4195759</v>
          </cell>
        </row>
        <row r="596">
          <cell r="E596" t="str">
            <v>4187565</v>
          </cell>
        </row>
        <row r="597">
          <cell r="E597" t="str">
            <v>957366</v>
          </cell>
        </row>
        <row r="598">
          <cell r="E598" t="str">
            <v>4061873</v>
          </cell>
        </row>
        <row r="599">
          <cell r="E599" t="str">
            <v>4022547</v>
          </cell>
        </row>
        <row r="600">
          <cell r="E600" t="str">
            <v>4022544</v>
          </cell>
        </row>
        <row r="601">
          <cell r="E601" t="str">
            <v>4015462</v>
          </cell>
        </row>
        <row r="602">
          <cell r="E602" t="str">
            <v>4060516</v>
          </cell>
        </row>
        <row r="603">
          <cell r="E603" t="str">
            <v>4022548</v>
          </cell>
        </row>
        <row r="604">
          <cell r="E604" t="str">
            <v>4184887</v>
          </cell>
        </row>
        <row r="605">
          <cell r="E605" t="str">
            <v>4193841</v>
          </cell>
        </row>
        <row r="606">
          <cell r="E606" t="str">
            <v>957366</v>
          </cell>
        </row>
        <row r="607">
          <cell r="E607" t="str">
            <v>4509180</v>
          </cell>
        </row>
        <row r="608">
          <cell r="E608" t="str">
            <v>957366</v>
          </cell>
        </row>
        <row r="609">
          <cell r="E609" t="str">
            <v>4509180</v>
          </cell>
        </row>
        <row r="610">
          <cell r="E610" t="str">
            <v>957366</v>
          </cell>
        </row>
        <row r="611">
          <cell r="E611" t="str">
            <v>957366</v>
          </cell>
        </row>
        <row r="612">
          <cell r="E612" t="str">
            <v>4509180</v>
          </cell>
        </row>
        <row r="613">
          <cell r="E613" t="str">
            <v>957366</v>
          </cell>
        </row>
        <row r="614">
          <cell r="E614" t="str">
            <v>4509180</v>
          </cell>
        </row>
        <row r="615">
          <cell r="E615" t="str">
            <v>957366</v>
          </cell>
        </row>
        <row r="616">
          <cell r="E616" t="str">
            <v>4509180</v>
          </cell>
        </row>
        <row r="617">
          <cell r="E617" t="str">
            <v>4156460</v>
          </cell>
        </row>
        <row r="618">
          <cell r="E618" t="str">
            <v>4141394</v>
          </cell>
        </row>
        <row r="619">
          <cell r="E619" t="str">
            <v>4067524</v>
          </cell>
        </row>
        <row r="620">
          <cell r="E620" t="str">
            <v>4187393</v>
          </cell>
        </row>
        <row r="621">
          <cell r="E621" t="str">
            <v>4063117</v>
          </cell>
        </row>
        <row r="622">
          <cell r="E622" t="str">
            <v>4197720</v>
          </cell>
        </row>
        <row r="623">
          <cell r="E623" t="str">
            <v>4197776</v>
          </cell>
        </row>
        <row r="624">
          <cell r="E624" t="str">
            <v>4196282</v>
          </cell>
        </row>
        <row r="625">
          <cell r="E625" t="str">
            <v>4509180</v>
          </cell>
        </row>
        <row r="626">
          <cell r="E626" t="str">
            <v>4509180</v>
          </cell>
        </row>
        <row r="627">
          <cell r="E627" t="str">
            <v>4509180</v>
          </cell>
        </row>
        <row r="628">
          <cell r="E628" t="str">
            <v>4509180</v>
          </cell>
        </row>
        <row r="629">
          <cell r="E629" t="str">
            <v>4509180</v>
          </cell>
        </row>
        <row r="630">
          <cell r="E630" t="str">
            <v>4509180</v>
          </cell>
        </row>
        <row r="631">
          <cell r="E631" t="str">
            <v>4061873</v>
          </cell>
        </row>
        <row r="632">
          <cell r="E632" t="str">
            <v>4066924</v>
          </cell>
        </row>
        <row r="633">
          <cell r="E633" t="str">
            <v>4124815</v>
          </cell>
        </row>
        <row r="634">
          <cell r="E634" t="str">
            <v>4124806</v>
          </cell>
        </row>
        <row r="635">
          <cell r="E635" t="str">
            <v>4123226</v>
          </cell>
        </row>
        <row r="636">
          <cell r="E636" t="str">
            <v>4192098</v>
          </cell>
        </row>
        <row r="637">
          <cell r="E637" t="str">
            <v>4061873</v>
          </cell>
        </row>
        <row r="638">
          <cell r="E638" t="str">
            <v>4022547</v>
          </cell>
        </row>
        <row r="639">
          <cell r="E639" t="str">
            <v>4015462</v>
          </cell>
        </row>
        <row r="640">
          <cell r="E640" t="str">
            <v>4060516</v>
          </cell>
        </row>
        <row r="641">
          <cell r="E641" t="str">
            <v>4509180</v>
          </cell>
        </row>
        <row r="642">
          <cell r="E642" t="str">
            <v>957366</v>
          </cell>
        </row>
        <row r="643">
          <cell r="E643" t="str">
            <v>4509180</v>
          </cell>
        </row>
        <row r="644">
          <cell r="E644" t="str">
            <v>957366</v>
          </cell>
        </row>
        <row r="645">
          <cell r="E645" t="str">
            <v>957366</v>
          </cell>
        </row>
        <row r="646">
          <cell r="E646" t="str">
            <v>4509180</v>
          </cell>
        </row>
        <row r="647">
          <cell r="E647" t="str">
            <v>957366</v>
          </cell>
        </row>
        <row r="648">
          <cell r="E648" t="str">
            <v>4509180</v>
          </cell>
        </row>
        <row r="649">
          <cell r="E649" t="str">
            <v>957366</v>
          </cell>
        </row>
        <row r="650">
          <cell r="E650" t="str">
            <v>957366</v>
          </cell>
        </row>
        <row r="651">
          <cell r="E651" t="str">
            <v>4156460</v>
          </cell>
        </row>
        <row r="652">
          <cell r="E652" t="str">
            <v>4141394</v>
          </cell>
        </row>
        <row r="653">
          <cell r="E653" t="str">
            <v>4067524</v>
          </cell>
        </row>
        <row r="654">
          <cell r="E654" t="str">
            <v>4187393</v>
          </cell>
        </row>
        <row r="655">
          <cell r="E655" t="str">
            <v>4063117</v>
          </cell>
        </row>
        <row r="656">
          <cell r="E656" t="str">
            <v>4197720</v>
          </cell>
        </row>
        <row r="657">
          <cell r="E657" t="str">
            <v>4197776</v>
          </cell>
        </row>
        <row r="658">
          <cell r="E658" t="str">
            <v>4196282</v>
          </cell>
        </row>
        <row r="659">
          <cell r="E659" t="str">
            <v>4509180</v>
          </cell>
        </row>
        <row r="660">
          <cell r="E660" t="str">
            <v>4509180</v>
          </cell>
        </row>
        <row r="661">
          <cell r="E661" t="str">
            <v>4509180</v>
          </cell>
        </row>
        <row r="662">
          <cell r="E662" t="str">
            <v>4509180</v>
          </cell>
        </row>
        <row r="663">
          <cell r="E663" t="str">
            <v>4509180</v>
          </cell>
        </row>
        <row r="664">
          <cell r="E664" t="str">
            <v>4509180</v>
          </cell>
        </row>
        <row r="665">
          <cell r="E665" t="str">
            <v>4055214</v>
          </cell>
        </row>
        <row r="666">
          <cell r="E666" t="str">
            <v>4071341</v>
          </cell>
        </row>
        <row r="667">
          <cell r="E667" t="str">
            <v>4158051</v>
          </cell>
        </row>
        <row r="668">
          <cell r="E668" t="str">
            <v>4116047</v>
          </cell>
        </row>
        <row r="669">
          <cell r="E669" t="str">
            <v>4158053</v>
          </cell>
        </row>
        <row r="670">
          <cell r="E670" t="str">
            <v>4197771</v>
          </cell>
        </row>
        <row r="671">
          <cell r="E671" t="str">
            <v>4118275</v>
          </cell>
        </row>
        <row r="672">
          <cell r="E672" t="str">
            <v>4200489</v>
          </cell>
        </row>
        <row r="673">
          <cell r="E673" t="str">
            <v>4197774</v>
          </cell>
        </row>
        <row r="674">
          <cell r="E674" t="str">
            <v>4509180</v>
          </cell>
        </row>
        <row r="675">
          <cell r="E675" t="str">
            <v>4509180</v>
          </cell>
        </row>
        <row r="676">
          <cell r="E676" t="str">
            <v>4509180</v>
          </cell>
        </row>
        <row r="677">
          <cell r="E677" t="str">
            <v>4509180</v>
          </cell>
        </row>
        <row r="678">
          <cell r="E678" t="str">
            <v>957366</v>
          </cell>
        </row>
        <row r="679">
          <cell r="E679" t="str">
            <v>4156460</v>
          </cell>
        </row>
        <row r="680">
          <cell r="E680" t="str">
            <v>4197773</v>
          </cell>
        </row>
        <row r="681">
          <cell r="E681" t="str">
            <v>4197775</v>
          </cell>
        </row>
        <row r="682">
          <cell r="E682" t="str">
            <v>4188990</v>
          </cell>
        </row>
        <row r="683">
          <cell r="E683" t="str">
            <v>4197777</v>
          </cell>
        </row>
        <row r="684">
          <cell r="E684" t="str">
            <v>4197778</v>
          </cell>
        </row>
        <row r="685">
          <cell r="E685" t="str">
            <v>4509180</v>
          </cell>
        </row>
        <row r="686">
          <cell r="E686" t="str">
            <v>4509180</v>
          </cell>
        </row>
        <row r="687">
          <cell r="E687" t="str">
            <v>957366</v>
          </cell>
        </row>
        <row r="688">
          <cell r="E688" t="str">
            <v>957366</v>
          </cell>
        </row>
        <row r="689">
          <cell r="E689" t="str">
            <v>4151419</v>
          </cell>
        </row>
        <row r="690">
          <cell r="E690" t="str">
            <v>4071343</v>
          </cell>
        </row>
        <row r="691">
          <cell r="E691" t="str">
            <v>4071347</v>
          </cell>
        </row>
        <row r="692">
          <cell r="E692" t="str">
            <v>4088042</v>
          </cell>
        </row>
        <row r="693">
          <cell r="E693" t="str">
            <v>4122838</v>
          </cell>
        </row>
        <row r="694">
          <cell r="E694" t="str">
            <v>4066924</v>
          </cell>
        </row>
        <row r="695">
          <cell r="E695" t="str">
            <v>4158047</v>
          </cell>
        </row>
        <row r="696">
          <cell r="E696" t="str">
            <v>4509180</v>
          </cell>
        </row>
        <row r="697">
          <cell r="E697" t="str">
            <v>4509180</v>
          </cell>
        </row>
        <row r="698">
          <cell r="E698" t="str">
            <v>4509180</v>
          </cell>
        </row>
        <row r="699">
          <cell r="E699" t="str">
            <v>4509180</v>
          </cell>
        </row>
        <row r="700">
          <cell r="E700" t="str">
            <v>957366</v>
          </cell>
        </row>
        <row r="701">
          <cell r="E701" t="str">
            <v>4118106</v>
          </cell>
        </row>
        <row r="702">
          <cell r="E702" t="str">
            <v>4022173</v>
          </cell>
        </row>
        <row r="703">
          <cell r="E703" t="str">
            <v>4055225</v>
          </cell>
        </row>
        <row r="704">
          <cell r="E704" t="str">
            <v>4184880</v>
          </cell>
        </row>
        <row r="705">
          <cell r="E705" t="str">
            <v>4184881</v>
          </cell>
        </row>
        <row r="706">
          <cell r="E706" t="str">
            <v>4118274</v>
          </cell>
        </row>
        <row r="707">
          <cell r="E707" t="str">
            <v>4118275</v>
          </cell>
        </row>
        <row r="708">
          <cell r="E708" t="str">
            <v>4184882</v>
          </cell>
        </row>
        <row r="709">
          <cell r="E709" t="str">
            <v>957366</v>
          </cell>
        </row>
        <row r="710">
          <cell r="E710" t="str">
            <v>4509180</v>
          </cell>
        </row>
        <row r="711">
          <cell r="E711" t="str">
            <v>957366</v>
          </cell>
        </row>
        <row r="712">
          <cell r="E712" t="str">
            <v>957366</v>
          </cell>
        </row>
        <row r="713">
          <cell r="E713" t="str">
            <v xml:space="preserve">A811025 </v>
          </cell>
        </row>
        <row r="714">
          <cell r="E714" t="str">
            <v>4022547</v>
          </cell>
        </row>
        <row r="715">
          <cell r="E715" t="str">
            <v>4022544</v>
          </cell>
        </row>
        <row r="716">
          <cell r="E716" t="str">
            <v>4107297</v>
          </cell>
        </row>
        <row r="717">
          <cell r="E717" t="str">
            <v>4020838</v>
          </cell>
        </row>
        <row r="718">
          <cell r="E718" t="str">
            <v>4060516</v>
          </cell>
        </row>
        <row r="719">
          <cell r="E719" t="str">
            <v>4158043</v>
          </cell>
        </row>
        <row r="720">
          <cell r="E720" t="str">
            <v>4158046</v>
          </cell>
        </row>
        <row r="721">
          <cell r="E721" t="str">
            <v>4163078</v>
          </cell>
        </row>
        <row r="722">
          <cell r="E722" t="str">
            <v>4223549</v>
          </cell>
        </row>
        <row r="723">
          <cell r="E723" t="str">
            <v>4184894</v>
          </cell>
        </row>
        <row r="724">
          <cell r="E724" t="str">
            <v>4067529</v>
          </cell>
        </row>
        <row r="725">
          <cell r="E725" t="str">
            <v>957366</v>
          </cell>
        </row>
        <row r="726">
          <cell r="E726" t="str">
            <v>957366</v>
          </cell>
        </row>
        <row r="727">
          <cell r="E727" t="str">
            <v>957366</v>
          </cell>
        </row>
        <row r="728">
          <cell r="E728" t="str">
            <v>4509180</v>
          </cell>
        </row>
        <row r="729">
          <cell r="E729" t="str">
            <v>957366</v>
          </cell>
        </row>
        <row r="730">
          <cell r="E730" t="str">
            <v>4509180</v>
          </cell>
        </row>
        <row r="731">
          <cell r="E731" t="str">
            <v>957366</v>
          </cell>
        </row>
        <row r="732">
          <cell r="E732" t="str">
            <v>957366</v>
          </cell>
        </row>
        <row r="733">
          <cell r="E733" t="str">
            <v>4509180</v>
          </cell>
        </row>
        <row r="734">
          <cell r="E734" t="str">
            <v>4509180</v>
          </cell>
        </row>
        <row r="735">
          <cell r="E735" t="str">
            <v>4509180</v>
          </cell>
        </row>
        <row r="736">
          <cell r="E736" t="str">
            <v>4184892</v>
          </cell>
        </row>
        <row r="737">
          <cell r="E737" t="str">
            <v>4193840</v>
          </cell>
        </row>
        <row r="738">
          <cell r="E738" t="str">
            <v>4224423</v>
          </cell>
        </row>
        <row r="739">
          <cell r="E739" t="str">
            <v xml:space="preserve">A811025 </v>
          </cell>
        </row>
        <row r="740">
          <cell r="E740" t="str">
            <v>4022547</v>
          </cell>
        </row>
        <row r="741">
          <cell r="E741" t="str">
            <v>4022544</v>
          </cell>
        </row>
        <row r="742">
          <cell r="E742" t="str">
            <v>4107297</v>
          </cell>
        </row>
        <row r="743">
          <cell r="E743" t="str">
            <v>4022545</v>
          </cell>
        </row>
        <row r="744">
          <cell r="E744" t="str">
            <v>4158043</v>
          </cell>
        </row>
        <row r="745">
          <cell r="E745" t="str">
            <v>4204150</v>
          </cell>
        </row>
        <row r="746">
          <cell r="E746" t="str">
            <v>4163064</v>
          </cell>
        </row>
        <row r="747">
          <cell r="E747" t="str">
            <v>4184886</v>
          </cell>
        </row>
        <row r="748">
          <cell r="E748" t="str">
            <v>4223549</v>
          </cell>
        </row>
        <row r="749">
          <cell r="E749" t="str">
            <v>957366</v>
          </cell>
        </row>
        <row r="750">
          <cell r="E750" t="str">
            <v>957366</v>
          </cell>
        </row>
        <row r="751">
          <cell r="E751" t="str">
            <v>4509180</v>
          </cell>
        </row>
        <row r="752">
          <cell r="E752" t="str">
            <v>4509180</v>
          </cell>
        </row>
        <row r="753">
          <cell r="E753" t="str">
            <v>957366</v>
          </cell>
        </row>
        <row r="754">
          <cell r="E754" t="str">
            <v>4509180</v>
          </cell>
        </row>
        <row r="755">
          <cell r="E755" t="str">
            <v>957366</v>
          </cell>
        </row>
        <row r="756">
          <cell r="E756" t="str">
            <v>957366</v>
          </cell>
        </row>
        <row r="757">
          <cell r="E757" t="str">
            <v>4509180</v>
          </cell>
        </row>
        <row r="758">
          <cell r="E758" t="str">
            <v>4509180</v>
          </cell>
        </row>
        <row r="759">
          <cell r="E759" t="str">
            <v>4509180</v>
          </cell>
        </row>
        <row r="760">
          <cell r="E760" t="str">
            <v>957366</v>
          </cell>
        </row>
        <row r="761">
          <cell r="E761" t="str">
            <v>4184894</v>
          </cell>
        </row>
        <row r="762">
          <cell r="E762" t="str">
            <v>4059074</v>
          </cell>
        </row>
        <row r="763">
          <cell r="E763" t="str">
            <v>4184892</v>
          </cell>
        </row>
        <row r="764">
          <cell r="E764" t="str">
            <v>4193840</v>
          </cell>
        </row>
        <row r="765">
          <cell r="E765" t="str">
            <v>4224423</v>
          </cell>
        </row>
        <row r="766">
          <cell r="E766" t="str">
            <v>4061873</v>
          </cell>
        </row>
        <row r="767">
          <cell r="E767" t="str">
            <v>957366</v>
          </cell>
        </row>
        <row r="768">
          <cell r="E768" t="str">
            <v>957366</v>
          </cell>
        </row>
        <row r="769">
          <cell r="E769" t="str">
            <v>4509180</v>
          </cell>
        </row>
        <row r="770">
          <cell r="E770" t="str">
            <v>4509180</v>
          </cell>
        </row>
        <row r="771">
          <cell r="E771" t="str">
            <v>957366</v>
          </cell>
        </row>
        <row r="772">
          <cell r="E772" t="str">
            <v>957366</v>
          </cell>
        </row>
        <row r="773">
          <cell r="E773" t="str">
            <v>4509180</v>
          </cell>
        </row>
        <row r="774">
          <cell r="E774" t="str">
            <v>957366</v>
          </cell>
        </row>
        <row r="775">
          <cell r="E775" t="str">
            <v>957366</v>
          </cell>
        </row>
        <row r="776">
          <cell r="E776" t="str">
            <v>4062815</v>
          </cell>
        </row>
        <row r="777">
          <cell r="E777" t="str">
            <v>4022544</v>
          </cell>
        </row>
        <row r="778">
          <cell r="E778" t="str">
            <v>4055174</v>
          </cell>
        </row>
        <row r="779">
          <cell r="E779" t="str">
            <v>4022542</v>
          </cell>
        </row>
        <row r="780">
          <cell r="E780" t="str">
            <v>4067528</v>
          </cell>
        </row>
        <row r="781">
          <cell r="E781" t="str">
            <v>4158081</v>
          </cell>
        </row>
        <row r="782">
          <cell r="E782" t="str">
            <v>4184883</v>
          </cell>
        </row>
        <row r="783">
          <cell r="E783" t="str">
            <v>4055214</v>
          </cell>
        </row>
        <row r="784">
          <cell r="E784" t="str">
            <v>4151419</v>
          </cell>
        </row>
        <row r="785">
          <cell r="E785" t="str">
            <v>986953</v>
          </cell>
        </row>
        <row r="786">
          <cell r="E786" t="str">
            <v>4089533</v>
          </cell>
        </row>
        <row r="787">
          <cell r="E787" t="str">
            <v>4185573</v>
          </cell>
        </row>
        <row r="788">
          <cell r="E788" t="str">
            <v>4087447</v>
          </cell>
        </row>
        <row r="789">
          <cell r="E789" t="str">
            <v>4125684</v>
          </cell>
        </row>
        <row r="790">
          <cell r="E790" t="str">
            <v>4089533</v>
          </cell>
        </row>
        <row r="791">
          <cell r="E791" t="str">
            <v>4198244</v>
          </cell>
        </row>
        <row r="792">
          <cell r="E792" t="str">
            <v>4514700</v>
          </cell>
        </row>
        <row r="793">
          <cell r="E793" t="str">
            <v>984219</v>
          </cell>
        </row>
        <row r="794">
          <cell r="E794" t="str">
            <v>984225</v>
          </cell>
        </row>
        <row r="795">
          <cell r="E795" t="str">
            <v>4081377</v>
          </cell>
        </row>
        <row r="796">
          <cell r="E796" t="str">
            <v>4174647</v>
          </cell>
        </row>
        <row r="797">
          <cell r="E797" t="str">
            <v>4159073</v>
          </cell>
        </row>
        <row r="798">
          <cell r="E798" t="str">
            <v>4122106</v>
          </cell>
        </row>
        <row r="799">
          <cell r="E799" t="str">
            <v>4185571</v>
          </cell>
        </row>
        <row r="800">
          <cell r="E800" t="str">
            <v>4081374</v>
          </cell>
        </row>
        <row r="801">
          <cell r="E801" t="str">
            <v>4174329</v>
          </cell>
        </row>
        <row r="802">
          <cell r="E802" t="str">
            <v>4185576</v>
          </cell>
        </row>
        <row r="803">
          <cell r="E803" t="str">
            <v>4174330</v>
          </cell>
        </row>
        <row r="804">
          <cell r="E804" t="str">
            <v>4176968</v>
          </cell>
        </row>
        <row r="805">
          <cell r="E805" t="str">
            <v>4176969</v>
          </cell>
        </row>
        <row r="806">
          <cell r="E806" t="str">
            <v>4185574</v>
          </cell>
        </row>
        <row r="807">
          <cell r="E807" t="str">
            <v>4174329</v>
          </cell>
        </row>
        <row r="808">
          <cell r="E808" t="str">
            <v>4185575</v>
          </cell>
        </row>
        <row r="809">
          <cell r="E809" t="str">
            <v>4185576</v>
          </cell>
        </row>
        <row r="810">
          <cell r="E810" t="str">
            <v xml:space="preserve">A811040 </v>
          </cell>
        </row>
        <row r="811">
          <cell r="E811" t="str">
            <v>986952</v>
          </cell>
        </row>
        <row r="812">
          <cell r="E812" t="str">
            <v>4285690</v>
          </cell>
        </row>
        <row r="813">
          <cell r="E813" t="str">
            <v>4285687</v>
          </cell>
        </row>
        <row r="814">
          <cell r="E814" t="str">
            <v>4285689</v>
          </cell>
        </row>
        <row r="815">
          <cell r="E815" t="str">
            <v>4285688</v>
          </cell>
        </row>
        <row r="816">
          <cell r="E816" t="str">
            <v>4157951</v>
          </cell>
        </row>
        <row r="817">
          <cell r="E817" t="str">
            <v>4157961</v>
          </cell>
        </row>
        <row r="818">
          <cell r="E818" t="str">
            <v>4186003</v>
          </cell>
        </row>
        <row r="819">
          <cell r="E819" t="str">
            <v>4285686</v>
          </cell>
        </row>
        <row r="820">
          <cell r="E820" t="str">
            <v>4149521</v>
          </cell>
        </row>
        <row r="821">
          <cell r="E821" t="str">
            <v>4291385</v>
          </cell>
        </row>
        <row r="822">
          <cell r="E822" t="str">
            <v>4285395</v>
          </cell>
        </row>
        <row r="823">
          <cell r="E823" t="str">
            <v>4285396</v>
          </cell>
        </row>
        <row r="824">
          <cell r="E824" t="str">
            <v>4291384</v>
          </cell>
        </row>
        <row r="825">
          <cell r="E825" t="str">
            <v>4261585</v>
          </cell>
        </row>
        <row r="826">
          <cell r="E826" t="str">
            <v>4131662</v>
          </cell>
        </row>
        <row r="827">
          <cell r="E827" t="str">
            <v>4129942</v>
          </cell>
        </row>
        <row r="828">
          <cell r="E828" t="str">
            <v>4186075</v>
          </cell>
        </row>
        <row r="829">
          <cell r="E829" t="str">
            <v xml:space="preserve">A890016 </v>
          </cell>
        </row>
        <row r="830">
          <cell r="E830" t="str">
            <v>4166465</v>
          </cell>
        </row>
        <row r="831">
          <cell r="E831" t="str">
            <v>4257115</v>
          </cell>
        </row>
        <row r="832">
          <cell r="E832" t="str">
            <v>4141171</v>
          </cell>
        </row>
        <row r="833">
          <cell r="E833" t="str">
            <v>4294080</v>
          </cell>
        </row>
        <row r="834">
          <cell r="E834" t="str">
            <v>4271488</v>
          </cell>
        </row>
        <row r="835">
          <cell r="E835" t="str">
            <v>4245629</v>
          </cell>
        </row>
        <row r="836">
          <cell r="E836" t="str">
            <v>4291232</v>
          </cell>
        </row>
        <row r="837">
          <cell r="E837" t="str">
            <v>4187223</v>
          </cell>
        </row>
        <row r="838">
          <cell r="E838" t="str">
            <v>4149335</v>
          </cell>
        </row>
        <row r="839">
          <cell r="E839" t="str">
            <v>4088538</v>
          </cell>
        </row>
        <row r="840">
          <cell r="E840" t="str">
            <v>4191728</v>
          </cell>
        </row>
        <row r="841">
          <cell r="E841" t="str">
            <v xml:space="preserve">A890022 </v>
          </cell>
        </row>
        <row r="842">
          <cell r="E842" t="str">
            <v>4129941</v>
          </cell>
        </row>
        <row r="843">
          <cell r="E843" t="str">
            <v>4033743</v>
          </cell>
        </row>
        <row r="844">
          <cell r="E844" t="str">
            <v>4504289</v>
          </cell>
        </row>
        <row r="845">
          <cell r="E845" t="str">
            <v>4141171</v>
          </cell>
        </row>
        <row r="846">
          <cell r="E846" t="str">
            <v>4237456</v>
          </cell>
        </row>
        <row r="847">
          <cell r="E847" t="str">
            <v>4208344</v>
          </cell>
        </row>
        <row r="848">
          <cell r="E848" t="str">
            <v>4031771</v>
          </cell>
        </row>
        <row r="849">
          <cell r="E849" t="str">
            <v>4275750</v>
          </cell>
        </row>
        <row r="850">
          <cell r="E850" t="str">
            <v>4287277</v>
          </cell>
        </row>
        <row r="851">
          <cell r="E851" t="str">
            <v>4343953</v>
          </cell>
        </row>
        <row r="852">
          <cell r="E852" t="str">
            <v>4187561</v>
          </cell>
        </row>
        <row r="853">
          <cell r="E853" t="str">
            <v>4184231</v>
          </cell>
        </row>
        <row r="854">
          <cell r="E854" t="str">
            <v>4144862</v>
          </cell>
        </row>
        <row r="855">
          <cell r="E855" t="str">
            <v>4249969</v>
          </cell>
        </row>
        <row r="856">
          <cell r="E856" t="str">
            <v>4270989</v>
          </cell>
        </row>
        <row r="857">
          <cell r="E857" t="str">
            <v>4270990</v>
          </cell>
        </row>
        <row r="858">
          <cell r="E858" t="str">
            <v>4318630</v>
          </cell>
        </row>
        <row r="859">
          <cell r="E859" t="str">
            <v xml:space="preserve">L34229  </v>
          </cell>
        </row>
        <row r="860">
          <cell r="E860" t="str">
            <v xml:space="preserve">L83054  </v>
          </cell>
        </row>
        <row r="861">
          <cell r="E861" t="str">
            <v>4122891</v>
          </cell>
        </row>
        <row r="862">
          <cell r="E862" t="str">
            <v>4025402</v>
          </cell>
        </row>
        <row r="863">
          <cell r="E863" t="str">
            <v>4216438</v>
          </cell>
        </row>
        <row r="864">
          <cell r="E864" t="str">
            <v>4241883</v>
          </cell>
        </row>
        <row r="865">
          <cell r="E865" t="str">
            <v>4210192</v>
          </cell>
        </row>
        <row r="866">
          <cell r="E866" t="str">
            <v>4214675</v>
          </cell>
        </row>
        <row r="867">
          <cell r="E867" t="str">
            <v>4214676</v>
          </cell>
        </row>
        <row r="868">
          <cell r="E868" t="str">
            <v>4299786</v>
          </cell>
        </row>
        <row r="869">
          <cell r="E869" t="str">
            <v>4210179</v>
          </cell>
        </row>
        <row r="870">
          <cell r="E870" t="str">
            <v>4197779</v>
          </cell>
        </row>
        <row r="871">
          <cell r="E871" t="str">
            <v>4055211</v>
          </cell>
        </row>
        <row r="872">
          <cell r="E872" t="str">
            <v>4118844</v>
          </cell>
        </row>
        <row r="873">
          <cell r="E873" t="str">
            <v>4206013</v>
          </cell>
        </row>
        <row r="874">
          <cell r="E874" t="str">
            <v>4246262</v>
          </cell>
        </row>
        <row r="875">
          <cell r="E875" t="str">
            <v>4187554</v>
          </cell>
        </row>
        <row r="876">
          <cell r="E876" t="str">
            <v>4116595</v>
          </cell>
        </row>
        <row r="877">
          <cell r="E877" t="str">
            <v>4199523</v>
          </cell>
        </row>
        <row r="878">
          <cell r="E878" t="str">
            <v>4501785</v>
          </cell>
        </row>
        <row r="879">
          <cell r="E879" t="str">
            <v>4187616</v>
          </cell>
        </row>
        <row r="880">
          <cell r="E880" t="str">
            <v>4180354</v>
          </cell>
        </row>
        <row r="881">
          <cell r="E881" t="str">
            <v>4180355</v>
          </cell>
        </row>
        <row r="882">
          <cell r="E882" t="str">
            <v>3033638</v>
          </cell>
        </row>
        <row r="883">
          <cell r="E883" t="str">
            <v>3033639</v>
          </cell>
        </row>
        <row r="884">
          <cell r="E884" t="str">
            <v xml:space="preserve">A590922 </v>
          </cell>
        </row>
        <row r="885">
          <cell r="E885" t="str">
            <v>4094325</v>
          </cell>
        </row>
        <row r="886">
          <cell r="E886" t="str">
            <v>1009547</v>
          </cell>
        </row>
        <row r="887">
          <cell r="E887" t="str">
            <v>4178057</v>
          </cell>
        </row>
        <row r="888">
          <cell r="E888" t="str">
            <v>4082698</v>
          </cell>
        </row>
        <row r="889">
          <cell r="E889" t="str">
            <v>4180353</v>
          </cell>
        </row>
        <row r="890">
          <cell r="E890" t="str">
            <v>1009548</v>
          </cell>
        </row>
        <row r="891">
          <cell r="E891" t="str">
            <v>4180077</v>
          </cell>
        </row>
        <row r="892">
          <cell r="E892" t="str">
            <v>4180074</v>
          </cell>
        </row>
        <row r="893">
          <cell r="E893" t="str">
            <v>4180078</v>
          </cell>
        </row>
        <row r="894">
          <cell r="E894" t="str">
            <v>3033641</v>
          </cell>
        </row>
        <row r="895">
          <cell r="E895" t="str">
            <v>4180357</v>
          </cell>
        </row>
        <row r="896">
          <cell r="E896" t="str">
            <v>4083427</v>
          </cell>
        </row>
        <row r="897">
          <cell r="E897" t="str">
            <v>2021806</v>
          </cell>
        </row>
        <row r="898">
          <cell r="E898" t="str">
            <v>2021807</v>
          </cell>
        </row>
        <row r="899">
          <cell r="E899" t="str">
            <v>1009549</v>
          </cell>
        </row>
        <row r="900">
          <cell r="E900" t="str">
            <v>4097551</v>
          </cell>
        </row>
        <row r="901">
          <cell r="E901" t="str">
            <v>4180073</v>
          </cell>
        </row>
        <row r="902">
          <cell r="E902" t="str">
            <v>991351</v>
          </cell>
        </row>
        <row r="903">
          <cell r="E903" t="str">
            <v>3033642</v>
          </cell>
        </row>
        <row r="904">
          <cell r="E904" t="str">
            <v>4180356</v>
          </cell>
        </row>
        <row r="905">
          <cell r="E905" t="str">
            <v>4094325</v>
          </cell>
        </row>
        <row r="906">
          <cell r="E906" t="str">
            <v>3033640</v>
          </cell>
        </row>
        <row r="907">
          <cell r="E907" t="str">
            <v>4180075</v>
          </cell>
        </row>
        <row r="908">
          <cell r="E908" t="str">
            <v xml:space="preserve">J932255 </v>
          </cell>
        </row>
        <row r="909">
          <cell r="E909" t="str">
            <v xml:space="preserve">A590922 </v>
          </cell>
        </row>
        <row r="910">
          <cell r="E910" t="str">
            <v>428028</v>
          </cell>
        </row>
        <row r="911">
          <cell r="E911" t="str">
            <v>425176</v>
          </cell>
        </row>
        <row r="912">
          <cell r="E912" t="str">
            <v>429135</v>
          </cell>
        </row>
        <row r="913">
          <cell r="E913" t="str">
            <v>431578</v>
          </cell>
        </row>
        <row r="914">
          <cell r="E914" t="str">
            <v>427154</v>
          </cell>
        </row>
        <row r="915">
          <cell r="E915" t="str">
            <v>4261965</v>
          </cell>
        </row>
        <row r="916">
          <cell r="E916" t="str">
            <v>9064302</v>
          </cell>
        </row>
        <row r="917">
          <cell r="E917" t="str">
            <v>4110369</v>
          </cell>
        </row>
        <row r="918">
          <cell r="E918" t="str">
            <v>3032657</v>
          </cell>
        </row>
        <row r="919">
          <cell r="E919" t="str">
            <v xml:space="preserve">A810150 </v>
          </cell>
        </row>
        <row r="920">
          <cell r="E920" t="str">
            <v>4082695</v>
          </cell>
        </row>
        <row r="921">
          <cell r="E921" t="str">
            <v>2021316</v>
          </cell>
        </row>
        <row r="922">
          <cell r="E922" t="str">
            <v>4114408</v>
          </cell>
        </row>
        <row r="923">
          <cell r="E923" t="str">
            <v xml:space="preserve">J833085 </v>
          </cell>
        </row>
        <row r="924">
          <cell r="E924" t="str">
            <v>3032658</v>
          </cell>
        </row>
        <row r="925">
          <cell r="E925" t="str">
            <v>4209583</v>
          </cell>
        </row>
        <row r="926">
          <cell r="E926" t="str">
            <v>4159033</v>
          </cell>
        </row>
        <row r="927">
          <cell r="E927" t="str">
            <v xml:space="preserve">A590914 </v>
          </cell>
        </row>
        <row r="928">
          <cell r="E928" t="str">
            <v xml:space="preserve">A590114 </v>
          </cell>
        </row>
        <row r="929">
          <cell r="E929" t="str">
            <v xml:space="preserve">J952014 </v>
          </cell>
        </row>
        <row r="930">
          <cell r="E930" t="str">
            <v>985099</v>
          </cell>
        </row>
        <row r="931">
          <cell r="E931" t="str">
            <v>4506418</v>
          </cell>
        </row>
        <row r="932">
          <cell r="E932" t="str">
            <v>4071707</v>
          </cell>
        </row>
        <row r="933">
          <cell r="E933" t="str">
            <v>4167031</v>
          </cell>
        </row>
        <row r="934">
          <cell r="E934" t="str">
            <v>4167077</v>
          </cell>
        </row>
        <row r="935">
          <cell r="E935" t="str">
            <v>4151449</v>
          </cell>
        </row>
        <row r="936">
          <cell r="E936" t="str">
            <v>957366</v>
          </cell>
        </row>
        <row r="937">
          <cell r="E937" t="str">
            <v>4152365</v>
          </cell>
        </row>
        <row r="938">
          <cell r="E938" t="str">
            <v>4141976</v>
          </cell>
        </row>
        <row r="939">
          <cell r="E939" t="str">
            <v>4506424</v>
          </cell>
        </row>
        <row r="940">
          <cell r="E940" t="str">
            <v>4185329</v>
          </cell>
        </row>
        <row r="941">
          <cell r="E941" t="str">
            <v>4194602</v>
          </cell>
        </row>
        <row r="942">
          <cell r="E942" t="str">
            <v>4186044</v>
          </cell>
        </row>
        <row r="943">
          <cell r="E943" t="str">
            <v>4506418</v>
          </cell>
        </row>
        <row r="944">
          <cell r="E944" t="str">
            <v>4184845</v>
          </cell>
        </row>
        <row r="945">
          <cell r="E945" t="str">
            <v>4167043</v>
          </cell>
        </row>
        <row r="946">
          <cell r="E946" t="str">
            <v>4142627</v>
          </cell>
        </row>
        <row r="947">
          <cell r="E947" t="str">
            <v>4158049</v>
          </cell>
        </row>
        <row r="948">
          <cell r="E948" t="str">
            <v>4167023</v>
          </cell>
        </row>
        <row r="949">
          <cell r="E949" t="str">
            <v>4167040</v>
          </cell>
        </row>
        <row r="950">
          <cell r="E950" t="str">
            <v>4157947</v>
          </cell>
        </row>
        <row r="951">
          <cell r="E951" t="str">
            <v>4153447</v>
          </cell>
        </row>
        <row r="952">
          <cell r="E952" t="str">
            <v>4509180</v>
          </cell>
        </row>
        <row r="953">
          <cell r="E953" t="str">
            <v>957366</v>
          </cell>
        </row>
        <row r="954">
          <cell r="E954" t="str">
            <v>957366</v>
          </cell>
        </row>
        <row r="955">
          <cell r="E955" t="str">
            <v>4506418</v>
          </cell>
        </row>
        <row r="956">
          <cell r="E956" t="str">
            <v>957366</v>
          </cell>
        </row>
        <row r="957">
          <cell r="E957" t="str">
            <v>957366</v>
          </cell>
        </row>
        <row r="958">
          <cell r="E958" t="str">
            <v>4509180</v>
          </cell>
        </row>
        <row r="959">
          <cell r="E959" t="str">
            <v>4118269</v>
          </cell>
        </row>
        <row r="960">
          <cell r="E960" t="str">
            <v>4067521</v>
          </cell>
        </row>
        <row r="961">
          <cell r="E961" t="str">
            <v>4175264</v>
          </cell>
        </row>
        <row r="962">
          <cell r="E962" t="str">
            <v>4175285</v>
          </cell>
        </row>
        <row r="963">
          <cell r="E963" t="str">
            <v>4175266</v>
          </cell>
        </row>
        <row r="964">
          <cell r="E964" t="str">
            <v>4174566</v>
          </cell>
        </row>
        <row r="965">
          <cell r="E965" t="str">
            <v>4140496</v>
          </cell>
        </row>
        <row r="966">
          <cell r="E966" t="str">
            <v>2021311</v>
          </cell>
        </row>
        <row r="967">
          <cell r="E967" t="str">
            <v>4175265</v>
          </cell>
        </row>
        <row r="968">
          <cell r="E968" t="str">
            <v>4175284</v>
          </cell>
        </row>
        <row r="969">
          <cell r="E969" t="str">
            <v>4175267</v>
          </cell>
        </row>
        <row r="970">
          <cell r="E970" t="str">
            <v>4070854</v>
          </cell>
        </row>
        <row r="971">
          <cell r="E971" t="str">
            <v xml:space="preserve">A811155 </v>
          </cell>
        </row>
        <row r="972">
          <cell r="E972" t="str">
            <v>4185329</v>
          </cell>
        </row>
        <row r="973">
          <cell r="E973" t="str">
            <v>4194602</v>
          </cell>
        </row>
        <row r="974">
          <cell r="E974" t="str">
            <v>4186044</v>
          </cell>
        </row>
        <row r="975">
          <cell r="E975" t="str">
            <v>4186043</v>
          </cell>
        </row>
        <row r="976">
          <cell r="E976" t="str">
            <v>9066422</v>
          </cell>
        </row>
        <row r="977">
          <cell r="E977" t="str">
            <v>3013307</v>
          </cell>
        </row>
        <row r="978">
          <cell r="E978" t="str">
            <v xml:space="preserve">A590920 </v>
          </cell>
        </row>
        <row r="979">
          <cell r="E979" t="str">
            <v xml:space="preserve">M112000 </v>
          </cell>
        </row>
        <row r="980">
          <cell r="E980" t="str">
            <v>7023809</v>
          </cell>
        </row>
        <row r="981">
          <cell r="E981" t="str">
            <v>J833008</v>
          </cell>
        </row>
        <row r="982">
          <cell r="E982" t="str">
            <v>9114725</v>
          </cell>
        </row>
        <row r="983">
          <cell r="E983" t="str">
            <v>4180342</v>
          </cell>
        </row>
        <row r="984">
          <cell r="E984" t="str">
            <v>4114408</v>
          </cell>
        </row>
        <row r="985">
          <cell r="E985" t="str">
            <v>9102402</v>
          </cell>
        </row>
        <row r="986">
          <cell r="E986" t="str">
            <v>1009664</v>
          </cell>
        </row>
        <row r="987">
          <cell r="E987" t="str">
            <v>3034712</v>
          </cell>
        </row>
        <row r="988">
          <cell r="E988" t="str">
            <v>3034713</v>
          </cell>
        </row>
        <row r="989">
          <cell r="E989" t="str">
            <v>4189671</v>
          </cell>
        </row>
        <row r="990">
          <cell r="E990" t="str">
            <v>1009635</v>
          </cell>
        </row>
        <row r="991">
          <cell r="E991" t="str">
            <v xml:space="preserve">J833010 </v>
          </cell>
        </row>
        <row r="992">
          <cell r="E992" t="str">
            <v>4114408</v>
          </cell>
        </row>
        <row r="993">
          <cell r="E993" t="str">
            <v>9124462</v>
          </cell>
        </row>
        <row r="994">
          <cell r="E994" t="str">
            <v>4113164</v>
          </cell>
        </row>
        <row r="995">
          <cell r="E995" t="str">
            <v>4252695</v>
          </cell>
        </row>
        <row r="996">
          <cell r="E996" t="str">
            <v>972658</v>
          </cell>
        </row>
        <row r="997">
          <cell r="E997" t="str">
            <v xml:space="preserve">A810250 </v>
          </cell>
        </row>
        <row r="998">
          <cell r="E998" t="str">
            <v>992444</v>
          </cell>
        </row>
        <row r="999">
          <cell r="E999" t="str">
            <v>4297383</v>
          </cell>
        </row>
        <row r="1000">
          <cell r="E1000" t="str">
            <v>4297380</v>
          </cell>
        </row>
        <row r="1001">
          <cell r="E1001" t="str">
            <v>4510169</v>
          </cell>
        </row>
        <row r="1002">
          <cell r="E1002" t="str">
            <v>4510169</v>
          </cell>
        </row>
        <row r="1003">
          <cell r="E1003" t="str">
            <v>4510169</v>
          </cell>
        </row>
        <row r="1004">
          <cell r="E1004" t="str">
            <v>4193851</v>
          </cell>
        </row>
        <row r="1005">
          <cell r="E1005" t="str">
            <v>4193853</v>
          </cell>
        </row>
        <row r="1006">
          <cell r="E1006" t="str">
            <v>4193852</v>
          </cell>
        </row>
        <row r="1007">
          <cell r="E1007" t="str">
            <v>4193850</v>
          </cell>
        </row>
        <row r="1008">
          <cell r="E1008" t="str">
            <v>4510169</v>
          </cell>
        </row>
        <row r="1009">
          <cell r="E1009" t="str">
            <v>4184847</v>
          </cell>
        </row>
        <row r="1010">
          <cell r="E1010" t="str">
            <v>4184848</v>
          </cell>
        </row>
        <row r="1011">
          <cell r="E1011" t="str">
            <v>4510169</v>
          </cell>
        </row>
        <row r="1012">
          <cell r="E1012" t="str">
            <v>9064899</v>
          </cell>
        </row>
        <row r="1013">
          <cell r="E1013" t="str">
            <v>9097157</v>
          </cell>
        </row>
        <row r="1014">
          <cell r="E1014" t="str">
            <v>4158049</v>
          </cell>
        </row>
        <row r="1015">
          <cell r="E1015" t="str">
            <v>4158018</v>
          </cell>
        </row>
        <row r="1016">
          <cell r="E1016" t="str">
            <v>4512166</v>
          </cell>
        </row>
        <row r="1017">
          <cell r="E1017" t="str">
            <v>4022542</v>
          </cell>
        </row>
        <row r="1018">
          <cell r="E1018" t="str">
            <v>4158022</v>
          </cell>
        </row>
        <row r="1019">
          <cell r="E1019" t="str">
            <v>957366</v>
          </cell>
        </row>
        <row r="1020">
          <cell r="E1020" t="str">
            <v>4506424</v>
          </cell>
        </row>
        <row r="1021">
          <cell r="E1021" t="str">
            <v>4506424</v>
          </cell>
        </row>
        <row r="1022">
          <cell r="E1022" t="str">
            <v>4186036</v>
          </cell>
        </row>
        <row r="1023">
          <cell r="E1023" t="str">
            <v>8032966</v>
          </cell>
        </row>
        <row r="1024">
          <cell r="E1024" t="str">
            <v>4175447</v>
          </cell>
        </row>
        <row r="1025">
          <cell r="E1025" t="str">
            <v>8037933</v>
          </cell>
        </row>
        <row r="1026">
          <cell r="E1026" t="str">
            <v>8037618</v>
          </cell>
        </row>
        <row r="1027">
          <cell r="E1027" t="str">
            <v>4199979</v>
          </cell>
        </row>
        <row r="1028">
          <cell r="E1028" t="str">
            <v>4185492</v>
          </cell>
        </row>
        <row r="1029">
          <cell r="E1029" t="str">
            <v>4232326</v>
          </cell>
        </row>
        <row r="1030">
          <cell r="E1030" t="str">
            <v>4204092</v>
          </cell>
        </row>
        <row r="1031">
          <cell r="E1031" t="str">
            <v>4198316</v>
          </cell>
        </row>
        <row r="1032">
          <cell r="E1032" t="str">
            <v>4198315</v>
          </cell>
        </row>
        <row r="1033">
          <cell r="E1033" t="str">
            <v>4175470</v>
          </cell>
        </row>
        <row r="1034">
          <cell r="E1034" t="str">
            <v>3039216</v>
          </cell>
        </row>
        <row r="1035">
          <cell r="E1035" t="str">
            <v>4198315</v>
          </cell>
        </row>
        <row r="1036">
          <cell r="E1036" t="str">
            <v>4153592</v>
          </cell>
        </row>
        <row r="1037">
          <cell r="E1037" t="str">
            <v>8037617</v>
          </cell>
        </row>
        <row r="1038">
          <cell r="E1038" t="str">
            <v>8037619</v>
          </cell>
        </row>
        <row r="1039">
          <cell r="E1039" t="str">
            <v>4198317</v>
          </cell>
        </row>
        <row r="1040">
          <cell r="E1040" t="str">
            <v>4198319</v>
          </cell>
        </row>
        <row r="1041">
          <cell r="E1041" t="str">
            <v>4136625</v>
          </cell>
        </row>
        <row r="1042">
          <cell r="E1042" t="str">
            <v>4136525</v>
          </cell>
        </row>
        <row r="1043">
          <cell r="E1043" t="str">
            <v>4199972</v>
          </cell>
        </row>
        <row r="1044">
          <cell r="E1044" t="str">
            <v>4129729</v>
          </cell>
        </row>
        <row r="1045">
          <cell r="E1045" t="str">
            <v>4198318</v>
          </cell>
        </row>
        <row r="1046">
          <cell r="E1046" t="str">
            <v>4129736</v>
          </cell>
        </row>
        <row r="1047">
          <cell r="E1047" t="str">
            <v>4198312</v>
          </cell>
        </row>
        <row r="1048">
          <cell r="E1048" t="str">
            <v>4098101</v>
          </cell>
        </row>
        <row r="1049">
          <cell r="E1049" t="str">
            <v>4129736</v>
          </cell>
        </row>
        <row r="1050">
          <cell r="E1050" t="str">
            <v>4112238</v>
          </cell>
        </row>
        <row r="1051">
          <cell r="E1051" t="str">
            <v>J75481</v>
          </cell>
        </row>
        <row r="1052">
          <cell r="E1052" t="str">
            <v>4229494</v>
          </cell>
        </row>
        <row r="1053">
          <cell r="E1053" t="str">
            <v>4198312</v>
          </cell>
        </row>
        <row r="1054">
          <cell r="E1054" t="str">
            <v>4129729</v>
          </cell>
        </row>
        <row r="1055">
          <cell r="E1055" t="str">
            <v>4129736</v>
          </cell>
        </row>
        <row r="1056">
          <cell r="E1056" t="str">
            <v>4112237</v>
          </cell>
        </row>
        <row r="1057">
          <cell r="E1057" t="str">
            <v>3037450</v>
          </cell>
        </row>
        <row r="1058">
          <cell r="E1058" t="str">
            <v>3037451</v>
          </cell>
        </row>
        <row r="1059">
          <cell r="E1059" t="str">
            <v>8037620</v>
          </cell>
        </row>
        <row r="1060">
          <cell r="E1060" t="str">
            <v>8037621</v>
          </cell>
        </row>
        <row r="1061">
          <cell r="E1061" t="str">
            <v>4136522</v>
          </cell>
        </row>
        <row r="1062">
          <cell r="E1062" t="str">
            <v>4102704</v>
          </cell>
        </row>
        <row r="1063">
          <cell r="E1063" t="str">
            <v>4510169</v>
          </cell>
        </row>
        <row r="1064">
          <cell r="E1064" t="str">
            <v>J75481</v>
          </cell>
        </row>
        <row r="1065">
          <cell r="E1065" t="str">
            <v>4067521</v>
          </cell>
        </row>
        <row r="1066">
          <cell r="E1066" t="str">
            <v>4199997</v>
          </cell>
        </row>
        <row r="1067">
          <cell r="E1067" t="str">
            <v>4199998</v>
          </cell>
        </row>
        <row r="1068">
          <cell r="E1068" t="str">
            <v>4199977</v>
          </cell>
        </row>
        <row r="1069">
          <cell r="E1069" t="str">
            <v>4199978</v>
          </cell>
        </row>
        <row r="1070">
          <cell r="E1070" t="str">
            <v>9072171</v>
          </cell>
        </row>
        <row r="1071">
          <cell r="E1071" t="str">
            <v>9072172</v>
          </cell>
        </row>
        <row r="1072">
          <cell r="E1072" t="str">
            <v>9072173</v>
          </cell>
        </row>
        <row r="1073">
          <cell r="E1073" t="str">
            <v>4198314</v>
          </cell>
        </row>
        <row r="1074">
          <cell r="E1074" t="str">
            <v>4198313</v>
          </cell>
        </row>
        <row r="1075">
          <cell r="E1075" t="str">
            <v>4129736</v>
          </cell>
        </row>
        <row r="1076">
          <cell r="E1076" t="str">
            <v>4112238</v>
          </cell>
        </row>
        <row r="1077">
          <cell r="E1077" t="str">
            <v>0</v>
          </cell>
        </row>
        <row r="1078">
          <cell r="E1078" t="str">
            <v>8037859</v>
          </cell>
        </row>
        <row r="1079">
          <cell r="E1079" t="str">
            <v>8037864</v>
          </cell>
        </row>
        <row r="1080">
          <cell r="E1080" t="str">
            <v>8044165</v>
          </cell>
        </row>
        <row r="1081">
          <cell r="E1081" t="str">
            <v>4510169</v>
          </cell>
        </row>
        <row r="1082">
          <cell r="E1082" t="str">
            <v>4510170</v>
          </cell>
        </row>
        <row r="1083">
          <cell r="E1083" t="str">
            <v>4197749</v>
          </cell>
        </row>
        <row r="1084">
          <cell r="E1084" t="str">
            <v>4180360</v>
          </cell>
        </row>
        <row r="1085">
          <cell r="E1085" t="str">
            <v>4190297</v>
          </cell>
        </row>
        <row r="1086">
          <cell r="E1086" t="str">
            <v>4235296</v>
          </cell>
        </row>
        <row r="1087">
          <cell r="E1087" t="str">
            <v>4197770</v>
          </cell>
        </row>
        <row r="1088">
          <cell r="E1088" t="str">
            <v>3039328</v>
          </cell>
        </row>
        <row r="1089">
          <cell r="E1089" t="str">
            <v>J901214</v>
          </cell>
        </row>
        <row r="1090">
          <cell r="E1090" t="str">
            <v>J950012</v>
          </cell>
        </row>
        <row r="1091">
          <cell r="E1091" t="str">
            <v>A590112</v>
          </cell>
        </row>
        <row r="1092">
          <cell r="E1092" t="str">
            <v>4201092</v>
          </cell>
        </row>
        <row r="1093">
          <cell r="E1093" t="str">
            <v>4067521</v>
          </cell>
        </row>
        <row r="1094">
          <cell r="E1094" t="str">
            <v>4157945</v>
          </cell>
        </row>
        <row r="1095">
          <cell r="E1095" t="str">
            <v>4054353</v>
          </cell>
        </row>
        <row r="1096">
          <cell r="E1096" t="str">
            <v>8037863</v>
          </cell>
        </row>
        <row r="1097">
          <cell r="E1097" t="str">
            <v>4292738</v>
          </cell>
        </row>
        <row r="1098">
          <cell r="E1098" t="str">
            <v>4292746</v>
          </cell>
        </row>
        <row r="1099">
          <cell r="E1099" t="str">
            <v>4292747</v>
          </cell>
        </row>
        <row r="1100">
          <cell r="E1100" t="str">
            <v>8037862</v>
          </cell>
        </row>
        <row r="1101">
          <cell r="E1101" t="str">
            <v>8037865</v>
          </cell>
        </row>
        <row r="1102">
          <cell r="E1102" t="str">
            <v>8037867</v>
          </cell>
        </row>
        <row r="1103">
          <cell r="E1103" t="str">
            <v>8038847</v>
          </cell>
        </row>
        <row r="1104">
          <cell r="E1104" t="str">
            <v>8044166</v>
          </cell>
        </row>
        <row r="1105">
          <cell r="E1105" t="str">
            <v>8044167</v>
          </cell>
        </row>
        <row r="1106">
          <cell r="E1106" t="str">
            <v>8044168</v>
          </cell>
        </row>
        <row r="1107">
          <cell r="E1107" t="str">
            <v>8044169</v>
          </cell>
        </row>
        <row r="1108">
          <cell r="E1108" t="str">
            <v>8044170</v>
          </cell>
        </row>
        <row r="1109">
          <cell r="E1109" t="str">
            <v>8044171</v>
          </cell>
        </row>
        <row r="1110">
          <cell r="E1110" t="str">
            <v>8044172</v>
          </cell>
        </row>
        <row r="1111">
          <cell r="E1111" t="str">
            <v>8044173</v>
          </cell>
        </row>
        <row r="1112">
          <cell r="E1112" t="str">
            <v>8044174</v>
          </cell>
        </row>
        <row r="1113">
          <cell r="E1113" t="str">
            <v>8044175</v>
          </cell>
        </row>
        <row r="1114">
          <cell r="E1114" t="str">
            <v>8044176</v>
          </cell>
        </row>
        <row r="1115">
          <cell r="E1115" t="str">
            <v>8044177</v>
          </cell>
        </row>
        <row r="1116">
          <cell r="E1116" t="str">
            <v>8044178</v>
          </cell>
        </row>
        <row r="1117">
          <cell r="E1117" t="str">
            <v>8044179</v>
          </cell>
        </row>
        <row r="1118">
          <cell r="E1118" t="str">
            <v>8044180</v>
          </cell>
        </row>
        <row r="1119">
          <cell r="E1119" t="str">
            <v>8044181</v>
          </cell>
        </row>
        <row r="1120">
          <cell r="E1120" t="str">
            <v>8044182</v>
          </cell>
        </row>
        <row r="1121">
          <cell r="E1121" t="str">
            <v>8044183</v>
          </cell>
        </row>
        <row r="1122">
          <cell r="E1122" t="str">
            <v>8044184</v>
          </cell>
        </row>
        <row r="1123">
          <cell r="E1123" t="str">
            <v>8044185</v>
          </cell>
        </row>
        <row r="1124">
          <cell r="E1124" t="str">
            <v>8044186</v>
          </cell>
        </row>
        <row r="1125">
          <cell r="E1125" t="str">
            <v>8044187</v>
          </cell>
        </row>
        <row r="1126">
          <cell r="E1126" t="str">
            <v>8044188</v>
          </cell>
        </row>
        <row r="1127">
          <cell r="E1127" t="str">
            <v>8044189</v>
          </cell>
        </row>
        <row r="1128">
          <cell r="E1128" t="str">
            <v>8044190</v>
          </cell>
        </row>
        <row r="1129">
          <cell r="E1129" t="str">
            <v>8044191</v>
          </cell>
        </row>
        <row r="1130">
          <cell r="E1130" t="str">
            <v>8044296</v>
          </cell>
        </row>
        <row r="1131">
          <cell r="E1131" t="str">
            <v>8044312</v>
          </cell>
        </row>
        <row r="1132">
          <cell r="E1132" t="str">
            <v>8040854</v>
          </cell>
        </row>
        <row r="1133">
          <cell r="E1133" t="str">
            <v>8032967</v>
          </cell>
        </row>
        <row r="1134">
          <cell r="E1134" t="str">
            <v>8032966</v>
          </cell>
        </row>
        <row r="1135">
          <cell r="E1135" t="str">
            <v>8054958</v>
          </cell>
        </row>
        <row r="1136">
          <cell r="E1136" t="str">
            <v>8046821</v>
          </cell>
        </row>
        <row r="1137">
          <cell r="E1137" t="str">
            <v>4204092</v>
          </cell>
        </row>
        <row r="1138">
          <cell r="E1138" t="str">
            <v>4175470</v>
          </cell>
        </row>
        <row r="1139">
          <cell r="E1139" t="str">
            <v>4175217</v>
          </cell>
        </row>
        <row r="1140">
          <cell r="E1140" t="str">
            <v>4204091</v>
          </cell>
        </row>
        <row r="1141">
          <cell r="E1141" t="str">
            <v>4175469</v>
          </cell>
        </row>
        <row r="1142">
          <cell r="E1142" t="str">
            <v>4199971</v>
          </cell>
        </row>
        <row r="1143">
          <cell r="E1143" t="str">
            <v>4175216</v>
          </cell>
        </row>
        <row r="1144">
          <cell r="E1144" t="str">
            <v>4083968</v>
          </cell>
        </row>
        <row r="1145">
          <cell r="E1145" t="str">
            <v>4216190</v>
          </cell>
        </row>
        <row r="1146">
          <cell r="E1146" t="str">
            <v>4259775</v>
          </cell>
        </row>
        <row r="1147">
          <cell r="E1147" t="str">
            <v>4510170</v>
          </cell>
        </row>
        <row r="1148">
          <cell r="E1148" t="str">
            <v>4510169</v>
          </cell>
        </row>
        <row r="1149">
          <cell r="E1149" t="str">
            <v>4180363</v>
          </cell>
        </row>
        <row r="1150">
          <cell r="E1150" t="str">
            <v>4180360</v>
          </cell>
        </row>
        <row r="1151">
          <cell r="E1151" t="str">
            <v>957366</v>
          </cell>
        </row>
        <row r="1152">
          <cell r="E1152" t="str">
            <v>A811060</v>
          </cell>
        </row>
        <row r="1153">
          <cell r="E1153" t="str">
            <v>A811050</v>
          </cell>
        </row>
        <row r="1154">
          <cell r="E1154" t="str">
            <v>4182610</v>
          </cell>
        </row>
        <row r="1155">
          <cell r="E1155" t="str">
            <v>4509180</v>
          </cell>
        </row>
        <row r="1156">
          <cell r="E1156" t="str">
            <v>4182643</v>
          </cell>
        </row>
        <row r="1157">
          <cell r="E1157" t="str">
            <v>4197770</v>
          </cell>
        </row>
        <row r="1158">
          <cell r="E1158" t="str">
            <v>8040991</v>
          </cell>
        </row>
        <row r="1159">
          <cell r="E1159" t="str">
            <v>4190294</v>
          </cell>
        </row>
        <row r="1160">
          <cell r="E1160" t="str">
            <v>3034003</v>
          </cell>
        </row>
        <row r="1161">
          <cell r="E1161" t="str">
            <v>4182074</v>
          </cell>
        </row>
        <row r="1162">
          <cell r="E1162" t="str">
            <v>J901210</v>
          </cell>
        </row>
        <row r="1163">
          <cell r="E1163" t="str">
            <v>449490</v>
          </cell>
        </row>
        <row r="1164">
          <cell r="E1164" t="str">
            <v>J950012</v>
          </cell>
        </row>
        <row r="1165">
          <cell r="E1165" t="str">
            <v>8040990</v>
          </cell>
        </row>
        <row r="1166">
          <cell r="E1166" t="str">
            <v>8037765</v>
          </cell>
        </row>
        <row r="1167">
          <cell r="E1167" t="str">
            <v>8037766</v>
          </cell>
        </row>
        <row r="1168">
          <cell r="E1168" t="str">
            <v>8037767</v>
          </cell>
        </row>
        <row r="1169">
          <cell r="E1169" t="str">
            <v>8037770</v>
          </cell>
        </row>
        <row r="1170">
          <cell r="E1170" t="str">
            <v>8037771</v>
          </cell>
        </row>
        <row r="1171">
          <cell r="E1171" t="str">
            <v>8037772</v>
          </cell>
        </row>
        <row r="1172">
          <cell r="E1172" t="str">
            <v>8037773</v>
          </cell>
        </row>
        <row r="1173">
          <cell r="E1173" t="str">
            <v>8037774</v>
          </cell>
        </row>
        <row r="1174">
          <cell r="E1174" t="str">
            <v>8037775</v>
          </cell>
        </row>
        <row r="1175">
          <cell r="E1175" t="str">
            <v>8037776</v>
          </cell>
        </row>
        <row r="1176">
          <cell r="E1176" t="str">
            <v>8037777</v>
          </cell>
        </row>
        <row r="1177">
          <cell r="E1177" t="str">
            <v>8037778</v>
          </cell>
        </row>
        <row r="1178">
          <cell r="E1178" t="str">
            <v>8037785</v>
          </cell>
        </row>
        <row r="1179">
          <cell r="E1179" t="str">
            <v>8037786</v>
          </cell>
        </row>
        <row r="1180">
          <cell r="E1180" t="str">
            <v>8037787</v>
          </cell>
        </row>
        <row r="1181">
          <cell r="E1181" t="str">
            <v>8037788</v>
          </cell>
        </row>
        <row r="1182">
          <cell r="E1182" t="str">
            <v>8037971</v>
          </cell>
        </row>
        <row r="1183">
          <cell r="E1183" t="str">
            <v>8041034</v>
          </cell>
        </row>
        <row r="1184">
          <cell r="E1184" t="str">
            <v>8047756</v>
          </cell>
        </row>
        <row r="1185">
          <cell r="E1185" t="str">
            <v>8048757</v>
          </cell>
        </row>
        <row r="1186">
          <cell r="E1186" t="str">
            <v>9727315</v>
          </cell>
        </row>
        <row r="1187">
          <cell r="E1187" t="str">
            <v>4295866</v>
          </cell>
        </row>
        <row r="1188">
          <cell r="E1188" t="str">
            <v>4203138</v>
          </cell>
        </row>
        <row r="1189">
          <cell r="E1189" t="str">
            <v>4180363</v>
          </cell>
        </row>
        <row r="1190">
          <cell r="E1190" t="str">
            <v>4197746</v>
          </cell>
        </row>
        <row r="1191">
          <cell r="E1191" t="str">
            <v>4216189</v>
          </cell>
        </row>
        <row r="1192">
          <cell r="E1192" t="str">
            <v>3034002</v>
          </cell>
        </row>
        <row r="1193">
          <cell r="E1193" t="str">
            <v xml:space="preserve">J901214 </v>
          </cell>
        </row>
        <row r="1194">
          <cell r="E1194" t="str">
            <v>449490</v>
          </cell>
        </row>
        <row r="1195">
          <cell r="E1195" t="str">
            <v xml:space="preserve">J950012 </v>
          </cell>
        </row>
        <row r="1196">
          <cell r="E1196" t="str">
            <v>4201092</v>
          </cell>
        </row>
        <row r="1197">
          <cell r="E1197" t="str">
            <v>4121859</v>
          </cell>
        </row>
        <row r="1198">
          <cell r="E1198" t="str">
            <v>4158031</v>
          </cell>
        </row>
        <row r="1199">
          <cell r="E1199" t="str">
            <v>4136911</v>
          </cell>
        </row>
        <row r="1200">
          <cell r="E1200" t="str">
            <v>4157949</v>
          </cell>
        </row>
        <row r="1201">
          <cell r="E1201" t="str">
            <v>4159613</v>
          </cell>
        </row>
        <row r="1202">
          <cell r="E1202" t="str">
            <v>4141975</v>
          </cell>
        </row>
        <row r="1203">
          <cell r="E1203" t="str">
            <v>4067521</v>
          </cell>
        </row>
        <row r="1204">
          <cell r="E1204" t="str">
            <v>4058740</v>
          </cell>
        </row>
        <row r="1205">
          <cell r="E1205" t="str">
            <v>4167191</v>
          </cell>
        </row>
        <row r="1206">
          <cell r="E1206" t="str">
            <v>4119237</v>
          </cell>
        </row>
        <row r="1207">
          <cell r="E1207" t="str">
            <v>4197784</v>
          </cell>
        </row>
        <row r="1208">
          <cell r="E1208" t="str">
            <v>4197769</v>
          </cell>
        </row>
        <row r="1209">
          <cell r="E1209" t="str">
            <v>4197765</v>
          </cell>
        </row>
        <row r="1210">
          <cell r="E1210" t="str">
            <v>4218449</v>
          </cell>
        </row>
        <row r="1211">
          <cell r="E1211" t="str">
            <v>4197766</v>
          </cell>
        </row>
        <row r="1212">
          <cell r="E1212" t="str">
            <v>4175511</v>
          </cell>
        </row>
        <row r="1213">
          <cell r="E1213" t="str">
            <v>4179932</v>
          </cell>
        </row>
        <row r="1214">
          <cell r="E1214" t="str">
            <v>4179933</v>
          </cell>
        </row>
        <row r="1215">
          <cell r="E1215" t="str">
            <v>4175218</v>
          </cell>
        </row>
        <row r="1216">
          <cell r="E1216" t="str">
            <v>4302250</v>
          </cell>
        </row>
        <row r="1217">
          <cell r="E1217" t="str">
            <v>4179931</v>
          </cell>
        </row>
        <row r="1218">
          <cell r="E1218" t="str">
            <v>4129730</v>
          </cell>
        </row>
        <row r="1219">
          <cell r="E1219" t="str">
            <v>8033777</v>
          </cell>
        </row>
        <row r="1220">
          <cell r="E1220" t="str">
            <v>4182052</v>
          </cell>
        </row>
        <row r="1221">
          <cell r="E1221" t="str">
            <v>3033617</v>
          </cell>
        </row>
        <row r="1222">
          <cell r="E1222" t="str">
            <v>8038184</v>
          </cell>
        </row>
        <row r="1223">
          <cell r="E1223" t="str">
            <v>4179923</v>
          </cell>
        </row>
        <row r="1224">
          <cell r="E1224" t="str">
            <v>4197760</v>
          </cell>
        </row>
        <row r="1225">
          <cell r="E1225" t="str">
            <v>4197759</v>
          </cell>
        </row>
        <row r="1226">
          <cell r="E1226" t="str">
            <v>966993</v>
          </cell>
        </row>
        <row r="1227">
          <cell r="E1227" t="str">
            <v>4510169</v>
          </cell>
        </row>
        <row r="1228">
          <cell r="E1228" t="str">
            <v>9723918</v>
          </cell>
        </row>
        <row r="1229">
          <cell r="E1229" t="str">
            <v xml:space="preserve">J901665 </v>
          </cell>
        </row>
        <row r="1230">
          <cell r="E1230" t="str">
            <v>4179928</v>
          </cell>
        </row>
        <row r="1231">
          <cell r="E1231" t="str">
            <v>4179924</v>
          </cell>
        </row>
        <row r="1232">
          <cell r="E1232" t="str">
            <v xml:space="preserve">J901228 </v>
          </cell>
        </row>
        <row r="1233">
          <cell r="E1233" t="str">
            <v xml:space="preserve">A590412 </v>
          </cell>
        </row>
        <row r="1234">
          <cell r="E1234" t="str">
            <v xml:space="preserve">A590916 </v>
          </cell>
        </row>
        <row r="1235">
          <cell r="E1235" t="str">
            <v xml:space="preserve">J75482  </v>
          </cell>
        </row>
        <row r="1236">
          <cell r="E1236" t="str">
            <v>8032969</v>
          </cell>
        </row>
        <row r="1237">
          <cell r="E1237" t="str">
            <v>8040855</v>
          </cell>
        </row>
        <row r="1238">
          <cell r="E1238" t="str">
            <v>4182053</v>
          </cell>
        </row>
        <row r="1239">
          <cell r="E1239" t="str">
            <v>4066158</v>
          </cell>
        </row>
        <row r="1240">
          <cell r="E1240" t="str">
            <v>4153553</v>
          </cell>
        </row>
        <row r="1241">
          <cell r="E1241" t="str">
            <v>4193799</v>
          </cell>
        </row>
        <row r="1242">
          <cell r="E1242" t="str">
            <v>4153153</v>
          </cell>
        </row>
        <row r="1243">
          <cell r="E1243" t="str">
            <v>4153547</v>
          </cell>
        </row>
        <row r="1244">
          <cell r="E1244" t="str">
            <v>4153546</v>
          </cell>
        </row>
        <row r="1245">
          <cell r="E1245" t="str">
            <v>4302264</v>
          </cell>
        </row>
        <row r="1246">
          <cell r="E1246" t="str">
            <v>4285234</v>
          </cell>
        </row>
        <row r="1247">
          <cell r="E1247" t="str">
            <v>3035092</v>
          </cell>
        </row>
        <row r="1248">
          <cell r="E1248" t="str">
            <v>4153196</v>
          </cell>
        </row>
        <row r="1249">
          <cell r="E1249" t="str">
            <v>4153547</v>
          </cell>
        </row>
        <row r="1250">
          <cell r="E1250" t="str">
            <v>4208499</v>
          </cell>
        </row>
        <row r="1251">
          <cell r="E1251" t="str">
            <v>4204139</v>
          </cell>
        </row>
        <row r="1252">
          <cell r="E1252" t="str">
            <v>4061873</v>
          </cell>
        </row>
        <row r="1253">
          <cell r="E1253" t="str">
            <v>4022547</v>
          </cell>
        </row>
        <row r="1254">
          <cell r="E1254" t="str">
            <v>4062815</v>
          </cell>
        </row>
        <row r="1255">
          <cell r="E1255" t="str">
            <v>4022544</v>
          </cell>
        </row>
        <row r="1256">
          <cell r="E1256" t="str">
            <v>4107297</v>
          </cell>
        </row>
        <row r="1257">
          <cell r="E1257" t="str">
            <v>4158042</v>
          </cell>
        </row>
        <row r="1258">
          <cell r="E1258" t="str">
            <v>4055174</v>
          </cell>
        </row>
        <row r="1259">
          <cell r="E1259" t="str">
            <v>4022545</v>
          </cell>
        </row>
        <row r="1260">
          <cell r="E1260" t="str">
            <v>4142628</v>
          </cell>
        </row>
        <row r="1261">
          <cell r="E1261" t="str">
            <v>4015462</v>
          </cell>
        </row>
        <row r="1262">
          <cell r="E1262" t="str">
            <v>4113198</v>
          </cell>
        </row>
        <row r="1263">
          <cell r="E1263" t="str">
            <v>4030804</v>
          </cell>
        </row>
        <row r="1264">
          <cell r="E1264" t="str">
            <v>4022174</v>
          </cell>
        </row>
        <row r="1265">
          <cell r="E1265" t="str">
            <v>4209700</v>
          </cell>
        </row>
        <row r="1266">
          <cell r="E1266" t="str">
            <v>4015464</v>
          </cell>
        </row>
        <row r="1267">
          <cell r="E1267" t="str">
            <v>4022542</v>
          </cell>
        </row>
        <row r="1268">
          <cell r="E1268" t="str">
            <v>4141394</v>
          </cell>
        </row>
        <row r="1269">
          <cell r="E1269" t="str">
            <v>4158052</v>
          </cell>
        </row>
        <row r="1270">
          <cell r="E1270" t="str">
            <v>4054367</v>
          </cell>
        </row>
        <row r="1271">
          <cell r="E1271" t="str">
            <v>4071347</v>
          </cell>
        </row>
        <row r="1272">
          <cell r="E1272" t="str">
            <v>4200486</v>
          </cell>
        </row>
        <row r="1273">
          <cell r="E1273" t="str">
            <v>4200485</v>
          </cell>
        </row>
        <row r="1274">
          <cell r="E1274" t="str">
            <v>4192089</v>
          </cell>
        </row>
        <row r="1275">
          <cell r="E1275" t="str">
            <v>4085229</v>
          </cell>
        </row>
        <row r="1276">
          <cell r="E1276" t="str">
            <v>4208499</v>
          </cell>
        </row>
        <row r="1277">
          <cell r="E1277" t="str">
            <v>4111501</v>
          </cell>
        </row>
        <row r="1278">
          <cell r="E1278" t="str">
            <v>4055144</v>
          </cell>
        </row>
        <row r="1279">
          <cell r="E1279" t="str">
            <v>4098515</v>
          </cell>
        </row>
        <row r="1280">
          <cell r="E1280" t="str">
            <v>4098516</v>
          </cell>
        </row>
        <row r="1281">
          <cell r="E1281" t="str">
            <v>4157601</v>
          </cell>
        </row>
        <row r="1282">
          <cell r="E1282" t="str">
            <v>4208463</v>
          </cell>
        </row>
        <row r="1283">
          <cell r="E1283" t="str">
            <v>957366</v>
          </cell>
        </row>
        <row r="1284">
          <cell r="E1284" t="str">
            <v>4506418</v>
          </cell>
        </row>
        <row r="1285">
          <cell r="E1285" t="str">
            <v>4509180</v>
          </cell>
        </row>
        <row r="1286">
          <cell r="E1286" t="str">
            <v>4010093</v>
          </cell>
        </row>
        <row r="1287">
          <cell r="E1287" t="str">
            <v>4157629</v>
          </cell>
        </row>
        <row r="1288">
          <cell r="E1288" t="str">
            <v>4100731</v>
          </cell>
        </row>
        <row r="1289">
          <cell r="E1289" t="str">
            <v>4129746</v>
          </cell>
        </row>
        <row r="1290">
          <cell r="E1290" t="str">
            <v>4509180</v>
          </cell>
        </row>
        <row r="1291">
          <cell r="E1291" t="str">
            <v>4506418</v>
          </cell>
        </row>
        <row r="1292">
          <cell r="E1292" t="str">
            <v>957366</v>
          </cell>
        </row>
        <row r="1293">
          <cell r="E1293" t="str">
            <v>4509810</v>
          </cell>
        </row>
        <row r="1294">
          <cell r="E1294" t="str">
            <v>4055174</v>
          </cell>
        </row>
        <row r="1295">
          <cell r="E1295" t="str">
            <v>4107297</v>
          </cell>
        </row>
        <row r="1296">
          <cell r="E1296" t="str">
            <v>4031934</v>
          </cell>
        </row>
        <row r="1297">
          <cell r="E1297" t="str">
            <v>4204142</v>
          </cell>
        </row>
        <row r="1298">
          <cell r="E1298" t="str">
            <v>4067522</v>
          </cell>
        </row>
        <row r="1299">
          <cell r="E1299" t="str">
            <v>4022459</v>
          </cell>
        </row>
        <row r="1300">
          <cell r="E1300" t="str">
            <v>4116047</v>
          </cell>
        </row>
        <row r="1301">
          <cell r="E1301" t="str">
            <v>4067523</v>
          </cell>
        </row>
        <row r="1302">
          <cell r="E1302" t="str">
            <v>4022459</v>
          </cell>
        </row>
        <row r="1303">
          <cell r="E1303" t="str">
            <v>4054344</v>
          </cell>
        </row>
        <row r="1304">
          <cell r="E1304" t="str">
            <v>4071343</v>
          </cell>
        </row>
        <row r="1305">
          <cell r="E1305" t="str">
            <v>4071344</v>
          </cell>
        </row>
        <row r="1306">
          <cell r="E1306" t="str">
            <v>4079762</v>
          </cell>
        </row>
        <row r="1307">
          <cell r="E1307" t="str">
            <v>4071345</v>
          </cell>
        </row>
        <row r="1308">
          <cell r="E1308" t="str">
            <v>4192092</v>
          </cell>
        </row>
        <row r="1309">
          <cell r="E1309" t="str">
            <v>4192091</v>
          </cell>
        </row>
        <row r="1310">
          <cell r="E1310" t="str">
            <v>4192089</v>
          </cell>
        </row>
        <row r="1311">
          <cell r="E1311" t="str">
            <v>4088042</v>
          </cell>
        </row>
        <row r="1312">
          <cell r="E1312" t="str">
            <v>4122838</v>
          </cell>
        </row>
        <row r="1313">
          <cell r="E1313" t="str">
            <v>4116049</v>
          </cell>
        </row>
        <row r="1314">
          <cell r="E1314" t="str">
            <v>4192090</v>
          </cell>
        </row>
        <row r="1315">
          <cell r="E1315" t="str">
            <v>4067523</v>
          </cell>
        </row>
        <row r="1316">
          <cell r="E1316" t="str">
            <v>4204101</v>
          </cell>
        </row>
        <row r="1317">
          <cell r="E1317" t="str">
            <v>4204102</v>
          </cell>
        </row>
        <row r="1318">
          <cell r="E1318" t="str">
            <v>4118275</v>
          </cell>
        </row>
        <row r="1319">
          <cell r="E1319" t="str">
            <v>4204103</v>
          </cell>
        </row>
        <row r="1320">
          <cell r="E1320" t="str">
            <v>4063117</v>
          </cell>
        </row>
        <row r="1321">
          <cell r="E1321" t="str">
            <v>4166390</v>
          </cell>
        </row>
        <row r="1322">
          <cell r="E1322" t="str">
            <v>4158050</v>
          </cell>
        </row>
        <row r="1323">
          <cell r="E1323" t="str">
            <v>4157624</v>
          </cell>
        </row>
        <row r="1324">
          <cell r="E1324" t="str">
            <v>4055157</v>
          </cell>
        </row>
        <row r="1325">
          <cell r="E1325" t="str">
            <v>4136912</v>
          </cell>
        </row>
        <row r="1326">
          <cell r="E1326" t="str">
            <v>4055161</v>
          </cell>
        </row>
        <row r="1327">
          <cell r="E1327" t="str">
            <v>4088042</v>
          </cell>
        </row>
        <row r="1328">
          <cell r="E1328" t="str">
            <v>4157630</v>
          </cell>
        </row>
        <row r="1329">
          <cell r="E1329" t="str">
            <v>4019216</v>
          </cell>
        </row>
        <row r="1330">
          <cell r="E1330" t="str">
            <v>4055171</v>
          </cell>
        </row>
        <row r="1331">
          <cell r="E1331" t="str">
            <v>4157662</v>
          </cell>
        </row>
        <row r="1332">
          <cell r="E1332" t="str">
            <v>4157642</v>
          </cell>
        </row>
        <row r="1333">
          <cell r="E1333" t="str">
            <v>4331780</v>
          </cell>
        </row>
        <row r="1334">
          <cell r="E1334" t="str">
            <v>4264388</v>
          </cell>
        </row>
        <row r="1335">
          <cell r="E1335" t="str">
            <v>4031771</v>
          </cell>
        </row>
        <row r="1336">
          <cell r="E1336" t="str">
            <v>4275750</v>
          </cell>
        </row>
        <row r="1337">
          <cell r="E1337" t="str">
            <v>4271491</v>
          </cell>
        </row>
        <row r="1338">
          <cell r="E1338" t="str">
            <v>4031771</v>
          </cell>
        </row>
        <row r="1339">
          <cell r="E1339" t="str">
            <v>4294092</v>
          </cell>
        </row>
        <row r="1340">
          <cell r="E1340" t="str">
            <v>4271489</v>
          </cell>
        </row>
        <row r="1341">
          <cell r="E1341" t="str">
            <v>4261585</v>
          </cell>
        </row>
        <row r="1342">
          <cell r="E1342" t="str">
            <v>4245629</v>
          </cell>
        </row>
        <row r="1343">
          <cell r="E1343" t="str">
            <v>4187223</v>
          </cell>
        </row>
        <row r="1344">
          <cell r="E1344" t="str">
            <v>4192881</v>
          </cell>
        </row>
        <row r="1345">
          <cell r="E1345" t="str">
            <v>4504289</v>
          </cell>
        </row>
        <row r="1346">
          <cell r="E1346" t="str">
            <v>4131662</v>
          </cell>
        </row>
        <row r="1347">
          <cell r="E1347" t="str">
            <v>4129941</v>
          </cell>
        </row>
        <row r="1348">
          <cell r="E1348" t="str">
            <v>4129942</v>
          </cell>
        </row>
        <row r="1349">
          <cell r="E1349" t="str">
            <v>4191728</v>
          </cell>
        </row>
        <row r="1350">
          <cell r="E1350" t="str">
            <v xml:space="preserve">A890022 </v>
          </cell>
        </row>
        <row r="1351">
          <cell r="E1351" t="str">
            <v>4204857</v>
          </cell>
        </row>
        <row r="1352">
          <cell r="E1352" t="str">
            <v>4257115</v>
          </cell>
        </row>
        <row r="1353">
          <cell r="E1353" t="str">
            <v>4099039</v>
          </cell>
        </row>
        <row r="1354">
          <cell r="E1354" t="str">
            <v>4224238</v>
          </cell>
        </row>
        <row r="1355">
          <cell r="E1355" t="str">
            <v>4253135</v>
          </cell>
        </row>
        <row r="1356">
          <cell r="E1356" t="str">
            <v>4141171</v>
          </cell>
        </row>
        <row r="1357">
          <cell r="E1357" t="str">
            <v>4141171</v>
          </cell>
        </row>
        <row r="1358">
          <cell r="E1358" t="str">
            <v>4506418</v>
          </cell>
        </row>
        <row r="1359">
          <cell r="E1359" t="str">
            <v>4138938</v>
          </cell>
        </row>
        <row r="1360">
          <cell r="E1360" t="str">
            <v>4249968</v>
          </cell>
        </row>
        <row r="1361">
          <cell r="E1361" t="str">
            <v>4149335</v>
          </cell>
        </row>
        <row r="1362">
          <cell r="E1362" t="str">
            <v>4252177</v>
          </cell>
        </row>
        <row r="1363">
          <cell r="E1363" t="str">
            <v>4237456</v>
          </cell>
        </row>
        <row r="1364">
          <cell r="E1364" t="str">
            <v xml:space="preserve">L34229  </v>
          </cell>
        </row>
        <row r="1365">
          <cell r="E1365" t="str">
            <v xml:space="preserve">L83044  </v>
          </cell>
        </row>
        <row r="1366">
          <cell r="E1366" t="str">
            <v>4187336</v>
          </cell>
        </row>
        <row r="1367">
          <cell r="E1367" t="str">
            <v>4246262</v>
          </cell>
        </row>
        <row r="1368">
          <cell r="E1368" t="str">
            <v>4241883</v>
          </cell>
        </row>
        <row r="1369">
          <cell r="E1369" t="str">
            <v>4187554</v>
          </cell>
        </row>
        <row r="1370">
          <cell r="E1370" t="str">
            <v>4116595</v>
          </cell>
        </row>
        <row r="1371">
          <cell r="E1371" t="str">
            <v>4187880</v>
          </cell>
        </row>
        <row r="1372">
          <cell r="E1372" t="str">
            <v>4501785</v>
          </cell>
        </row>
        <row r="1373">
          <cell r="E1373" t="str">
            <v>4199523</v>
          </cell>
        </row>
        <row r="1374">
          <cell r="E1374" t="str">
            <v>4158197</v>
          </cell>
        </row>
        <row r="1375">
          <cell r="E1375" t="str">
            <v>4187616</v>
          </cell>
        </row>
        <row r="1376">
          <cell r="E1376" t="str">
            <v>4300824</v>
          </cell>
        </row>
        <row r="1377">
          <cell r="E1377" t="str">
            <v>4302270</v>
          </cell>
        </row>
        <row r="1378">
          <cell r="E1378" t="str">
            <v>4300829</v>
          </cell>
        </row>
        <row r="1379">
          <cell r="E1379" t="str">
            <v>4300831</v>
          </cell>
        </row>
        <row r="1380">
          <cell r="E1380" t="str">
            <v>4194029</v>
          </cell>
        </row>
        <row r="1381">
          <cell r="E1381" t="str">
            <v>4304817</v>
          </cell>
        </row>
        <row r="1382">
          <cell r="E1382" t="str">
            <v>4185488</v>
          </cell>
        </row>
        <row r="1383">
          <cell r="E1383" t="str">
            <v>4303819</v>
          </cell>
        </row>
        <row r="1384">
          <cell r="E1384" t="str">
            <v>4303820</v>
          </cell>
        </row>
        <row r="1385">
          <cell r="E1385" t="str">
            <v>4187302</v>
          </cell>
        </row>
        <row r="1386">
          <cell r="E1386" t="str">
            <v>4510170</v>
          </cell>
        </row>
        <row r="1387">
          <cell r="E1387" t="str">
            <v xml:space="preserve"> </v>
          </cell>
        </row>
        <row r="1388">
          <cell r="E1388" t="str">
            <v>4187251</v>
          </cell>
        </row>
        <row r="1389">
          <cell r="E1389" t="str">
            <v>4187252</v>
          </cell>
        </row>
        <row r="1390">
          <cell r="E1390" t="str">
            <v>4282492</v>
          </cell>
        </row>
        <row r="1391">
          <cell r="E1391" t="str">
            <v>4187253</v>
          </cell>
        </row>
        <row r="1392">
          <cell r="E1392" t="str">
            <v>4285233</v>
          </cell>
        </row>
        <row r="1393">
          <cell r="E1393" t="str">
            <v>4187254</v>
          </cell>
        </row>
        <row r="1394">
          <cell r="E1394" t="str">
            <v>9725269</v>
          </cell>
        </row>
        <row r="1395">
          <cell r="E1395" t="str">
            <v>4508575</v>
          </cell>
        </row>
        <row r="1396">
          <cell r="E1396" t="str">
            <v>4121859</v>
          </cell>
        </row>
        <row r="1397">
          <cell r="E1397" t="str">
            <v>4183996</v>
          </cell>
        </row>
        <row r="1398">
          <cell r="E1398" t="str">
            <v xml:space="preserve">J833318 </v>
          </cell>
        </row>
        <row r="1399">
          <cell r="E1399" t="str">
            <v>4083438</v>
          </cell>
        </row>
        <row r="1400">
          <cell r="E1400" t="str">
            <v xml:space="preserve">M663033 </v>
          </cell>
        </row>
        <row r="1401">
          <cell r="E1401" t="str">
            <v>4282494</v>
          </cell>
        </row>
        <row r="1402">
          <cell r="E1402" t="str">
            <v>4282499</v>
          </cell>
        </row>
        <row r="1403">
          <cell r="E1403" t="str">
            <v>4282501</v>
          </cell>
        </row>
        <row r="1404">
          <cell r="E1404" t="str">
            <v>4295233</v>
          </cell>
        </row>
        <row r="1405">
          <cell r="E1405" t="str">
            <v>4085071</v>
          </cell>
        </row>
        <row r="1406">
          <cell r="E1406" t="str">
            <v>8041217</v>
          </cell>
        </row>
        <row r="1407">
          <cell r="E1407" t="str">
            <v xml:space="preserve">94-2022 </v>
          </cell>
        </row>
        <row r="1408">
          <cell r="E1408" t="str">
            <v>4153546</v>
          </cell>
        </row>
        <row r="1409">
          <cell r="E1409" t="str">
            <v>4292387</v>
          </cell>
        </row>
        <row r="1410">
          <cell r="E1410" t="str">
            <v>4292384</v>
          </cell>
        </row>
        <row r="1411">
          <cell r="E1411" t="str">
            <v xml:space="preserve">A811025 </v>
          </cell>
        </row>
        <row r="1412">
          <cell r="E1412" t="str">
            <v xml:space="preserve">A811035 </v>
          </cell>
        </row>
        <row r="1413">
          <cell r="E1413" t="str">
            <v>4506418</v>
          </cell>
        </row>
        <row r="1414">
          <cell r="E1414" t="str">
            <v>957366</v>
          </cell>
        </row>
        <row r="1415">
          <cell r="E1415" t="str">
            <v>957366</v>
          </cell>
        </row>
        <row r="1416">
          <cell r="E1416" t="str">
            <v>4187249</v>
          </cell>
        </row>
        <row r="1417">
          <cell r="E1417" t="str">
            <v>4187252</v>
          </cell>
        </row>
        <row r="1418">
          <cell r="E1418" t="str">
            <v>4282492</v>
          </cell>
        </row>
        <row r="1419">
          <cell r="E1419" t="str">
            <v>4187253</v>
          </cell>
        </row>
        <row r="1420">
          <cell r="E1420" t="str">
            <v>4285233</v>
          </cell>
        </row>
        <row r="1421">
          <cell r="E1421" t="str">
            <v>4187254</v>
          </cell>
        </row>
        <row r="1422">
          <cell r="E1422" t="str">
            <v>4508575</v>
          </cell>
        </row>
        <row r="1423">
          <cell r="E1423" t="str">
            <v>4206308</v>
          </cell>
        </row>
        <row r="1424">
          <cell r="E1424" t="str">
            <v>4206309</v>
          </cell>
        </row>
        <row r="1425">
          <cell r="E1425" t="str">
            <v>4206310</v>
          </cell>
        </row>
        <row r="1426">
          <cell r="E1426" t="str">
            <v>4229915</v>
          </cell>
        </row>
        <row r="1427">
          <cell r="E1427" t="str">
            <v xml:space="preserve">J901020 </v>
          </cell>
        </row>
        <row r="1428">
          <cell r="E1428" t="str">
            <v xml:space="preserve">A590910 </v>
          </cell>
        </row>
        <row r="1429">
          <cell r="E1429" t="str">
            <v xml:space="preserve">A590110 </v>
          </cell>
        </row>
        <row r="1430">
          <cell r="E1430" t="str">
            <v xml:space="preserve">J901225 </v>
          </cell>
        </row>
        <row r="1431">
          <cell r="E1431" t="str">
            <v xml:space="preserve">A590912 </v>
          </cell>
        </row>
        <row r="1432">
          <cell r="E1432" t="str">
            <v xml:space="preserve">A590112 </v>
          </cell>
        </row>
        <row r="1433">
          <cell r="E1433" t="str">
            <v>4206314</v>
          </cell>
        </row>
        <row r="1434">
          <cell r="E1434" t="str">
            <v>4206315</v>
          </cell>
        </row>
        <row r="1435">
          <cell r="E1435" t="str">
            <v>4206316</v>
          </cell>
        </row>
        <row r="1436">
          <cell r="E1436" t="str">
            <v>4143888</v>
          </cell>
        </row>
        <row r="1437">
          <cell r="E1437" t="str">
            <v>4206317</v>
          </cell>
        </row>
        <row r="1438">
          <cell r="E1438" t="str">
            <v>4206318</v>
          </cell>
        </row>
        <row r="1439">
          <cell r="E1439" t="str">
            <v>4104813</v>
          </cell>
        </row>
        <row r="1440">
          <cell r="E1440" t="str">
            <v xml:space="preserve">J901025 </v>
          </cell>
        </row>
        <row r="1441">
          <cell r="E1441" t="str">
            <v>4153538</v>
          </cell>
        </row>
        <row r="1442">
          <cell r="E1442" t="str">
            <v>4106891</v>
          </cell>
        </row>
        <row r="1443">
          <cell r="E1443" t="str">
            <v>4188538</v>
          </cell>
        </row>
        <row r="1444">
          <cell r="E1444" t="str">
            <v>4295233</v>
          </cell>
        </row>
        <row r="1445">
          <cell r="E1445" t="str">
            <v>4255810</v>
          </cell>
        </row>
        <row r="1446">
          <cell r="E1446" t="str">
            <v>4085071</v>
          </cell>
        </row>
        <row r="1447">
          <cell r="E1447" t="str">
            <v xml:space="preserve">J901030 </v>
          </cell>
        </row>
        <row r="1448">
          <cell r="E1448" t="str">
            <v xml:space="preserve">J217083 </v>
          </cell>
        </row>
        <row r="1449">
          <cell r="E1449" t="str">
            <v xml:space="preserve">A590910 </v>
          </cell>
        </row>
        <row r="1450">
          <cell r="E1450" t="str">
            <v xml:space="preserve">J950010 </v>
          </cell>
        </row>
        <row r="1451">
          <cell r="E1451" t="str">
            <v>4279177</v>
          </cell>
        </row>
        <row r="1452">
          <cell r="E1452" t="str">
            <v>4267322</v>
          </cell>
        </row>
        <row r="1453">
          <cell r="E1453" t="str">
            <v xml:space="preserve">M341436 </v>
          </cell>
        </row>
        <row r="1454">
          <cell r="E1454" t="str">
            <v xml:space="preserve">J901240 </v>
          </cell>
        </row>
        <row r="1455">
          <cell r="E1455" t="str">
            <v>4086891</v>
          </cell>
        </row>
        <row r="1456">
          <cell r="E1456" t="str">
            <v xml:space="preserve">J950012 </v>
          </cell>
        </row>
        <row r="1457">
          <cell r="E1457" t="str">
            <v>4199263</v>
          </cell>
        </row>
        <row r="1458">
          <cell r="E1458" t="str">
            <v>8047255</v>
          </cell>
        </row>
        <row r="1459">
          <cell r="E1459" t="str">
            <v>4085068</v>
          </cell>
        </row>
        <row r="1460">
          <cell r="E1460" t="str">
            <v xml:space="preserve">J901250 </v>
          </cell>
        </row>
        <row r="1461">
          <cell r="E1461" t="str">
            <v xml:space="preserve">M520012 </v>
          </cell>
        </row>
        <row r="1462">
          <cell r="E1462" t="str">
            <v>7022009</v>
          </cell>
        </row>
        <row r="1463">
          <cell r="E1463" t="str">
            <v>7022010</v>
          </cell>
        </row>
        <row r="1464">
          <cell r="E1464" t="str">
            <v>3013864</v>
          </cell>
        </row>
        <row r="1465">
          <cell r="E1465" t="str">
            <v>8041218</v>
          </cell>
        </row>
        <row r="1466">
          <cell r="E1466" t="str">
            <v>4218317</v>
          </cell>
        </row>
        <row r="1467">
          <cell r="E1467" t="str">
            <v xml:space="preserve">J901040 </v>
          </cell>
        </row>
        <row r="1468">
          <cell r="E1468" t="str">
            <v xml:space="preserve">M520010 </v>
          </cell>
        </row>
        <row r="1469">
          <cell r="E1469" t="str">
            <v>8041217</v>
          </cell>
        </row>
        <row r="1470">
          <cell r="E1470" t="str">
            <v xml:space="preserve">94-2022 </v>
          </cell>
        </row>
        <row r="1471">
          <cell r="E1471" t="str">
            <v xml:space="preserve">J901025 </v>
          </cell>
        </row>
        <row r="1472">
          <cell r="E1472" t="str">
            <v xml:space="preserve">A590110 </v>
          </cell>
        </row>
        <row r="1473">
          <cell r="E1473" t="str">
            <v>4262594</v>
          </cell>
        </row>
        <row r="1474">
          <cell r="E1474" t="str">
            <v xml:space="preserve">J901020 </v>
          </cell>
        </row>
        <row r="1475">
          <cell r="E1475" t="str">
            <v>449558</v>
          </cell>
        </row>
        <row r="1476">
          <cell r="E1476" t="str">
            <v>4031285</v>
          </cell>
        </row>
        <row r="1477">
          <cell r="E1477" t="str">
            <v>499682</v>
          </cell>
        </row>
        <row r="1478">
          <cell r="E1478" t="str">
            <v xml:space="preserve">A810165 </v>
          </cell>
        </row>
        <row r="1479">
          <cell r="E1479" t="str">
            <v>4137421</v>
          </cell>
        </row>
        <row r="1480">
          <cell r="E1480" t="str">
            <v>4192031</v>
          </cell>
        </row>
        <row r="1481">
          <cell r="E1481" t="str">
            <v>4192028</v>
          </cell>
        </row>
        <row r="1482">
          <cell r="E1482" t="str">
            <v>4188956</v>
          </cell>
        </row>
        <row r="1483">
          <cell r="E1483" t="str">
            <v>4188957</v>
          </cell>
        </row>
        <row r="1484">
          <cell r="E1484" t="str">
            <v>4192049</v>
          </cell>
        </row>
        <row r="1485">
          <cell r="E1485" t="str">
            <v>4192050</v>
          </cell>
        </row>
        <row r="1486">
          <cell r="E1486" t="str">
            <v>4192029</v>
          </cell>
        </row>
        <row r="1487">
          <cell r="E1487" t="str">
            <v>4192030</v>
          </cell>
        </row>
        <row r="1488">
          <cell r="E1488" t="str">
            <v xml:space="preserve">A810165 </v>
          </cell>
        </row>
        <row r="1489">
          <cell r="E1489" t="str">
            <v>4302263</v>
          </cell>
        </row>
        <row r="1490">
          <cell r="E1490" t="str">
            <v>4083753</v>
          </cell>
        </row>
        <row r="1491">
          <cell r="E1491" t="str">
            <v>4197727</v>
          </cell>
        </row>
        <row r="1492">
          <cell r="E1492" t="str">
            <v>4275060</v>
          </cell>
        </row>
        <row r="1493">
          <cell r="E1493" t="str">
            <v>4200488</v>
          </cell>
        </row>
        <row r="1494">
          <cell r="E1494" t="str">
            <v>4275061</v>
          </cell>
        </row>
        <row r="1495">
          <cell r="E1495" t="str">
            <v>4200487</v>
          </cell>
        </row>
        <row r="1496">
          <cell r="E1496" t="str">
            <v>4288803</v>
          </cell>
        </row>
        <row r="1497">
          <cell r="E1497" t="str">
            <v>4275063</v>
          </cell>
        </row>
        <row r="1498">
          <cell r="E1498" t="str">
            <v xml:space="preserve">U12547  </v>
          </cell>
        </row>
        <row r="1499">
          <cell r="E1499" t="str">
            <v>4509180</v>
          </cell>
        </row>
        <row r="1500">
          <cell r="E1500" t="str">
            <v>957366</v>
          </cell>
        </row>
        <row r="1501">
          <cell r="E1501" t="str">
            <v>4275064</v>
          </cell>
        </row>
        <row r="1502">
          <cell r="E1502" t="str">
            <v>4275065</v>
          </cell>
        </row>
        <row r="1503">
          <cell r="E1503" t="str">
            <v>4275059</v>
          </cell>
        </row>
        <row r="1504">
          <cell r="E1504" t="str">
            <v>4312384</v>
          </cell>
        </row>
        <row r="1505">
          <cell r="E1505" t="str">
            <v>4312385</v>
          </cell>
        </row>
        <row r="1506">
          <cell r="E1506" t="str">
            <v>4201822</v>
          </cell>
        </row>
        <row r="1507">
          <cell r="E1507" t="str">
            <v>4506424</v>
          </cell>
        </row>
        <row r="1508">
          <cell r="E1508" t="str">
            <v>4196774</v>
          </cell>
        </row>
        <row r="1509">
          <cell r="E1509" t="str">
            <v>4200404</v>
          </cell>
        </row>
        <row r="1510">
          <cell r="E1510" t="str">
            <v>4196265</v>
          </cell>
        </row>
        <row r="1511">
          <cell r="E1511" t="str">
            <v>4197726</v>
          </cell>
        </row>
        <row r="1512">
          <cell r="E1512" t="str">
            <v>4197731</v>
          </cell>
        </row>
        <row r="1513">
          <cell r="E1513" t="str">
            <v>4197728</v>
          </cell>
        </row>
        <row r="1514">
          <cell r="E1514" t="str">
            <v>4200412</v>
          </cell>
        </row>
        <row r="1515">
          <cell r="E1515" t="str">
            <v>4186821</v>
          </cell>
        </row>
        <row r="1516">
          <cell r="E1516" t="str">
            <v>970486</v>
          </cell>
        </row>
        <row r="1517">
          <cell r="E1517" t="str">
            <v>4141973</v>
          </cell>
        </row>
        <row r="1518">
          <cell r="E1518" t="str">
            <v>4083754</v>
          </cell>
        </row>
        <row r="1519">
          <cell r="E1519" t="str">
            <v>4297166</v>
          </cell>
        </row>
        <row r="1520">
          <cell r="E1520" t="str">
            <v>2022521</v>
          </cell>
        </row>
        <row r="1521">
          <cell r="E1521" t="str">
            <v>991732</v>
          </cell>
        </row>
        <row r="1522">
          <cell r="E1522" t="str">
            <v>3051043</v>
          </cell>
        </row>
        <row r="1523">
          <cell r="E1523" t="str">
            <v>4297165</v>
          </cell>
        </row>
        <row r="1524">
          <cell r="E1524" t="str">
            <v>4297267</v>
          </cell>
        </row>
        <row r="1525">
          <cell r="E1525" t="str">
            <v>4002151</v>
          </cell>
        </row>
        <row r="1526">
          <cell r="E1526" t="str">
            <v>962002</v>
          </cell>
        </row>
        <row r="1527">
          <cell r="E1527" t="str">
            <v>2031881</v>
          </cell>
        </row>
        <row r="1528">
          <cell r="E1528" t="str">
            <v>2031882</v>
          </cell>
        </row>
        <row r="1529">
          <cell r="E1529" t="str">
            <v>4096555</v>
          </cell>
        </row>
        <row r="1530">
          <cell r="E1530" t="str">
            <v>4175575</v>
          </cell>
        </row>
        <row r="1531">
          <cell r="E1531" t="str">
            <v>991732</v>
          </cell>
        </row>
        <row r="1532">
          <cell r="E1532" t="str">
            <v>3037399</v>
          </cell>
        </row>
        <row r="1533">
          <cell r="E1533" t="str">
            <v>2024372</v>
          </cell>
        </row>
        <row r="1534">
          <cell r="E1534" t="str">
            <v>991733</v>
          </cell>
        </row>
        <row r="1535">
          <cell r="E1535" t="str">
            <v>4195824</v>
          </cell>
        </row>
        <row r="1536">
          <cell r="E1536" t="str">
            <v>4261965</v>
          </cell>
        </row>
        <row r="1537">
          <cell r="E1537" t="str">
            <v xml:space="preserve">A890022 </v>
          </cell>
        </row>
        <row r="1538">
          <cell r="E1538" t="str">
            <v>4253751</v>
          </cell>
        </row>
        <row r="1539">
          <cell r="E1539" t="str">
            <v>962567</v>
          </cell>
        </row>
        <row r="1540">
          <cell r="E1540" t="str">
            <v>4506418</v>
          </cell>
        </row>
        <row r="1541">
          <cell r="E1541" t="str">
            <v>4211473</v>
          </cell>
        </row>
        <row r="1542">
          <cell r="E1542" t="str">
            <v>4180344</v>
          </cell>
        </row>
        <row r="1543">
          <cell r="E1543" t="str">
            <v>4180343</v>
          </cell>
        </row>
        <row r="1544">
          <cell r="E1544" t="str">
            <v>4176281</v>
          </cell>
        </row>
        <row r="1545">
          <cell r="E1545" t="str">
            <v>4177241</v>
          </cell>
        </row>
        <row r="1546">
          <cell r="E1546" t="str">
            <v>4180345</v>
          </cell>
        </row>
        <row r="1547">
          <cell r="E1547" t="str">
            <v>973069</v>
          </cell>
        </row>
        <row r="1548">
          <cell r="E1548" t="str">
            <v>4120522</v>
          </cell>
        </row>
        <row r="1549">
          <cell r="E1549" t="str">
            <v>4180346</v>
          </cell>
        </row>
        <row r="1550">
          <cell r="E1550" t="str">
            <v>959501</v>
          </cell>
        </row>
        <row r="1551">
          <cell r="E1551" t="str">
            <v>4116289</v>
          </cell>
        </row>
        <row r="1552">
          <cell r="E1552" t="str">
            <v>4158010</v>
          </cell>
        </row>
        <row r="1553">
          <cell r="E1553" t="str">
            <v>4083842</v>
          </cell>
        </row>
        <row r="1554">
          <cell r="E1554" t="str">
            <v>4177246</v>
          </cell>
        </row>
        <row r="1555">
          <cell r="E1555" t="str">
            <v xml:space="preserve">A810200 </v>
          </cell>
        </row>
        <row r="1556">
          <cell r="E1556" t="str">
            <v>4177842</v>
          </cell>
        </row>
        <row r="1557">
          <cell r="E1557" t="str">
            <v>4514053</v>
          </cell>
        </row>
        <row r="1558">
          <cell r="E1558" t="str">
            <v>4180397</v>
          </cell>
        </row>
        <row r="1559">
          <cell r="E1559" t="str">
            <v>4153553</v>
          </cell>
        </row>
        <row r="1560">
          <cell r="E1560" t="str">
            <v>4193799</v>
          </cell>
        </row>
        <row r="1561">
          <cell r="E1561" t="str">
            <v>4153153</v>
          </cell>
        </row>
        <row r="1562">
          <cell r="E1562" t="str">
            <v>4153547</v>
          </cell>
        </row>
        <row r="1563">
          <cell r="E1563" t="str">
            <v>4153546</v>
          </cell>
        </row>
        <row r="1564">
          <cell r="E1564" t="str">
            <v>4109378</v>
          </cell>
        </row>
        <row r="1565">
          <cell r="E1565" t="str">
            <v>4285234</v>
          </cell>
        </row>
        <row r="1566">
          <cell r="E1566" t="str">
            <v>3035092</v>
          </cell>
        </row>
        <row r="1567">
          <cell r="E1567" t="str">
            <v>4153196</v>
          </cell>
        </row>
        <row r="1568">
          <cell r="E1568" t="str">
            <v>4153547</v>
          </cell>
        </row>
        <row r="1569">
          <cell r="E1569" t="str">
            <v>4153541</v>
          </cell>
        </row>
        <row r="1570">
          <cell r="E1570" t="str">
            <v>4094001</v>
          </cell>
        </row>
        <row r="1571">
          <cell r="E1571" t="str">
            <v>4263764</v>
          </cell>
        </row>
        <row r="1572">
          <cell r="E1572" t="str">
            <v>4099119</v>
          </cell>
        </row>
        <row r="1573">
          <cell r="E1573" t="str">
            <v>4285233</v>
          </cell>
        </row>
        <row r="1574">
          <cell r="E1574" t="str">
            <v>4153341</v>
          </cell>
        </row>
        <row r="1575">
          <cell r="E1575" t="str">
            <v>4153538</v>
          </cell>
        </row>
        <row r="1576">
          <cell r="E1576" t="str">
            <v>4153538</v>
          </cell>
        </row>
        <row r="1577">
          <cell r="E1577" t="str">
            <v>4153541</v>
          </cell>
        </row>
        <row r="1578">
          <cell r="E1578" t="str">
            <v>4153558</v>
          </cell>
        </row>
        <row r="1579">
          <cell r="E1579" t="str">
            <v>4120296</v>
          </cell>
        </row>
        <row r="1580">
          <cell r="E1580" t="str">
            <v>4263764</v>
          </cell>
        </row>
        <row r="1581">
          <cell r="E1581" t="str">
            <v>4153539</v>
          </cell>
        </row>
        <row r="1582">
          <cell r="E1582" t="str">
            <v>4153538</v>
          </cell>
        </row>
        <row r="1583">
          <cell r="E1583" t="str">
            <v>4094001</v>
          </cell>
        </row>
        <row r="1584">
          <cell r="E1584" t="str">
            <v>4263764</v>
          </cell>
        </row>
        <row r="1585">
          <cell r="E1585" t="str">
            <v>4099119</v>
          </cell>
        </row>
        <row r="1586">
          <cell r="E1586" t="str">
            <v>4285233</v>
          </cell>
        </row>
        <row r="1587">
          <cell r="E1587" t="str">
            <v>4102060</v>
          </cell>
        </row>
        <row r="1588">
          <cell r="E1588" t="str">
            <v>4504357</v>
          </cell>
        </row>
        <row r="1589">
          <cell r="E1589" t="str">
            <v>4160627</v>
          </cell>
        </row>
        <row r="1590">
          <cell r="E1590" t="str">
            <v>4210307</v>
          </cell>
        </row>
        <row r="1591">
          <cell r="E1591" t="str">
            <v>4196261</v>
          </cell>
        </row>
        <row r="1592">
          <cell r="E1592" t="str">
            <v>4067833</v>
          </cell>
        </row>
        <row r="1593">
          <cell r="E1593" t="str">
            <v>4094001</v>
          </cell>
        </row>
        <row r="1594">
          <cell r="E1594" t="str">
            <v>4263764</v>
          </cell>
        </row>
        <row r="1595">
          <cell r="E1595" t="str">
            <v>4153538</v>
          </cell>
        </row>
        <row r="1596">
          <cell r="E1596" t="str">
            <v>4200412</v>
          </cell>
        </row>
        <row r="1597">
          <cell r="E1597" t="str">
            <v>4153549</v>
          </cell>
        </row>
        <row r="1598">
          <cell r="E1598" t="str">
            <v>4024881</v>
          </cell>
        </row>
        <row r="1599">
          <cell r="E1599" t="str">
            <v>4267093</v>
          </cell>
        </row>
        <row r="1600">
          <cell r="E1600" t="str">
            <v>4272713</v>
          </cell>
        </row>
        <row r="1601">
          <cell r="E1601" t="str">
            <v xml:space="preserve">M111030 </v>
          </cell>
        </row>
        <row r="1602">
          <cell r="E1602" t="str">
            <v xml:space="preserve">A590910 </v>
          </cell>
        </row>
        <row r="1603">
          <cell r="E1603" t="str">
            <v xml:space="preserve">A590110 </v>
          </cell>
        </row>
        <row r="1604">
          <cell r="E1604" t="str">
            <v>3054159</v>
          </cell>
        </row>
        <row r="1605">
          <cell r="E1605" t="str">
            <v>961045</v>
          </cell>
        </row>
        <row r="1606">
          <cell r="E1606" t="str">
            <v>4023590</v>
          </cell>
        </row>
        <row r="1607">
          <cell r="E1607" t="str">
            <v>959502</v>
          </cell>
        </row>
        <row r="1608">
          <cell r="E1608" t="str">
            <v>4265915</v>
          </cell>
        </row>
        <row r="1609">
          <cell r="E1609" t="str">
            <v>4268191</v>
          </cell>
        </row>
        <row r="1610">
          <cell r="E1610" t="str">
            <v>4268129</v>
          </cell>
        </row>
        <row r="1611">
          <cell r="E1611" t="str">
            <v>4065938</v>
          </cell>
        </row>
        <row r="1612">
          <cell r="E1612" t="str">
            <v>4154682</v>
          </cell>
        </row>
        <row r="1613">
          <cell r="E1613" t="str">
            <v>4158141</v>
          </cell>
        </row>
        <row r="1614">
          <cell r="E1614" t="str">
            <v>4034033</v>
          </cell>
        </row>
        <row r="1615">
          <cell r="E1615" t="str">
            <v>4157663</v>
          </cell>
        </row>
        <row r="1616">
          <cell r="E1616" t="str">
            <v>4157681</v>
          </cell>
        </row>
        <row r="1617">
          <cell r="E1617" t="str">
            <v>4140818</v>
          </cell>
        </row>
        <row r="1618">
          <cell r="E1618" t="str">
            <v>4089677</v>
          </cell>
        </row>
        <row r="1619">
          <cell r="E1619" t="str">
            <v>4055312</v>
          </cell>
        </row>
        <row r="1620">
          <cell r="E1620" t="str">
            <v>4205684</v>
          </cell>
        </row>
        <row r="1621">
          <cell r="E1621" t="str">
            <v xml:space="preserve">A810035 </v>
          </cell>
        </row>
        <row r="1622">
          <cell r="E1622" t="str">
            <v>4089677</v>
          </cell>
        </row>
        <row r="1623">
          <cell r="E1623" t="str">
            <v>4157676</v>
          </cell>
        </row>
        <row r="1624">
          <cell r="E1624" t="str">
            <v>4151547</v>
          </cell>
        </row>
        <row r="1625">
          <cell r="E1625" t="str">
            <v>4157900</v>
          </cell>
        </row>
        <row r="1626">
          <cell r="E1626" t="str">
            <v>4192014</v>
          </cell>
        </row>
        <row r="1627">
          <cell r="E1627" t="str">
            <v>4504367</v>
          </cell>
        </row>
        <row r="1628">
          <cell r="E1628" t="str">
            <v>4275066</v>
          </cell>
        </row>
        <row r="1629">
          <cell r="E1629" t="str">
            <v>4275067</v>
          </cell>
        </row>
        <row r="1630">
          <cell r="E1630" t="str">
            <v>4275068</v>
          </cell>
        </row>
        <row r="1631">
          <cell r="E1631" t="str">
            <v>4275069</v>
          </cell>
        </row>
        <row r="1632">
          <cell r="E1632" t="str">
            <v>4275070</v>
          </cell>
        </row>
        <row r="1633">
          <cell r="E1633" t="str">
            <v>4044420</v>
          </cell>
        </row>
        <row r="1634">
          <cell r="E1634" t="str">
            <v>4292751</v>
          </cell>
        </row>
        <row r="1635">
          <cell r="E1635" t="str">
            <v>4268226</v>
          </cell>
        </row>
        <row r="1636">
          <cell r="E1636" t="str">
            <v>4253230</v>
          </cell>
        </row>
        <row r="1637">
          <cell r="E1637" t="str">
            <v>4153536</v>
          </cell>
        </row>
        <row r="1638">
          <cell r="E1638" t="str">
            <v>4153546</v>
          </cell>
        </row>
        <row r="1639">
          <cell r="E1639" t="str">
            <v>4297379</v>
          </cell>
        </row>
        <row r="1640">
          <cell r="E1640" t="str">
            <v>4292387</v>
          </cell>
        </row>
        <row r="1641">
          <cell r="E1641" t="str">
            <v>4292384</v>
          </cell>
        </row>
        <row r="1642">
          <cell r="E1642" t="str">
            <v>4292385</v>
          </cell>
        </row>
        <row r="1643">
          <cell r="E1643" t="str">
            <v>4192056</v>
          </cell>
        </row>
        <row r="1644">
          <cell r="E1644" t="str">
            <v>4192058</v>
          </cell>
        </row>
        <row r="1645">
          <cell r="E1645" t="str">
            <v>4192062</v>
          </cell>
        </row>
        <row r="1646">
          <cell r="E1646" t="str">
            <v>4192071</v>
          </cell>
        </row>
        <row r="1647">
          <cell r="E1647" t="str">
            <v>4190090</v>
          </cell>
        </row>
        <row r="1648">
          <cell r="E1648" t="str">
            <v>4192072</v>
          </cell>
        </row>
        <row r="1649">
          <cell r="E1649" t="str">
            <v>4203178</v>
          </cell>
        </row>
        <row r="1650">
          <cell r="E1650" t="str">
            <v>4181360</v>
          </cell>
        </row>
        <row r="1651">
          <cell r="E1651" t="str">
            <v>4192069</v>
          </cell>
        </row>
        <row r="1652">
          <cell r="E1652" t="str">
            <v>4192061</v>
          </cell>
        </row>
        <row r="1653">
          <cell r="E1653" t="str">
            <v>4192063</v>
          </cell>
        </row>
        <row r="1654">
          <cell r="E1654" t="str">
            <v>4192070</v>
          </cell>
        </row>
        <row r="1655">
          <cell r="E1655" t="str">
            <v>4193821</v>
          </cell>
        </row>
        <row r="1656">
          <cell r="E1656" t="str">
            <v>4292383</v>
          </cell>
        </row>
        <row r="1657">
          <cell r="E1657" t="str">
            <v>4193823</v>
          </cell>
        </row>
        <row r="1658">
          <cell r="E1658" t="str">
            <v>4193818</v>
          </cell>
        </row>
        <row r="1659">
          <cell r="E1659" t="str">
            <v>4193822</v>
          </cell>
        </row>
        <row r="1660">
          <cell r="E1660" t="str">
            <v>4203177</v>
          </cell>
        </row>
        <row r="1661">
          <cell r="E1661" t="str">
            <v>4203179</v>
          </cell>
        </row>
        <row r="1662">
          <cell r="E1662" t="str">
            <v>4196275</v>
          </cell>
        </row>
        <row r="1663">
          <cell r="E1663" t="str">
            <v>4292384</v>
          </cell>
        </row>
        <row r="1664">
          <cell r="E1664" t="str">
            <v>4297379</v>
          </cell>
        </row>
        <row r="1665">
          <cell r="E1665" t="str">
            <v>4192051</v>
          </cell>
        </row>
        <row r="1666">
          <cell r="E1666" t="str">
            <v>4192052</v>
          </cell>
        </row>
        <row r="1667">
          <cell r="E1667" t="str">
            <v>4192053</v>
          </cell>
        </row>
        <row r="1668">
          <cell r="E1668" t="str">
            <v>4292385</v>
          </cell>
        </row>
        <row r="1669">
          <cell r="E1669" t="str">
            <v>4292386</v>
          </cell>
        </row>
        <row r="1670">
          <cell r="E1670" t="str">
            <v>4192082</v>
          </cell>
        </row>
        <row r="1671">
          <cell r="E1671" t="str">
            <v>4192076</v>
          </cell>
        </row>
        <row r="1672">
          <cell r="E1672" t="str">
            <v>4192078</v>
          </cell>
        </row>
        <row r="1673">
          <cell r="E1673" t="str">
            <v>4197708</v>
          </cell>
        </row>
        <row r="1674">
          <cell r="E1674" t="str">
            <v>4292382</v>
          </cell>
        </row>
        <row r="1675">
          <cell r="E1675" t="str">
            <v>4218481</v>
          </cell>
        </row>
        <row r="1676">
          <cell r="E1676" t="str">
            <v>4192051</v>
          </cell>
        </row>
        <row r="1677">
          <cell r="E1677" t="str">
            <v>4192052</v>
          </cell>
        </row>
        <row r="1678">
          <cell r="E1678" t="str">
            <v>4192053</v>
          </cell>
        </row>
        <row r="1679">
          <cell r="E1679" t="str">
            <v>4292385</v>
          </cell>
        </row>
        <row r="1680">
          <cell r="E1680" t="str">
            <v>4292386</v>
          </cell>
        </row>
        <row r="1681">
          <cell r="E1681" t="str">
            <v>4192082</v>
          </cell>
        </row>
        <row r="1682">
          <cell r="E1682" t="str">
            <v>4192076</v>
          </cell>
        </row>
        <row r="1683">
          <cell r="E1683" t="str">
            <v>4192078</v>
          </cell>
        </row>
        <row r="1684">
          <cell r="E1684" t="str">
            <v>4197708</v>
          </cell>
        </row>
        <row r="1685">
          <cell r="E1685" t="str">
            <v>4292382</v>
          </cell>
        </row>
        <row r="1686">
          <cell r="E1686" t="str">
            <v>4157932</v>
          </cell>
        </row>
        <row r="1687">
          <cell r="E1687" t="str">
            <v>4123861</v>
          </cell>
        </row>
        <row r="1688">
          <cell r="E1688" t="str">
            <v>4157690</v>
          </cell>
        </row>
        <row r="1689">
          <cell r="E1689" t="str">
            <v>4157942</v>
          </cell>
        </row>
        <row r="1690">
          <cell r="E1690" t="str">
            <v>4192085</v>
          </cell>
        </row>
        <row r="1691">
          <cell r="E1691" t="str">
            <v>4133484</v>
          </cell>
        </row>
        <row r="1692">
          <cell r="E1692" t="str">
            <v>4192074</v>
          </cell>
        </row>
        <row r="1693">
          <cell r="E1693" t="str">
            <v>4192075</v>
          </cell>
        </row>
        <row r="1694">
          <cell r="E1694" t="str">
            <v>4157936</v>
          </cell>
        </row>
        <row r="1695">
          <cell r="E1695" t="str">
            <v>4242428</v>
          </cell>
        </row>
        <row r="1696">
          <cell r="E1696" t="str">
            <v>4153108</v>
          </cell>
        </row>
        <row r="1697">
          <cell r="E1697" t="str">
            <v>4153108</v>
          </cell>
        </row>
        <row r="1698">
          <cell r="E1698" t="str">
            <v>4297381</v>
          </cell>
        </row>
        <row r="1699">
          <cell r="E1699" t="str">
            <v>4158042</v>
          </cell>
        </row>
        <row r="1700">
          <cell r="E1700" t="str">
            <v>4197719</v>
          </cell>
        </row>
        <row r="1701">
          <cell r="E1701" t="str">
            <v>4054367</v>
          </cell>
        </row>
        <row r="1702">
          <cell r="E1702" t="str">
            <v>4203190</v>
          </cell>
        </row>
        <row r="1703">
          <cell r="E1703" t="str">
            <v>4208461</v>
          </cell>
        </row>
        <row r="1704">
          <cell r="E1704" t="str">
            <v>4203192</v>
          </cell>
        </row>
        <row r="1705">
          <cell r="E1705" t="str">
            <v>4203193</v>
          </cell>
        </row>
        <row r="1706">
          <cell r="E1706" t="str">
            <v>4203194</v>
          </cell>
        </row>
        <row r="1707">
          <cell r="E1707" t="str">
            <v>4219321</v>
          </cell>
        </row>
        <row r="1708">
          <cell r="E1708" t="str">
            <v>4203196</v>
          </cell>
        </row>
        <row r="1709">
          <cell r="E1709" t="str">
            <v>4203197</v>
          </cell>
        </row>
        <row r="1710">
          <cell r="E1710" t="str">
            <v>4069766</v>
          </cell>
        </row>
        <row r="1711">
          <cell r="E1711" t="str">
            <v>4097022</v>
          </cell>
        </row>
        <row r="1712">
          <cell r="E1712" t="str">
            <v>4158016</v>
          </cell>
        </row>
        <row r="1713">
          <cell r="E1713" t="str">
            <v>4022181</v>
          </cell>
        </row>
        <row r="1714">
          <cell r="E1714" t="str">
            <v>4055195</v>
          </cell>
        </row>
        <row r="1715">
          <cell r="E1715" t="str">
            <v>4204139</v>
          </cell>
        </row>
        <row r="1716">
          <cell r="E1716" t="str">
            <v>4061873</v>
          </cell>
        </row>
        <row r="1717">
          <cell r="E1717" t="str">
            <v>4022547</v>
          </cell>
        </row>
        <row r="1718">
          <cell r="E1718" t="str">
            <v>4062815</v>
          </cell>
        </row>
        <row r="1719">
          <cell r="E1719" t="str">
            <v>4022544</v>
          </cell>
        </row>
        <row r="1720">
          <cell r="E1720" t="str">
            <v>4107297</v>
          </cell>
        </row>
        <row r="1721">
          <cell r="E1721" t="str">
            <v>4158042</v>
          </cell>
        </row>
        <row r="1722">
          <cell r="E1722" t="str">
            <v>4055174</v>
          </cell>
        </row>
        <row r="1723">
          <cell r="E1723" t="str">
            <v>4022545</v>
          </cell>
        </row>
        <row r="1724">
          <cell r="E1724" t="str">
            <v>4142628</v>
          </cell>
        </row>
        <row r="1725">
          <cell r="E1725" t="str">
            <v>4015462</v>
          </cell>
        </row>
        <row r="1726">
          <cell r="E1726" t="str">
            <v>4113198</v>
          </cell>
        </row>
        <row r="1727">
          <cell r="E1727" t="str">
            <v>4030804</v>
          </cell>
        </row>
        <row r="1728">
          <cell r="E1728" t="str">
            <v>4022174</v>
          </cell>
        </row>
        <row r="1729">
          <cell r="E1729" t="str">
            <v>4015464</v>
          </cell>
        </row>
        <row r="1730">
          <cell r="E1730" t="str">
            <v>4022542</v>
          </cell>
        </row>
        <row r="1731">
          <cell r="E1731" t="str">
            <v>4141394</v>
          </cell>
        </row>
        <row r="1732">
          <cell r="E1732" t="str">
            <v>4158052</v>
          </cell>
        </row>
        <row r="1733">
          <cell r="E1733" t="str">
            <v>4054367</v>
          </cell>
        </row>
        <row r="1734">
          <cell r="E1734" t="str">
            <v>4071347</v>
          </cell>
        </row>
        <row r="1735">
          <cell r="E1735" t="str">
            <v>4200486</v>
          </cell>
        </row>
        <row r="1736">
          <cell r="E1736" t="str">
            <v>4200485</v>
          </cell>
        </row>
        <row r="1737">
          <cell r="E1737" t="str">
            <v>4192089</v>
          </cell>
        </row>
        <row r="1738">
          <cell r="E1738" t="str">
            <v>4085229</v>
          </cell>
        </row>
        <row r="1739">
          <cell r="E1739" t="str">
            <v>4055144</v>
          </cell>
        </row>
        <row r="1740">
          <cell r="E1740" t="str">
            <v>4098515</v>
          </cell>
        </row>
        <row r="1741">
          <cell r="E1741" t="str">
            <v>4098516</v>
          </cell>
        </row>
        <row r="1742">
          <cell r="E1742" t="str">
            <v>4157601</v>
          </cell>
        </row>
        <row r="1743">
          <cell r="E1743" t="str">
            <v>4208463</v>
          </cell>
        </row>
        <row r="1744">
          <cell r="E1744" t="str">
            <v>957366</v>
          </cell>
        </row>
        <row r="1745">
          <cell r="E1745" t="str">
            <v>4506148</v>
          </cell>
        </row>
        <row r="1746">
          <cell r="E1746" t="str">
            <v>4509180</v>
          </cell>
        </row>
        <row r="1747">
          <cell r="E1747" t="str">
            <v>4010093</v>
          </cell>
        </row>
        <row r="1748">
          <cell r="E1748" t="str">
            <v>4157629</v>
          </cell>
        </row>
        <row r="1749">
          <cell r="E1749" t="str">
            <v>4100731</v>
          </cell>
        </row>
        <row r="1750">
          <cell r="E1750" t="str">
            <v>4208499</v>
          </cell>
        </row>
        <row r="1751">
          <cell r="E1751" t="str">
            <v>4204198</v>
          </cell>
        </row>
        <row r="1752">
          <cell r="E1752" t="str">
            <v>4129746</v>
          </cell>
        </row>
        <row r="1753">
          <cell r="E1753" t="str">
            <v>4111501</v>
          </cell>
        </row>
        <row r="1754">
          <cell r="E1754" t="str">
            <v>4209700</v>
          </cell>
        </row>
        <row r="1755">
          <cell r="E1755" t="str">
            <v>4235582</v>
          </cell>
        </row>
        <row r="1756">
          <cell r="E1756" t="str">
            <v>4235583</v>
          </cell>
        </row>
        <row r="1757">
          <cell r="E1757" t="str">
            <v>4235584</v>
          </cell>
        </row>
        <row r="1758">
          <cell r="E1758" t="str">
            <v>4235585</v>
          </cell>
        </row>
        <row r="1759">
          <cell r="E1759" t="str">
            <v>4153431</v>
          </cell>
        </row>
        <row r="1760">
          <cell r="E1760" t="str">
            <v>4204139</v>
          </cell>
        </row>
        <row r="1761">
          <cell r="E1761" t="str">
            <v>4184885</v>
          </cell>
        </row>
        <row r="1762">
          <cell r="E1762" t="str">
            <v>4061873</v>
          </cell>
        </row>
        <row r="1763">
          <cell r="E1763" t="str">
            <v>4022547</v>
          </cell>
        </row>
        <row r="1764">
          <cell r="E1764" t="str">
            <v>4062815</v>
          </cell>
        </row>
        <row r="1765">
          <cell r="E1765" t="str">
            <v>4022544</v>
          </cell>
        </row>
        <row r="1766">
          <cell r="E1766" t="str">
            <v>4107297</v>
          </cell>
        </row>
        <row r="1767">
          <cell r="E1767" t="str">
            <v>4158042</v>
          </cell>
        </row>
        <row r="1768">
          <cell r="E1768" t="str">
            <v>4055174</v>
          </cell>
        </row>
        <row r="1769">
          <cell r="E1769" t="str">
            <v>4022545</v>
          </cell>
        </row>
        <row r="1770">
          <cell r="E1770" t="str">
            <v>4142628</v>
          </cell>
        </row>
        <row r="1771">
          <cell r="E1771" t="str">
            <v>4015462</v>
          </cell>
        </row>
        <row r="1772">
          <cell r="E1772" t="str">
            <v>4113198</v>
          </cell>
        </row>
        <row r="1773">
          <cell r="E1773" t="str">
            <v>4030804</v>
          </cell>
        </row>
        <row r="1774">
          <cell r="E1774" t="str">
            <v>4022174</v>
          </cell>
        </row>
        <row r="1775">
          <cell r="E1775" t="str">
            <v>4015464</v>
          </cell>
        </row>
        <row r="1776">
          <cell r="E1776" t="str">
            <v>4022542</v>
          </cell>
        </row>
        <row r="1777">
          <cell r="E1777" t="str">
            <v>4141394</v>
          </cell>
        </row>
        <row r="1778">
          <cell r="E1778" t="str">
            <v>4158052</v>
          </cell>
        </row>
        <row r="1779">
          <cell r="E1779" t="str">
            <v>4054367</v>
          </cell>
        </row>
        <row r="1780">
          <cell r="E1780" t="str">
            <v>4071347</v>
          </cell>
        </row>
        <row r="1781">
          <cell r="E1781" t="str">
            <v>4200486</v>
          </cell>
        </row>
        <row r="1782">
          <cell r="E1782" t="str">
            <v>4200485</v>
          </cell>
        </row>
        <row r="1783">
          <cell r="E1783" t="str">
            <v>4192089</v>
          </cell>
        </row>
        <row r="1784">
          <cell r="E1784" t="str">
            <v>4085229</v>
          </cell>
        </row>
        <row r="1785">
          <cell r="E1785" t="str">
            <v>4055144</v>
          </cell>
        </row>
        <row r="1786">
          <cell r="E1786" t="str">
            <v>4098515</v>
          </cell>
        </row>
        <row r="1787">
          <cell r="E1787" t="str">
            <v>4098516</v>
          </cell>
        </row>
        <row r="1788">
          <cell r="E1788" t="str">
            <v>4157601</v>
          </cell>
        </row>
        <row r="1789">
          <cell r="E1789" t="str">
            <v>4208463</v>
          </cell>
        </row>
        <row r="1790">
          <cell r="E1790" t="str">
            <v>4010093</v>
          </cell>
        </row>
        <row r="1791">
          <cell r="E1791" t="str">
            <v>4157629</v>
          </cell>
        </row>
        <row r="1792">
          <cell r="E1792" t="str">
            <v>4100731</v>
          </cell>
        </row>
        <row r="1793">
          <cell r="E1793" t="str">
            <v>4208499</v>
          </cell>
        </row>
        <row r="1794">
          <cell r="E1794" t="str">
            <v>4204198</v>
          </cell>
        </row>
        <row r="1795">
          <cell r="E1795" t="str">
            <v>4129746</v>
          </cell>
        </row>
        <row r="1796">
          <cell r="E1796" t="str">
            <v>4111501</v>
          </cell>
        </row>
        <row r="1797">
          <cell r="E1797" t="str">
            <v>4209700</v>
          </cell>
        </row>
        <row r="1798">
          <cell r="E1798" t="str">
            <v>4142628</v>
          </cell>
        </row>
        <row r="1799">
          <cell r="E1799" t="str">
            <v>4022548</v>
          </cell>
        </row>
        <row r="1800">
          <cell r="E1800" t="str">
            <v>4197713</v>
          </cell>
        </row>
        <row r="1801">
          <cell r="E1801" t="str">
            <v>4509180</v>
          </cell>
        </row>
        <row r="1802">
          <cell r="E1802" t="str">
            <v>4506418</v>
          </cell>
        </row>
        <row r="1803">
          <cell r="E1803" t="str">
            <v>957366</v>
          </cell>
        </row>
        <row r="1804">
          <cell r="E1804" t="str">
            <v>4509810</v>
          </cell>
        </row>
        <row r="1805">
          <cell r="E1805" t="str">
            <v>4055174</v>
          </cell>
        </row>
        <row r="1806">
          <cell r="E1806" t="str">
            <v>4107297</v>
          </cell>
        </row>
        <row r="1807">
          <cell r="E1807" t="str">
            <v>4031934</v>
          </cell>
        </row>
        <row r="1808">
          <cell r="E1808" t="str">
            <v>4204142</v>
          </cell>
        </row>
        <row r="1809">
          <cell r="E1809" t="str">
            <v>4067522</v>
          </cell>
        </row>
        <row r="1810">
          <cell r="E1810" t="str">
            <v>4022459</v>
          </cell>
        </row>
        <row r="1811">
          <cell r="E1811" t="str">
            <v>4116047</v>
          </cell>
        </row>
        <row r="1812">
          <cell r="E1812" t="str">
            <v>4067523</v>
          </cell>
        </row>
        <row r="1813">
          <cell r="E1813" t="str">
            <v>4022459</v>
          </cell>
        </row>
        <row r="1814">
          <cell r="E1814" t="str">
            <v>4054344</v>
          </cell>
        </row>
        <row r="1815">
          <cell r="E1815" t="str">
            <v>4071343</v>
          </cell>
        </row>
        <row r="1816">
          <cell r="E1816" t="str">
            <v>4071344</v>
          </cell>
        </row>
        <row r="1817">
          <cell r="E1817" t="str">
            <v>4079762</v>
          </cell>
        </row>
        <row r="1818">
          <cell r="E1818" t="str">
            <v>4071345</v>
          </cell>
        </row>
        <row r="1819">
          <cell r="E1819" t="str">
            <v>4192092</v>
          </cell>
        </row>
        <row r="1820">
          <cell r="E1820" t="str">
            <v>4192091</v>
          </cell>
        </row>
        <row r="1821">
          <cell r="E1821" t="str">
            <v>4192089</v>
          </cell>
        </row>
        <row r="1822">
          <cell r="E1822" t="str">
            <v>4088042</v>
          </cell>
        </row>
        <row r="1823">
          <cell r="E1823" t="str">
            <v>4122838</v>
          </cell>
        </row>
        <row r="1824">
          <cell r="E1824" t="str">
            <v>4116049</v>
          </cell>
        </row>
        <row r="1825">
          <cell r="E1825" t="str">
            <v>4192090</v>
          </cell>
        </row>
        <row r="1826">
          <cell r="E1826" t="str">
            <v>4067523</v>
          </cell>
        </row>
        <row r="1827">
          <cell r="E1827" t="str">
            <v>4204102</v>
          </cell>
        </row>
        <row r="1828">
          <cell r="E1828" t="str">
            <v>4118275</v>
          </cell>
        </row>
        <row r="1829">
          <cell r="E1829" t="str">
            <v>4204103</v>
          </cell>
        </row>
        <row r="1830">
          <cell r="E1830" t="str">
            <v>4063117</v>
          </cell>
        </row>
        <row r="1831">
          <cell r="E1831" t="str">
            <v>4166390</v>
          </cell>
        </row>
        <row r="1832">
          <cell r="E1832" t="str">
            <v>4158050</v>
          </cell>
        </row>
        <row r="1833">
          <cell r="E1833" t="str">
            <v>4157624</v>
          </cell>
        </row>
        <row r="1834">
          <cell r="E1834" t="str">
            <v>4055157</v>
          </cell>
        </row>
        <row r="1835">
          <cell r="E1835" t="str">
            <v>4136912</v>
          </cell>
        </row>
        <row r="1836">
          <cell r="E1836" t="str">
            <v>4055161</v>
          </cell>
        </row>
        <row r="1837">
          <cell r="E1837" t="str">
            <v>4088042</v>
          </cell>
        </row>
        <row r="1838">
          <cell r="E1838" t="str">
            <v>4157630</v>
          </cell>
        </row>
        <row r="1839">
          <cell r="E1839" t="str">
            <v>4055171</v>
          </cell>
        </row>
        <row r="1840">
          <cell r="E1840" t="str">
            <v>4157662</v>
          </cell>
        </row>
        <row r="1841">
          <cell r="E1841" t="str">
            <v>4157642</v>
          </cell>
        </row>
        <row r="1842">
          <cell r="E1842" t="str">
            <v>4055174</v>
          </cell>
        </row>
        <row r="1843">
          <cell r="E1843" t="str">
            <v>4107297</v>
          </cell>
        </row>
        <row r="1844">
          <cell r="E1844" t="str">
            <v>4031934</v>
          </cell>
        </row>
        <row r="1845">
          <cell r="E1845" t="str">
            <v>4204142</v>
          </cell>
        </row>
        <row r="1846">
          <cell r="E1846" t="str">
            <v>4067522</v>
          </cell>
        </row>
        <row r="1847">
          <cell r="E1847" t="str">
            <v>4022459</v>
          </cell>
        </row>
        <row r="1848">
          <cell r="E1848" t="str">
            <v>4116047</v>
          </cell>
        </row>
        <row r="1849">
          <cell r="E1849" t="str">
            <v>4067523</v>
          </cell>
        </row>
        <row r="1850">
          <cell r="E1850" t="str">
            <v>4022459</v>
          </cell>
        </row>
        <row r="1851">
          <cell r="E1851" t="str">
            <v>4054344</v>
          </cell>
        </row>
        <row r="1852">
          <cell r="E1852" t="str">
            <v>4071343</v>
          </cell>
        </row>
        <row r="1853">
          <cell r="E1853" t="str">
            <v>4071344</v>
          </cell>
        </row>
        <row r="1854">
          <cell r="E1854" t="str">
            <v>4204101</v>
          </cell>
        </row>
        <row r="1855">
          <cell r="E1855" t="str">
            <v>4079762</v>
          </cell>
        </row>
        <row r="1856">
          <cell r="E1856" t="str">
            <v>4071345</v>
          </cell>
        </row>
        <row r="1857">
          <cell r="E1857" t="str">
            <v>4192091</v>
          </cell>
        </row>
        <row r="1858">
          <cell r="E1858" t="str">
            <v>4192089</v>
          </cell>
        </row>
        <row r="1859">
          <cell r="E1859" t="str">
            <v>4088042</v>
          </cell>
        </row>
        <row r="1860">
          <cell r="E1860" t="str">
            <v>4122838</v>
          </cell>
        </row>
        <row r="1861">
          <cell r="E1861" t="str">
            <v>4116049</v>
          </cell>
        </row>
        <row r="1862">
          <cell r="E1862" t="str">
            <v>4192090</v>
          </cell>
        </row>
        <row r="1863">
          <cell r="E1863" t="str">
            <v>4204102</v>
          </cell>
        </row>
        <row r="1864">
          <cell r="E1864" t="str">
            <v>4118275</v>
          </cell>
        </row>
        <row r="1865">
          <cell r="E1865" t="str">
            <v>4204103</v>
          </cell>
        </row>
        <row r="1866">
          <cell r="E1866" t="str">
            <v>4063117</v>
          </cell>
        </row>
        <row r="1867">
          <cell r="E1867" t="str">
            <v>4166390</v>
          </cell>
        </row>
        <row r="1868">
          <cell r="E1868" t="str">
            <v>4158050</v>
          </cell>
        </row>
        <row r="1869">
          <cell r="E1869" t="str">
            <v>4157624</v>
          </cell>
        </row>
        <row r="1870">
          <cell r="E1870" t="str">
            <v>4055157</v>
          </cell>
        </row>
        <row r="1871">
          <cell r="E1871" t="str">
            <v>4136912</v>
          </cell>
        </row>
        <row r="1872">
          <cell r="E1872" t="str">
            <v>4055161</v>
          </cell>
        </row>
        <row r="1873">
          <cell r="E1873" t="str">
            <v>4157626</v>
          </cell>
        </row>
        <row r="1874">
          <cell r="E1874" t="str">
            <v>4019216</v>
          </cell>
        </row>
        <row r="1875">
          <cell r="E1875" t="str">
            <v>4055171</v>
          </cell>
        </row>
        <row r="1876">
          <cell r="E1876" t="str">
            <v>4157662</v>
          </cell>
        </row>
        <row r="1877">
          <cell r="E1877" t="str">
            <v>4157642</v>
          </cell>
        </row>
        <row r="1878">
          <cell r="E1878" t="str">
            <v>4197771</v>
          </cell>
        </row>
        <row r="1879">
          <cell r="E1879" t="str">
            <v>4157636</v>
          </cell>
        </row>
        <row r="1880">
          <cell r="E1880" t="str">
            <v>4193840</v>
          </cell>
        </row>
        <row r="1881">
          <cell r="E1881" t="str">
            <v>4169564</v>
          </cell>
        </row>
        <row r="1882">
          <cell r="E1882" t="str">
            <v>4184889</v>
          </cell>
        </row>
        <row r="1883">
          <cell r="E1883" t="str">
            <v>4197715</v>
          </cell>
        </row>
        <row r="1884">
          <cell r="E1884" t="str">
            <v>4297380</v>
          </cell>
        </row>
        <row r="1885">
          <cell r="E1885" t="str">
            <v>4063117</v>
          </cell>
        </row>
        <row r="1886">
          <cell r="E1886" t="str">
            <v>4062815</v>
          </cell>
        </row>
        <row r="1887">
          <cell r="E1887" t="str">
            <v>4033806</v>
          </cell>
        </row>
        <row r="1888">
          <cell r="E1888" t="str">
            <v>4204150</v>
          </cell>
        </row>
        <row r="1889">
          <cell r="E1889" t="str">
            <v>4204151</v>
          </cell>
        </row>
        <row r="1890">
          <cell r="E1890" t="str">
            <v>4208462</v>
          </cell>
        </row>
        <row r="1891">
          <cell r="E1891" t="str">
            <v>4197716</v>
          </cell>
        </row>
        <row r="1892">
          <cell r="E1892" t="str">
            <v>4197720</v>
          </cell>
        </row>
        <row r="1893">
          <cell r="E1893" t="str">
            <v>4136911</v>
          </cell>
        </row>
        <row r="1894">
          <cell r="E1894" t="str">
            <v>4297379</v>
          </cell>
        </row>
        <row r="1895">
          <cell r="E1895" t="str">
            <v>4297380</v>
          </cell>
        </row>
        <row r="1896">
          <cell r="E1896" t="str">
            <v>4204149</v>
          </cell>
        </row>
        <row r="1897">
          <cell r="E1897" t="str">
            <v>4158044</v>
          </cell>
        </row>
        <row r="1898">
          <cell r="E1898" t="str">
            <v>4022173</v>
          </cell>
        </row>
        <row r="1899">
          <cell r="E1899" t="str">
            <v>4204153</v>
          </cell>
        </row>
        <row r="1900">
          <cell r="E1900" t="str">
            <v>4514105</v>
          </cell>
        </row>
        <row r="1901">
          <cell r="E1901" t="str">
            <v>4055174</v>
          </cell>
        </row>
        <row r="1902">
          <cell r="E1902" t="str">
            <v>4066924</v>
          </cell>
        </row>
        <row r="1903">
          <cell r="E1903" t="str">
            <v>4089584</v>
          </cell>
        </row>
        <row r="1904">
          <cell r="E1904" t="str">
            <v>4110539</v>
          </cell>
        </row>
        <row r="1905">
          <cell r="E1905" t="str">
            <v>4193845</v>
          </cell>
        </row>
        <row r="1906">
          <cell r="E1906" t="str">
            <v>4197716</v>
          </cell>
        </row>
        <row r="1907">
          <cell r="E1907" t="str">
            <v>4107297</v>
          </cell>
        </row>
        <row r="1908">
          <cell r="E1908" t="str">
            <v>4196286</v>
          </cell>
        </row>
        <row r="1909">
          <cell r="E1909" t="str">
            <v>4196285</v>
          </cell>
        </row>
        <row r="1910">
          <cell r="E1910" t="str">
            <v>4204155</v>
          </cell>
        </row>
        <row r="1911">
          <cell r="E1911" t="str">
            <v>4297379</v>
          </cell>
        </row>
        <row r="1912">
          <cell r="E1912" t="str">
            <v>4297380</v>
          </cell>
        </row>
        <row r="1913">
          <cell r="E1913" t="str">
            <v>4193835</v>
          </cell>
        </row>
        <row r="1914">
          <cell r="E1914" t="str">
            <v>4207977</v>
          </cell>
        </row>
        <row r="1915">
          <cell r="E1915" t="str">
            <v>4193834</v>
          </cell>
        </row>
        <row r="1916">
          <cell r="E1916" t="str">
            <v>4207978</v>
          </cell>
        </row>
        <row r="1917">
          <cell r="E1917" t="str">
            <v>4204148</v>
          </cell>
        </row>
        <row r="1918">
          <cell r="E1918" t="str">
            <v>4204147</v>
          </cell>
        </row>
        <row r="1919">
          <cell r="E1919" t="str">
            <v>4204139</v>
          </cell>
        </row>
        <row r="1920">
          <cell r="E1920" t="str">
            <v>4158045</v>
          </cell>
        </row>
        <row r="1921">
          <cell r="E1921" t="str">
            <v>4187304</v>
          </cell>
        </row>
        <row r="1922">
          <cell r="E1922" t="str">
            <v>4197717</v>
          </cell>
        </row>
        <row r="1923">
          <cell r="E1923" t="str">
            <v>4089584</v>
          </cell>
        </row>
        <row r="1924">
          <cell r="E1924" t="str">
            <v>4204154</v>
          </cell>
        </row>
        <row r="1925">
          <cell r="E1925" t="str">
            <v>4142627</v>
          </cell>
        </row>
        <row r="1926">
          <cell r="E1926" t="str">
            <v>4197720</v>
          </cell>
        </row>
        <row r="1927">
          <cell r="E1927" t="str">
            <v>4136911</v>
          </cell>
        </row>
        <row r="1928">
          <cell r="E1928" t="str">
            <v>4196286</v>
          </cell>
        </row>
        <row r="1929">
          <cell r="E1929" t="str">
            <v>4196285</v>
          </cell>
        </row>
        <row r="1930">
          <cell r="E1930" t="str">
            <v>4297379</v>
          </cell>
        </row>
        <row r="1931">
          <cell r="E1931" t="str">
            <v>4297380</v>
          </cell>
        </row>
        <row r="1932">
          <cell r="E1932" t="str">
            <v>4204152</v>
          </cell>
        </row>
        <row r="1933">
          <cell r="E1933" t="str">
            <v>4151419</v>
          </cell>
        </row>
        <row r="1934">
          <cell r="E1934" t="str">
            <v>4136911</v>
          </cell>
        </row>
        <row r="1935">
          <cell r="E1935" t="str">
            <v>4204156</v>
          </cell>
        </row>
        <row r="1936">
          <cell r="E1936" t="str">
            <v>4196284</v>
          </cell>
        </row>
        <row r="1937">
          <cell r="E1937" t="str">
            <v>4055144</v>
          </cell>
        </row>
        <row r="1938">
          <cell r="E1938" t="str">
            <v>4141973</v>
          </cell>
        </row>
        <row r="1939">
          <cell r="E1939" t="str">
            <v>4204157</v>
          </cell>
        </row>
        <row r="1940">
          <cell r="E1940" t="str">
            <v>4204158</v>
          </cell>
        </row>
        <row r="1941">
          <cell r="E1941" t="str">
            <v>4297380</v>
          </cell>
        </row>
        <row r="1942">
          <cell r="E1942" t="str">
            <v>4297379</v>
          </cell>
        </row>
        <row r="1943">
          <cell r="E1943" t="str">
            <v>4066924</v>
          </cell>
        </row>
        <row r="1944">
          <cell r="E1944" t="str">
            <v>4066924</v>
          </cell>
        </row>
        <row r="1945">
          <cell r="E1945" t="str">
            <v>4196283</v>
          </cell>
        </row>
        <row r="1946">
          <cell r="E1946" t="str">
            <v>4055144</v>
          </cell>
        </row>
        <row r="1947">
          <cell r="E1947" t="str">
            <v>4141973</v>
          </cell>
        </row>
        <row r="1948">
          <cell r="E1948" t="str">
            <v>4098515</v>
          </cell>
        </row>
        <row r="1949">
          <cell r="E1949" t="str">
            <v>4153431</v>
          </cell>
        </row>
        <row r="1950">
          <cell r="E1950" t="str">
            <v>4157617</v>
          </cell>
        </row>
        <row r="1951">
          <cell r="E1951" t="str">
            <v>4297380</v>
          </cell>
        </row>
        <row r="1952">
          <cell r="E1952" t="str">
            <v>4297379</v>
          </cell>
        </row>
        <row r="1953">
          <cell r="E1953" t="str">
            <v>4292942</v>
          </cell>
        </row>
        <row r="1954">
          <cell r="E1954" t="str">
            <v>4185576</v>
          </cell>
        </row>
        <row r="1955">
          <cell r="E1955" t="str">
            <v>992312</v>
          </cell>
        </row>
        <row r="1956">
          <cell r="E1956" t="str">
            <v>4192990</v>
          </cell>
        </row>
        <row r="1957">
          <cell r="E1957" t="str">
            <v>4192992</v>
          </cell>
        </row>
        <row r="1958">
          <cell r="E1958" t="str">
            <v>4192993</v>
          </cell>
        </row>
        <row r="1959">
          <cell r="E1959" t="str">
            <v>4192995</v>
          </cell>
        </row>
        <row r="1960">
          <cell r="E1960" t="str">
            <v>4192994</v>
          </cell>
        </row>
        <row r="1961">
          <cell r="E1961" t="str">
            <v>4192996</v>
          </cell>
        </row>
        <row r="1962">
          <cell r="E1962" t="str">
            <v>49960</v>
          </cell>
        </row>
        <row r="1963">
          <cell r="E1963" t="str">
            <v>4514700</v>
          </cell>
        </row>
        <row r="1964">
          <cell r="E1964" t="str">
            <v>4192997</v>
          </cell>
        </row>
        <row r="1965">
          <cell r="E1965" t="str">
            <v>4292038</v>
          </cell>
        </row>
        <row r="1966">
          <cell r="E1966" t="str">
            <v>486702</v>
          </cell>
        </row>
        <row r="1967">
          <cell r="E1967" t="str">
            <v>4514700</v>
          </cell>
        </row>
        <row r="1968">
          <cell r="E1968" t="str">
            <v>4192035</v>
          </cell>
        </row>
        <row r="1969">
          <cell r="E1969" t="str">
            <v>4192034</v>
          </cell>
        </row>
        <row r="1970">
          <cell r="E1970" t="str">
            <v>4193100</v>
          </cell>
        </row>
        <row r="1971">
          <cell r="E1971" t="str">
            <v>4193101</v>
          </cell>
        </row>
        <row r="1972">
          <cell r="E1972" t="str">
            <v>4173031</v>
          </cell>
        </row>
        <row r="1973">
          <cell r="E1973" t="str">
            <v>4195806</v>
          </cell>
        </row>
        <row r="1974">
          <cell r="E1974" t="str">
            <v>4508492</v>
          </cell>
        </row>
        <row r="1975">
          <cell r="E1975" t="str">
            <v>4195805</v>
          </cell>
        </row>
        <row r="1976">
          <cell r="E1976" t="str">
            <v>4185576</v>
          </cell>
        </row>
        <row r="1977">
          <cell r="E1977" t="str">
            <v>4055311</v>
          </cell>
        </row>
        <row r="1978">
          <cell r="E1978" t="str">
            <v>984219</v>
          </cell>
        </row>
        <row r="1979">
          <cell r="E1979" t="str">
            <v>4176969</v>
          </cell>
        </row>
        <row r="1980">
          <cell r="E1980" t="str">
            <v>4176968</v>
          </cell>
        </row>
        <row r="1981">
          <cell r="E1981" t="str">
            <v>986952</v>
          </cell>
        </row>
        <row r="1982">
          <cell r="E1982" t="str">
            <v>969205</v>
          </cell>
        </row>
        <row r="1983">
          <cell r="E1983" t="str">
            <v>4158200</v>
          </cell>
        </row>
        <row r="1984">
          <cell r="E1984" t="str">
            <v>4159073</v>
          </cell>
        </row>
        <row r="1985">
          <cell r="E1985" t="str">
            <v>49960</v>
          </cell>
        </row>
        <row r="1986">
          <cell r="E1986" t="str">
            <v>4125693</v>
          </cell>
        </row>
        <row r="1987">
          <cell r="E1987" t="str">
            <v>4198244</v>
          </cell>
        </row>
        <row r="1988">
          <cell r="E1988" t="str">
            <v>4192697</v>
          </cell>
        </row>
        <row r="1989">
          <cell r="E1989" t="str">
            <v>4192698</v>
          </cell>
        </row>
        <row r="1990">
          <cell r="E1990" t="str">
            <v>4192699</v>
          </cell>
        </row>
        <row r="1991">
          <cell r="E1991" t="str">
            <v>4508492</v>
          </cell>
        </row>
        <row r="1992">
          <cell r="E1992" t="str">
            <v>4507085</v>
          </cell>
        </row>
        <row r="1993">
          <cell r="E1993" t="str">
            <v>4192696</v>
          </cell>
        </row>
        <row r="1994">
          <cell r="E1994" t="str">
            <v>4170023</v>
          </cell>
        </row>
        <row r="1995">
          <cell r="E1995" t="str">
            <v>4502672</v>
          </cell>
        </row>
        <row r="1996">
          <cell r="E1996" t="str">
            <v>4502673</v>
          </cell>
        </row>
        <row r="1997">
          <cell r="E1997" t="str">
            <v>992313</v>
          </cell>
        </row>
        <row r="1998">
          <cell r="E1998" t="str">
            <v>4192700</v>
          </cell>
        </row>
        <row r="1999">
          <cell r="E1999" t="str">
            <v>4514700</v>
          </cell>
        </row>
        <row r="2000">
          <cell r="E2000" t="str">
            <v>4286629</v>
          </cell>
        </row>
        <row r="2001">
          <cell r="E2001" t="str">
            <v>4286627</v>
          </cell>
        </row>
        <row r="2002">
          <cell r="E2002" t="str">
            <v>4286630</v>
          </cell>
        </row>
        <row r="2003">
          <cell r="E2003" t="str">
            <v>4286628</v>
          </cell>
        </row>
        <row r="2004">
          <cell r="E2004" t="str">
            <v>986953</v>
          </cell>
        </row>
        <row r="2005">
          <cell r="E2005" t="str">
            <v>4055312</v>
          </cell>
        </row>
        <row r="2006">
          <cell r="E2006" t="str">
            <v>4157963</v>
          </cell>
        </row>
        <row r="2007">
          <cell r="E2007" t="str">
            <v>4267281</v>
          </cell>
        </row>
        <row r="2008">
          <cell r="E2008" t="str">
            <v>4255686</v>
          </cell>
        </row>
        <row r="2009">
          <cell r="E2009" t="str">
            <v>4119004</v>
          </cell>
        </row>
        <row r="2010">
          <cell r="E2010" t="str">
            <v>4149521</v>
          </cell>
        </row>
        <row r="2011">
          <cell r="E2011" t="str">
            <v>4291404</v>
          </cell>
        </row>
        <row r="2012">
          <cell r="E2012" t="str">
            <v>4291384</v>
          </cell>
        </row>
        <row r="2013">
          <cell r="E2013" t="str">
            <v>4291385</v>
          </cell>
        </row>
        <row r="2014">
          <cell r="E2014" t="str">
            <v>4341648</v>
          </cell>
        </row>
        <row r="2015">
          <cell r="E2015" t="str">
            <v>4264388</v>
          </cell>
        </row>
        <row r="2016">
          <cell r="E2016" t="str">
            <v>4031771</v>
          </cell>
        </row>
        <row r="2017">
          <cell r="E2017" t="str">
            <v>4275750</v>
          </cell>
        </row>
        <row r="2018">
          <cell r="E2018" t="str">
            <v>4271491</v>
          </cell>
        </row>
        <row r="2019">
          <cell r="E2019" t="str">
            <v>4031771</v>
          </cell>
        </row>
        <row r="2020">
          <cell r="E2020" t="str">
            <v>4294092</v>
          </cell>
        </row>
        <row r="2021">
          <cell r="E2021" t="str">
            <v>4271489</v>
          </cell>
        </row>
        <row r="2022">
          <cell r="E2022" t="str">
            <v>4261585</v>
          </cell>
        </row>
        <row r="2023">
          <cell r="E2023" t="str">
            <v>4245629</v>
          </cell>
        </row>
        <row r="2024">
          <cell r="E2024" t="str">
            <v>4187223</v>
          </cell>
        </row>
        <row r="2025">
          <cell r="E2025" t="str">
            <v>4192881</v>
          </cell>
        </row>
        <row r="2026">
          <cell r="E2026" t="str">
            <v>4504289</v>
          </cell>
        </row>
        <row r="2027">
          <cell r="E2027" t="str">
            <v>4131662</v>
          </cell>
        </row>
        <row r="2028">
          <cell r="E2028" t="str">
            <v>4129941</v>
          </cell>
        </row>
        <row r="2029">
          <cell r="E2029" t="str">
            <v>4129942</v>
          </cell>
        </row>
        <row r="2030">
          <cell r="E2030" t="str">
            <v>4191728</v>
          </cell>
        </row>
        <row r="2031">
          <cell r="E2031" t="str">
            <v xml:space="preserve">A890022 </v>
          </cell>
        </row>
        <row r="2032">
          <cell r="E2032" t="str">
            <v>4204857</v>
          </cell>
        </row>
        <row r="2033">
          <cell r="E2033" t="str">
            <v>4257115</v>
          </cell>
        </row>
        <row r="2034">
          <cell r="E2034" t="str">
            <v>4099039</v>
          </cell>
        </row>
        <row r="2035">
          <cell r="E2035" t="str">
            <v>4224238</v>
          </cell>
        </row>
        <row r="2036">
          <cell r="E2036" t="str">
            <v>4253135</v>
          </cell>
        </row>
        <row r="2037">
          <cell r="E2037" t="str">
            <v>4141171</v>
          </cell>
        </row>
        <row r="2038">
          <cell r="E2038" t="str">
            <v>4141171</v>
          </cell>
        </row>
        <row r="2039">
          <cell r="E2039" t="str">
            <v>4506418</v>
          </cell>
        </row>
        <row r="2040">
          <cell r="E2040" t="str">
            <v>4138938</v>
          </cell>
        </row>
        <row r="2041">
          <cell r="E2041" t="str">
            <v>4249968</v>
          </cell>
        </row>
        <row r="2042">
          <cell r="E2042" t="str">
            <v>4149335</v>
          </cell>
        </row>
        <row r="2043">
          <cell r="E2043" t="str">
            <v>4252177</v>
          </cell>
        </row>
        <row r="2044">
          <cell r="E2044" t="str">
            <v>4237456</v>
          </cell>
        </row>
        <row r="2045">
          <cell r="E2045" t="str">
            <v xml:space="preserve">L34229  </v>
          </cell>
        </row>
        <row r="2046">
          <cell r="E2046" t="str">
            <v xml:space="preserve">L83044  </v>
          </cell>
        </row>
        <row r="2047">
          <cell r="E2047" t="str">
            <v>4291955</v>
          </cell>
        </row>
        <row r="2048">
          <cell r="E2048" t="str">
            <v>4246262</v>
          </cell>
        </row>
        <row r="2049">
          <cell r="E2049" t="str">
            <v>4241883</v>
          </cell>
        </row>
        <row r="2050">
          <cell r="E2050" t="str">
            <v>4187554</v>
          </cell>
        </row>
        <row r="2051">
          <cell r="E2051" t="str">
            <v>4116595</v>
          </cell>
        </row>
        <row r="2052">
          <cell r="E2052" t="str">
            <v>4187880</v>
          </cell>
        </row>
        <row r="2053">
          <cell r="E2053" t="str">
            <v>4501785</v>
          </cell>
        </row>
        <row r="2054">
          <cell r="E2054" t="str">
            <v>4199523</v>
          </cell>
        </row>
        <row r="2055">
          <cell r="E2055" t="str">
            <v>4268355</v>
          </cell>
        </row>
        <row r="2056">
          <cell r="E2056" t="str">
            <v>4187616</v>
          </cell>
        </row>
        <row r="2057">
          <cell r="E2057" t="str">
            <v>4300824</v>
          </cell>
        </row>
        <row r="2058">
          <cell r="E2058" t="str">
            <v>4294068</v>
          </cell>
        </row>
        <row r="2059">
          <cell r="E2059" t="str">
            <v>4300829</v>
          </cell>
        </row>
        <row r="2060">
          <cell r="E2060" t="str">
            <v>4300831</v>
          </cell>
        </row>
        <row r="2061">
          <cell r="E2061" t="str">
            <v>4159501</v>
          </cell>
        </row>
        <row r="2062">
          <cell r="E2062" t="str">
            <v>4188955</v>
          </cell>
        </row>
        <row r="2063">
          <cell r="E2063" t="str">
            <v>4055270</v>
          </cell>
        </row>
        <row r="2064">
          <cell r="E2064" t="str">
            <v>4022542</v>
          </cell>
        </row>
        <row r="2065">
          <cell r="E2065" t="str">
            <v>4066924</v>
          </cell>
        </row>
        <row r="2066">
          <cell r="E2066" t="str">
            <v>4193855</v>
          </cell>
        </row>
        <row r="2067">
          <cell r="E2067" t="str">
            <v>4297382</v>
          </cell>
        </row>
        <row r="2068">
          <cell r="E2068" t="str">
            <v>4302460</v>
          </cell>
        </row>
        <row r="2069">
          <cell r="E2069" t="str">
            <v xml:space="preserve">O443801 </v>
          </cell>
        </row>
        <row r="2070">
          <cell r="E2070" t="str">
            <v xml:space="preserve">O403203 </v>
          </cell>
        </row>
        <row r="2071">
          <cell r="E2071" t="str">
            <v xml:space="preserve">O403201 </v>
          </cell>
        </row>
        <row r="2072">
          <cell r="E2072" t="str">
            <v xml:space="preserve">O259915 </v>
          </cell>
        </row>
        <row r="2073">
          <cell r="E2073" t="str">
            <v>984338</v>
          </cell>
        </row>
        <row r="2074">
          <cell r="E2074" t="str">
            <v>4506320</v>
          </cell>
        </row>
        <row r="2075">
          <cell r="E2075" t="str">
            <v xml:space="preserve">O259916 </v>
          </cell>
        </row>
        <row r="2076">
          <cell r="E2076" t="str">
            <v>4506408</v>
          </cell>
        </row>
        <row r="2077">
          <cell r="E2077" t="str">
            <v>4506418</v>
          </cell>
        </row>
        <row r="2078">
          <cell r="E2078" t="str">
            <v xml:space="preserve">A811025 </v>
          </cell>
        </row>
        <row r="2079">
          <cell r="E2079" t="str">
            <v>1018390</v>
          </cell>
        </row>
        <row r="2080">
          <cell r="E2080" t="str">
            <v>4513785</v>
          </cell>
        </row>
        <row r="2081">
          <cell r="E2081" t="str">
            <v>3034060</v>
          </cell>
        </row>
        <row r="2082">
          <cell r="E2082" t="str">
            <v>4182603</v>
          </cell>
        </row>
        <row r="2083">
          <cell r="E2083" t="str">
            <v>4182266</v>
          </cell>
        </row>
        <row r="2084">
          <cell r="E2084" t="str">
            <v>4182600</v>
          </cell>
        </row>
        <row r="2085">
          <cell r="E2085" t="str">
            <v>4182272</v>
          </cell>
        </row>
        <row r="2086">
          <cell r="E2086" t="str">
            <v>4182270</v>
          </cell>
        </row>
        <row r="2087">
          <cell r="E2087" t="str">
            <v>4182608</v>
          </cell>
        </row>
        <row r="2088">
          <cell r="E2088" t="str">
            <v>4114411</v>
          </cell>
        </row>
        <row r="2089">
          <cell r="E2089" t="str">
            <v>2022064</v>
          </cell>
        </row>
        <row r="2090">
          <cell r="E2090" t="str">
            <v>2022067</v>
          </cell>
        </row>
        <row r="2091">
          <cell r="E2091" t="str">
            <v>4182602</v>
          </cell>
        </row>
        <row r="2092">
          <cell r="E2092" t="str">
            <v>3034058</v>
          </cell>
        </row>
        <row r="2093">
          <cell r="E2093" t="str">
            <v>4182265</v>
          </cell>
        </row>
        <row r="2094">
          <cell r="E2094" t="str">
            <v>4180399</v>
          </cell>
        </row>
        <row r="2095">
          <cell r="E2095" t="str">
            <v>4182273</v>
          </cell>
        </row>
        <row r="2096">
          <cell r="E2096" t="str">
            <v>4182271</v>
          </cell>
        </row>
        <row r="2097">
          <cell r="E2097" t="str">
            <v>2022063</v>
          </cell>
        </row>
        <row r="2098">
          <cell r="E2098" t="str">
            <v>4182604</v>
          </cell>
        </row>
        <row r="2099">
          <cell r="E2099" t="str">
            <v>4180354</v>
          </cell>
        </row>
        <row r="2100">
          <cell r="E2100" t="str">
            <v>3034064</v>
          </cell>
        </row>
        <row r="2101">
          <cell r="E2101" t="str">
            <v>3034059</v>
          </cell>
        </row>
        <row r="2102">
          <cell r="E2102" t="str">
            <v xml:space="preserve">A810230 </v>
          </cell>
        </row>
        <row r="2103">
          <cell r="E2103" t="str">
            <v>4182609</v>
          </cell>
        </row>
        <row r="2104">
          <cell r="E2104" t="str">
            <v>425176</v>
          </cell>
        </row>
        <row r="2105">
          <cell r="E2105" t="str">
            <v>428028</v>
          </cell>
        </row>
        <row r="2106">
          <cell r="E2106" t="str">
            <v>4301937</v>
          </cell>
        </row>
        <row r="2107">
          <cell r="E2107" t="str">
            <v>969424</v>
          </cell>
        </row>
        <row r="2108">
          <cell r="E2108" t="str">
            <v>4094325</v>
          </cell>
        </row>
        <row r="2109">
          <cell r="E2109" t="str">
            <v>4261965</v>
          </cell>
        </row>
        <row r="2110">
          <cell r="E2110" t="str">
            <v>1018162</v>
          </cell>
        </row>
        <row r="2111">
          <cell r="E2111" t="str">
            <v>4182267</v>
          </cell>
        </row>
        <row r="2112">
          <cell r="E2112" t="str">
            <v>4182269</v>
          </cell>
        </row>
        <row r="2113">
          <cell r="E2113" t="str">
            <v>4082698</v>
          </cell>
        </row>
        <row r="2114">
          <cell r="E2114" t="str">
            <v>4178019</v>
          </cell>
        </row>
        <row r="2115">
          <cell r="E2115" t="str">
            <v>4182601</v>
          </cell>
        </row>
        <row r="2116">
          <cell r="E2116" t="str">
            <v>4182605</v>
          </cell>
        </row>
        <row r="2117">
          <cell r="E2117" t="str">
            <v>4182448</v>
          </cell>
        </row>
        <row r="2118">
          <cell r="E2118" t="str">
            <v>4182449</v>
          </cell>
        </row>
        <row r="2119">
          <cell r="E2119" t="str">
            <v>4178018</v>
          </cell>
        </row>
        <row r="2120">
          <cell r="E2120" t="str">
            <v>429135</v>
          </cell>
        </row>
        <row r="2121">
          <cell r="E2121" t="str">
            <v>4187804</v>
          </cell>
        </row>
        <row r="2122">
          <cell r="E2122" t="str">
            <v>4187805</v>
          </cell>
        </row>
        <row r="2123">
          <cell r="E2123" t="str">
            <v>9066270</v>
          </cell>
        </row>
        <row r="2124">
          <cell r="E2124" t="str">
            <v>2022226</v>
          </cell>
        </row>
        <row r="2125">
          <cell r="E2125" t="str">
            <v>4140453</v>
          </cell>
        </row>
        <row r="2126">
          <cell r="E2126" t="str">
            <v>2022199</v>
          </cell>
        </row>
        <row r="2127">
          <cell r="E2127" t="str">
            <v>4184982</v>
          </cell>
        </row>
        <row r="2128">
          <cell r="E2128" t="str">
            <v>4193802</v>
          </cell>
        </row>
        <row r="2129">
          <cell r="E2129" t="str">
            <v>3034554</v>
          </cell>
        </row>
        <row r="2130">
          <cell r="E2130" t="str">
            <v>4188912</v>
          </cell>
        </row>
        <row r="2131">
          <cell r="E2131" t="str">
            <v>4188911</v>
          </cell>
        </row>
        <row r="2132">
          <cell r="E2132" t="str">
            <v>4188910</v>
          </cell>
        </row>
        <row r="2133">
          <cell r="E2133" t="str">
            <v>4188909</v>
          </cell>
        </row>
        <row r="2134">
          <cell r="E2134" t="str">
            <v>4188908</v>
          </cell>
        </row>
        <row r="2135">
          <cell r="E2135" t="str">
            <v>4189924</v>
          </cell>
        </row>
        <row r="2136">
          <cell r="E2136" t="str">
            <v>4187600</v>
          </cell>
        </row>
        <row r="2137">
          <cell r="E2137" t="str">
            <v>4187602</v>
          </cell>
        </row>
        <row r="2138">
          <cell r="E2138" t="str">
            <v>4187601</v>
          </cell>
        </row>
        <row r="2139">
          <cell r="E2139" t="str">
            <v>4187599</v>
          </cell>
        </row>
        <row r="2140">
          <cell r="E2140" t="str">
            <v>4061124</v>
          </cell>
        </row>
        <row r="2141">
          <cell r="E2141" t="str">
            <v>4140486</v>
          </cell>
        </row>
        <row r="2142">
          <cell r="E2142" t="str">
            <v>988850</v>
          </cell>
        </row>
        <row r="2143">
          <cell r="E2143" t="str">
            <v>4187399</v>
          </cell>
        </row>
        <row r="2144">
          <cell r="E2144" t="str">
            <v>4188900</v>
          </cell>
        </row>
        <row r="2145">
          <cell r="E2145" t="str">
            <v>4189176</v>
          </cell>
        </row>
        <row r="2146">
          <cell r="E2146" t="str">
            <v>4197754</v>
          </cell>
        </row>
        <row r="2147">
          <cell r="E2147" t="str">
            <v>9034570</v>
          </cell>
        </row>
        <row r="2148">
          <cell r="E2148" t="str">
            <v>4188902</v>
          </cell>
        </row>
        <row r="2149">
          <cell r="E2149" t="str">
            <v>4102503</v>
          </cell>
        </row>
        <row r="2150">
          <cell r="E2150" t="str">
            <v>4189175</v>
          </cell>
        </row>
        <row r="2151">
          <cell r="E2151" t="str">
            <v>4187397</v>
          </cell>
        </row>
        <row r="2152">
          <cell r="E2152" t="str">
            <v>4159580</v>
          </cell>
        </row>
        <row r="2153">
          <cell r="E2153" t="str">
            <v>4197753</v>
          </cell>
        </row>
        <row r="2154">
          <cell r="E2154" t="str">
            <v>4188903</v>
          </cell>
        </row>
        <row r="2155">
          <cell r="E2155" t="str">
            <v>4186043</v>
          </cell>
        </row>
        <row r="2156">
          <cell r="E2156" t="str">
            <v>4141973</v>
          </cell>
        </row>
        <row r="2157">
          <cell r="E2157" t="str">
            <v>4061873</v>
          </cell>
        </row>
        <row r="2158">
          <cell r="E2158" t="str">
            <v>4108341</v>
          </cell>
        </row>
        <row r="2159">
          <cell r="E2159" t="str">
            <v>4065386</v>
          </cell>
        </row>
        <row r="2160">
          <cell r="E2160" t="str">
            <v>4070349</v>
          </cell>
        </row>
        <row r="2161">
          <cell r="E2161" t="str">
            <v>9106007</v>
          </cell>
        </row>
        <row r="2162">
          <cell r="E2162" t="str">
            <v xml:space="preserve">A590924 </v>
          </cell>
        </row>
        <row r="2163">
          <cell r="E2163" t="str">
            <v xml:space="preserve">J912470 </v>
          </cell>
        </row>
        <row r="2164">
          <cell r="E2164" t="str">
            <v>9066272</v>
          </cell>
        </row>
        <row r="2165">
          <cell r="E2165" t="str">
            <v>4114413</v>
          </cell>
        </row>
        <row r="2166">
          <cell r="E2166" t="str">
            <v>4184861</v>
          </cell>
        </row>
        <row r="2167">
          <cell r="E2167" t="str">
            <v>4199538</v>
          </cell>
        </row>
        <row r="2168">
          <cell r="E2168" t="str">
            <v>456336</v>
          </cell>
        </row>
        <row r="2169">
          <cell r="E2169" t="str">
            <v xml:space="preserve">M222465 </v>
          </cell>
        </row>
        <row r="2170">
          <cell r="E2170" t="str">
            <v xml:space="preserve">J951024 </v>
          </cell>
        </row>
        <row r="2171">
          <cell r="E2171" t="str">
            <v>4184357</v>
          </cell>
        </row>
        <row r="2172">
          <cell r="E2172" t="str">
            <v>4286474</v>
          </cell>
        </row>
        <row r="2173">
          <cell r="E2173" t="str">
            <v>4113164</v>
          </cell>
        </row>
        <row r="2174">
          <cell r="E2174" t="str">
            <v>4252695</v>
          </cell>
        </row>
        <row r="2175">
          <cell r="E2175" t="str">
            <v>972658</v>
          </cell>
        </row>
        <row r="2176">
          <cell r="E2176" t="str">
            <v xml:space="preserve">A810250 </v>
          </cell>
        </row>
        <row r="2177">
          <cell r="E2177" t="str">
            <v>992444</v>
          </cell>
        </row>
        <row r="2178">
          <cell r="E2178" t="str">
            <v>4297383</v>
          </cell>
        </row>
        <row r="2179">
          <cell r="E2179" t="str">
            <v>4297380</v>
          </cell>
        </row>
        <row r="2180">
          <cell r="E2180" t="str">
            <v>4188975</v>
          </cell>
        </row>
        <row r="2181">
          <cell r="E2181" t="str">
            <v>4188976</v>
          </cell>
        </row>
        <row r="2182">
          <cell r="E2182" t="str">
            <v>4510169</v>
          </cell>
        </row>
        <row r="2183">
          <cell r="E2183" t="str">
            <v>4067832</v>
          </cell>
        </row>
        <row r="2184">
          <cell r="E2184" t="str">
            <v>4154682</v>
          </cell>
        </row>
        <row r="2185">
          <cell r="E2185" t="str">
            <v>4059677</v>
          </cell>
        </row>
        <row r="2186">
          <cell r="E2186" t="str">
            <v>4067472</v>
          </cell>
        </row>
        <row r="2187">
          <cell r="E2187" t="str">
            <v>4160604</v>
          </cell>
        </row>
        <row r="2188">
          <cell r="E2188" t="str">
            <v>4158050</v>
          </cell>
        </row>
        <row r="2189">
          <cell r="E2189" t="str">
            <v>4197756</v>
          </cell>
        </row>
        <row r="2190">
          <cell r="E2190" t="str">
            <v>4197755</v>
          </cell>
        </row>
        <row r="2191">
          <cell r="E2191" t="str">
            <v>4197757</v>
          </cell>
        </row>
        <row r="2192">
          <cell r="E2192" t="str">
            <v>4197758</v>
          </cell>
        </row>
        <row r="2193">
          <cell r="E2193" t="str">
            <v>4510169</v>
          </cell>
        </row>
        <row r="2194">
          <cell r="E2194" t="str">
            <v>4157652</v>
          </cell>
        </row>
        <row r="2195">
          <cell r="E2195" t="str">
            <v>4157688</v>
          </cell>
        </row>
        <row r="2196">
          <cell r="E2196" t="str">
            <v>4187335</v>
          </cell>
        </row>
        <row r="2197">
          <cell r="E2197" t="str">
            <v>4027941</v>
          </cell>
        </row>
        <row r="2198">
          <cell r="E2198" t="str">
            <v>4121859</v>
          </cell>
        </row>
        <row r="2199">
          <cell r="E2199" t="str">
            <v>4193394</v>
          </cell>
        </row>
        <row r="2200">
          <cell r="E2200" t="str">
            <v>4194051</v>
          </cell>
        </row>
        <row r="2201">
          <cell r="E2201" t="str">
            <v>4194029</v>
          </cell>
        </row>
        <row r="2202">
          <cell r="E2202" t="str">
            <v>4194030</v>
          </cell>
        </row>
        <row r="2203">
          <cell r="E2203" t="str">
            <v>4193448</v>
          </cell>
        </row>
        <row r="2204">
          <cell r="E2204" t="str">
            <v>4204267</v>
          </cell>
        </row>
        <row r="2205">
          <cell r="E2205" t="str">
            <v>4193395</v>
          </cell>
        </row>
        <row r="2206">
          <cell r="E2206" t="str">
            <v>4194050</v>
          </cell>
        </row>
        <row r="2207">
          <cell r="E2207" t="str">
            <v>4194030</v>
          </cell>
        </row>
        <row r="2208">
          <cell r="E2208" t="str">
            <v>4193448</v>
          </cell>
        </row>
        <row r="2209">
          <cell r="E2209" t="str">
            <v>3036477</v>
          </cell>
        </row>
        <row r="2210">
          <cell r="E2210" t="str">
            <v>8036661</v>
          </cell>
        </row>
        <row r="2211">
          <cell r="E2211" t="str">
            <v>8036662</v>
          </cell>
        </row>
        <row r="2212">
          <cell r="E2212" t="str">
            <v>8036663</v>
          </cell>
        </row>
        <row r="2213">
          <cell r="E2213" t="str">
            <v>4243256</v>
          </cell>
        </row>
        <row r="2214">
          <cell r="E2214" t="str">
            <v>4243257</v>
          </cell>
        </row>
        <row r="2215">
          <cell r="E2215" t="str">
            <v>8036664</v>
          </cell>
        </row>
        <row r="2216">
          <cell r="E2216" t="str">
            <v>8056433</v>
          </cell>
        </row>
        <row r="2217">
          <cell r="E2217" t="str">
            <v>4244029</v>
          </cell>
        </row>
        <row r="2218">
          <cell r="E2218" t="str">
            <v xml:space="preserve">J901214 </v>
          </cell>
        </row>
        <row r="2219">
          <cell r="E2219" t="str">
            <v>3038925</v>
          </cell>
        </row>
        <row r="2220">
          <cell r="E2220" t="str">
            <v>3038398</v>
          </cell>
        </row>
        <row r="2221">
          <cell r="E2221" t="str">
            <v>4201092</v>
          </cell>
        </row>
        <row r="2222">
          <cell r="E2222" t="str">
            <v>449490</v>
          </cell>
        </row>
        <row r="2223">
          <cell r="E2223" t="str">
            <v xml:space="preserve">J950012 </v>
          </cell>
        </row>
        <row r="2224">
          <cell r="E2224" t="str">
            <v xml:space="preserve">J901214 </v>
          </cell>
        </row>
        <row r="2225">
          <cell r="E2225" t="str">
            <v>4194029</v>
          </cell>
        </row>
        <row r="2226">
          <cell r="E2226" t="str">
            <v xml:space="preserve">A811300 </v>
          </cell>
        </row>
        <row r="2227">
          <cell r="E2227" t="str">
            <v>4193394</v>
          </cell>
        </row>
        <row r="2228">
          <cell r="E2228" t="str">
            <v>4194051</v>
          </cell>
        </row>
        <row r="2229">
          <cell r="E2229" t="str">
            <v>4194029</v>
          </cell>
        </row>
        <row r="2230">
          <cell r="E2230" t="str">
            <v>8036665</v>
          </cell>
        </row>
        <row r="2231">
          <cell r="E2231" t="str">
            <v>3036478</v>
          </cell>
        </row>
        <row r="2232">
          <cell r="E2232" t="str">
            <v>4194028</v>
          </cell>
        </row>
        <row r="2233">
          <cell r="E2233" t="str">
            <v xml:space="preserve">A811280 </v>
          </cell>
        </row>
        <row r="2234">
          <cell r="E2234" t="str">
            <v>4053595</v>
          </cell>
        </row>
        <row r="2235">
          <cell r="E2235" t="str">
            <v>4292384</v>
          </cell>
        </row>
        <row r="2236">
          <cell r="E2236" t="str">
            <v>4292385</v>
          </cell>
        </row>
        <row r="2237">
          <cell r="E2237" t="str">
            <v>4205304</v>
          </cell>
        </row>
        <row r="2238">
          <cell r="E2238" t="str">
            <v>4205305</v>
          </cell>
        </row>
        <row r="2239">
          <cell r="E2239" t="str">
            <v>4510169</v>
          </cell>
        </row>
        <row r="2240">
          <cell r="E2240" t="str">
            <v>4192000</v>
          </cell>
        </row>
        <row r="2241">
          <cell r="E2241" t="str">
            <v>4190295</v>
          </cell>
        </row>
        <row r="2242">
          <cell r="E2242" t="str">
            <v>4295867</v>
          </cell>
        </row>
        <row r="2243">
          <cell r="E2243" t="str">
            <v>4197789</v>
          </cell>
        </row>
        <row r="2244">
          <cell r="E2244" t="str">
            <v>4510169</v>
          </cell>
        </row>
        <row r="2245">
          <cell r="E2245" t="str">
            <v>4510170</v>
          </cell>
        </row>
        <row r="2246">
          <cell r="E2246" t="str">
            <v>4192003</v>
          </cell>
        </row>
        <row r="2247">
          <cell r="E2247" t="str">
            <v>4508805</v>
          </cell>
        </row>
        <row r="2248">
          <cell r="E2248" t="str">
            <v>4190294</v>
          </cell>
        </row>
        <row r="2249">
          <cell r="E2249" t="str">
            <v>4190293</v>
          </cell>
        </row>
        <row r="2250">
          <cell r="E2250" t="str">
            <v>4190297</v>
          </cell>
        </row>
        <row r="2251">
          <cell r="E2251" t="str">
            <v>4510169</v>
          </cell>
        </row>
        <row r="2252">
          <cell r="E2252" t="str">
            <v>4510170</v>
          </cell>
        </row>
        <row r="2253">
          <cell r="E2253" t="str">
            <v>4192025</v>
          </cell>
        </row>
        <row r="2254">
          <cell r="E2254" t="str">
            <v>4204171</v>
          </cell>
        </row>
        <row r="2255">
          <cell r="E2255" t="str">
            <v>4205390</v>
          </cell>
        </row>
        <row r="2256">
          <cell r="E2256" t="str">
            <v>4188990</v>
          </cell>
        </row>
        <row r="2257">
          <cell r="E2257" t="str">
            <v>4121859</v>
          </cell>
        </row>
        <row r="2258">
          <cell r="E2258" t="str">
            <v>4188954</v>
          </cell>
        </row>
        <row r="2259">
          <cell r="E2259" t="str">
            <v>4055298</v>
          </cell>
        </row>
        <row r="2260">
          <cell r="E2260" t="str">
            <v>4062815</v>
          </cell>
        </row>
        <row r="2261">
          <cell r="E2261" t="str">
            <v>4015462</v>
          </cell>
        </row>
        <row r="2262">
          <cell r="E2262" t="str">
            <v>4015464</v>
          </cell>
        </row>
        <row r="2263">
          <cell r="E2263" t="str">
            <v>4055174</v>
          </cell>
        </row>
        <row r="2264">
          <cell r="E2264" t="str">
            <v>4159547</v>
          </cell>
        </row>
        <row r="2265">
          <cell r="E2265" t="str">
            <v>4015462</v>
          </cell>
        </row>
        <row r="2266">
          <cell r="E2266" t="str">
            <v>4158043</v>
          </cell>
        </row>
        <row r="2267">
          <cell r="E2267" t="str">
            <v>4197738</v>
          </cell>
        </row>
        <row r="2268">
          <cell r="E2268" t="str">
            <v>8036661</v>
          </cell>
        </row>
        <row r="2269">
          <cell r="E2269" t="str">
            <v>4204297</v>
          </cell>
        </row>
        <row r="2270">
          <cell r="E2270" t="str">
            <v>8043109</v>
          </cell>
        </row>
        <row r="2271">
          <cell r="E2271" t="str">
            <v>4195377</v>
          </cell>
        </row>
        <row r="2272">
          <cell r="E2272" t="str">
            <v>4193394</v>
          </cell>
        </row>
        <row r="2273">
          <cell r="E2273" t="str">
            <v>4194051</v>
          </cell>
        </row>
        <row r="2274">
          <cell r="E2274" t="str">
            <v>4194029</v>
          </cell>
        </row>
        <row r="2275">
          <cell r="E2275" t="str">
            <v>4228549</v>
          </cell>
        </row>
        <row r="2276">
          <cell r="E2276" t="str">
            <v>4194029</v>
          </cell>
        </row>
        <row r="2277">
          <cell r="E2277" t="str">
            <v>3043354</v>
          </cell>
        </row>
        <row r="2278">
          <cell r="E2278" t="str">
            <v>8043111</v>
          </cell>
        </row>
        <row r="2279">
          <cell r="E2279" t="str">
            <v>4194029</v>
          </cell>
        </row>
        <row r="2280">
          <cell r="E2280" t="str">
            <v xml:space="preserve">A811300 </v>
          </cell>
        </row>
        <row r="2281">
          <cell r="E2281" t="str">
            <v>4510169</v>
          </cell>
        </row>
        <row r="2282">
          <cell r="E2282" t="str">
            <v>4510170</v>
          </cell>
        </row>
        <row r="2283">
          <cell r="E2283" t="str">
            <v>4295867</v>
          </cell>
        </row>
        <row r="2284">
          <cell r="E2284" t="str">
            <v>4231296</v>
          </cell>
        </row>
        <row r="2285">
          <cell r="E2285" t="str">
            <v>4231298</v>
          </cell>
        </row>
        <row r="2286">
          <cell r="E2286" t="str">
            <v>4190293</v>
          </cell>
        </row>
        <row r="2287">
          <cell r="E2287" t="str">
            <v>4190297</v>
          </cell>
        </row>
        <row r="2288">
          <cell r="E2288" t="str">
            <v>4231299</v>
          </cell>
        </row>
        <row r="2289">
          <cell r="E2289" t="str">
            <v>4508805</v>
          </cell>
        </row>
        <row r="2290">
          <cell r="E2290" t="str">
            <v>4159549</v>
          </cell>
        </row>
        <row r="2291">
          <cell r="E2291" t="str">
            <v>4062815</v>
          </cell>
        </row>
        <row r="2292">
          <cell r="E2292" t="str">
            <v>4055174</v>
          </cell>
        </row>
        <row r="2293">
          <cell r="E2293" t="str">
            <v>4022542</v>
          </cell>
        </row>
        <row r="2294">
          <cell r="E2294" t="str">
            <v>4235236</v>
          </cell>
        </row>
        <row r="2295">
          <cell r="E2295" t="str">
            <v>4235237</v>
          </cell>
        </row>
        <row r="2296">
          <cell r="E2296" t="str">
            <v>4062815</v>
          </cell>
        </row>
        <row r="2297">
          <cell r="E2297" t="str">
            <v>4107297</v>
          </cell>
        </row>
        <row r="2298">
          <cell r="E2298" t="str">
            <v>4228550</v>
          </cell>
        </row>
        <row r="2299">
          <cell r="E2299" t="str">
            <v>4228551</v>
          </cell>
        </row>
        <row r="2300">
          <cell r="E2300" t="str">
            <v>4288245</v>
          </cell>
        </row>
        <row r="2301">
          <cell r="E2301" t="str">
            <v>4288246</v>
          </cell>
        </row>
        <row r="2302">
          <cell r="E2302" t="str">
            <v>4143624</v>
          </cell>
        </row>
        <row r="2303">
          <cell r="E2303" t="str">
            <v>4175469</v>
          </cell>
        </row>
        <row r="2304">
          <cell r="E2304" t="str">
            <v>4228503</v>
          </cell>
        </row>
        <row r="2305">
          <cell r="E2305" t="str">
            <v>4228504</v>
          </cell>
        </row>
        <row r="2306">
          <cell r="E2306" t="str">
            <v>4228505</v>
          </cell>
        </row>
        <row r="2307">
          <cell r="E2307" t="str">
            <v>4175470</v>
          </cell>
        </row>
        <row r="2308">
          <cell r="E2308" t="str">
            <v>4083967</v>
          </cell>
        </row>
        <row r="2309">
          <cell r="E2309" t="str">
            <v>4228349</v>
          </cell>
        </row>
        <row r="2310">
          <cell r="E2310" t="str">
            <v>4228350</v>
          </cell>
        </row>
        <row r="2311">
          <cell r="E2311" t="str">
            <v>8052600</v>
          </cell>
        </row>
        <row r="2312">
          <cell r="E2312" t="str">
            <v>4229334</v>
          </cell>
        </row>
        <row r="2313">
          <cell r="E2313" t="str">
            <v>8043113</v>
          </cell>
        </row>
        <row r="2314">
          <cell r="E2314" t="str">
            <v>8043114</v>
          </cell>
        </row>
        <row r="2315">
          <cell r="E2315" t="str">
            <v>4136522</v>
          </cell>
        </row>
        <row r="2316">
          <cell r="E2316" t="str">
            <v>8043115</v>
          </cell>
        </row>
        <row r="2317">
          <cell r="E2317" t="str">
            <v>4228555</v>
          </cell>
        </row>
        <row r="2318">
          <cell r="E2318" t="str">
            <v>4228554</v>
          </cell>
        </row>
        <row r="2319">
          <cell r="E2319" t="str">
            <v>4175469</v>
          </cell>
        </row>
        <row r="2320">
          <cell r="E2320" t="str">
            <v>4083967</v>
          </cell>
        </row>
        <row r="2321">
          <cell r="E2321" t="str">
            <v>4193396</v>
          </cell>
        </row>
        <row r="2322">
          <cell r="E2322" t="str">
            <v>4194049</v>
          </cell>
        </row>
        <row r="2323">
          <cell r="E2323" t="str">
            <v>4175470</v>
          </cell>
        </row>
        <row r="2324">
          <cell r="E2324" t="str">
            <v>4193455</v>
          </cell>
        </row>
        <row r="2325">
          <cell r="E2325" t="str">
            <v>4194029</v>
          </cell>
        </row>
        <row r="2326">
          <cell r="E2326" t="str">
            <v>4201152</v>
          </cell>
        </row>
        <row r="2327">
          <cell r="E2327" t="str">
            <v>4193451</v>
          </cell>
        </row>
        <row r="2328">
          <cell r="E2328" t="str">
            <v>4193452</v>
          </cell>
        </row>
        <row r="2329">
          <cell r="E2329" t="str">
            <v>4193453</v>
          </cell>
        </row>
        <row r="2330">
          <cell r="E2330" t="str">
            <v>4193454</v>
          </cell>
        </row>
        <row r="2331">
          <cell r="E2331" t="str">
            <v>4182053</v>
          </cell>
        </row>
        <row r="2332">
          <cell r="E2332" t="str">
            <v>8036666</v>
          </cell>
        </row>
        <row r="2333">
          <cell r="E2333" t="str">
            <v>3036481</v>
          </cell>
        </row>
        <row r="2334">
          <cell r="E2334" t="str">
            <v>8038666</v>
          </cell>
        </row>
        <row r="2335">
          <cell r="E2335" t="str">
            <v>4506416</v>
          </cell>
        </row>
        <row r="2336">
          <cell r="E2336" t="str">
            <v>4193801</v>
          </cell>
        </row>
        <row r="2337">
          <cell r="E2337" t="str">
            <v>4508805</v>
          </cell>
        </row>
        <row r="2338">
          <cell r="E2338" t="str">
            <v>4339314</v>
          </cell>
        </row>
        <row r="2339">
          <cell r="E2339" t="str">
            <v>4510169</v>
          </cell>
        </row>
        <row r="2340">
          <cell r="E2340" t="str">
            <v>9742948</v>
          </cell>
        </row>
        <row r="2341">
          <cell r="E2341" t="str">
            <v>4190290</v>
          </cell>
        </row>
        <row r="2342">
          <cell r="E2342" t="str">
            <v>4210304</v>
          </cell>
        </row>
        <row r="2343">
          <cell r="E2343" t="str">
            <v>4192039</v>
          </cell>
        </row>
        <row r="2344">
          <cell r="E2344" t="str">
            <v>4203152</v>
          </cell>
        </row>
        <row r="2345">
          <cell r="E2345" t="str">
            <v>4192037</v>
          </cell>
        </row>
        <row r="2346">
          <cell r="E2346" t="str">
            <v>4203153</v>
          </cell>
        </row>
        <row r="2347">
          <cell r="E2347" t="str">
            <v>4203154</v>
          </cell>
        </row>
        <row r="2348">
          <cell r="E2348" t="str">
            <v>4203154</v>
          </cell>
        </row>
        <row r="2349">
          <cell r="E2349" t="str">
            <v>4306664</v>
          </cell>
        </row>
        <row r="2350">
          <cell r="E2350" t="str">
            <v>4306663</v>
          </cell>
        </row>
        <row r="2351">
          <cell r="E2351" t="str">
            <v>4309423</v>
          </cell>
        </row>
        <row r="2352">
          <cell r="E2352" t="str">
            <v>4306664</v>
          </cell>
        </row>
        <row r="2353">
          <cell r="E2353" t="str">
            <v>4306663</v>
          </cell>
        </row>
        <row r="2354">
          <cell r="E2354" t="str">
            <v>4309423</v>
          </cell>
        </row>
        <row r="2355">
          <cell r="E2355" t="str">
            <v>4306664</v>
          </cell>
        </row>
        <row r="2356">
          <cell r="E2356" t="str">
            <v>4306663</v>
          </cell>
        </row>
        <row r="2357">
          <cell r="E2357" t="str">
            <v>4307228</v>
          </cell>
        </row>
        <row r="2358">
          <cell r="E2358" t="str">
            <v>4309423</v>
          </cell>
        </row>
        <row r="2359">
          <cell r="E2359" t="str">
            <v>4306664</v>
          </cell>
        </row>
        <row r="2360">
          <cell r="E2360" t="str">
            <v>4306663</v>
          </cell>
        </row>
        <row r="2361">
          <cell r="E2361" t="str">
            <v>4307227</v>
          </cell>
        </row>
        <row r="2362">
          <cell r="E2362" t="str">
            <v>4307228</v>
          </cell>
        </row>
        <row r="2363">
          <cell r="E2363" t="str">
            <v>4309423</v>
          </cell>
        </row>
        <row r="2364">
          <cell r="E2364" t="str">
            <v>4306664</v>
          </cell>
        </row>
        <row r="2365">
          <cell r="E2365" t="str">
            <v>4306663</v>
          </cell>
        </row>
        <row r="2366">
          <cell r="E2366" t="str">
            <v>4309424</v>
          </cell>
        </row>
        <row r="2367">
          <cell r="E2367" t="str">
            <v>962567</v>
          </cell>
        </row>
        <row r="2368">
          <cell r="E2368" t="str">
            <v xml:space="preserve">O319607 </v>
          </cell>
        </row>
        <row r="2369">
          <cell r="E2369" t="str">
            <v xml:space="preserve">O319609 </v>
          </cell>
        </row>
        <row r="2370">
          <cell r="E2370" t="str">
            <v xml:space="preserve">O319610 </v>
          </cell>
        </row>
        <row r="2371">
          <cell r="E2371" t="str">
            <v>984618</v>
          </cell>
        </row>
        <row r="2372">
          <cell r="E2372" t="str">
            <v>999867</v>
          </cell>
        </row>
        <row r="2373">
          <cell r="E2373" t="str">
            <v xml:space="preserve">A810050 </v>
          </cell>
        </row>
        <row r="2374">
          <cell r="E2374" t="str">
            <v xml:space="preserve">O319702 </v>
          </cell>
        </row>
        <row r="2375">
          <cell r="E2375" t="str">
            <v>962567</v>
          </cell>
        </row>
        <row r="2376">
          <cell r="E2376" t="str">
            <v xml:space="preserve">O319607 </v>
          </cell>
        </row>
        <row r="2377">
          <cell r="E2377" t="str">
            <v xml:space="preserve">O319609 </v>
          </cell>
        </row>
        <row r="2378">
          <cell r="E2378" t="str">
            <v xml:space="preserve">O319610 </v>
          </cell>
        </row>
        <row r="2379">
          <cell r="E2379" t="str">
            <v>984618</v>
          </cell>
        </row>
        <row r="2380">
          <cell r="E2380" t="str">
            <v>999867</v>
          </cell>
        </row>
        <row r="2381">
          <cell r="E2381" t="str">
            <v xml:space="preserve">A810050 </v>
          </cell>
        </row>
        <row r="2382">
          <cell r="E2382" t="str">
            <v>9089355</v>
          </cell>
        </row>
        <row r="2383">
          <cell r="E2383" t="str">
            <v>962567</v>
          </cell>
        </row>
        <row r="2384">
          <cell r="E2384" t="str">
            <v>4027427</v>
          </cell>
        </row>
        <row r="2385">
          <cell r="E2385" t="str">
            <v>4213419</v>
          </cell>
        </row>
        <row r="2386">
          <cell r="E2386" t="str">
            <v>964255</v>
          </cell>
        </row>
        <row r="2387">
          <cell r="E2387" t="str">
            <v>964255</v>
          </cell>
        </row>
        <row r="2388">
          <cell r="E2388" t="str">
            <v>4238834</v>
          </cell>
        </row>
        <row r="2389">
          <cell r="E2389" t="str">
            <v>4222970</v>
          </cell>
        </row>
        <row r="2390">
          <cell r="E2390" t="str">
            <v>4179436</v>
          </cell>
        </row>
        <row r="2391">
          <cell r="E2391" t="str">
            <v>4284470</v>
          </cell>
        </row>
        <row r="2392">
          <cell r="E2392" t="str">
            <v xml:space="preserve">O317704 </v>
          </cell>
        </row>
        <row r="2393">
          <cell r="E2393" t="str">
            <v xml:space="preserve">O317705 </v>
          </cell>
        </row>
        <row r="2394">
          <cell r="E2394" t="str">
            <v xml:space="preserve">O339709 </v>
          </cell>
        </row>
        <row r="2395">
          <cell r="E2395" t="str">
            <v xml:space="preserve">O317717 </v>
          </cell>
        </row>
        <row r="2396">
          <cell r="E2396" t="str">
            <v xml:space="preserve">O317718 </v>
          </cell>
        </row>
        <row r="2397">
          <cell r="E2397" t="str">
            <v xml:space="preserve">O237418 </v>
          </cell>
        </row>
        <row r="2398">
          <cell r="E2398" t="str">
            <v>4123444</v>
          </cell>
        </row>
        <row r="2399">
          <cell r="E2399" t="str">
            <v>4221868</v>
          </cell>
        </row>
        <row r="2400">
          <cell r="E2400" t="str">
            <v>4275749</v>
          </cell>
        </row>
        <row r="2401">
          <cell r="E2401" t="str">
            <v>4284305</v>
          </cell>
        </row>
        <row r="2402">
          <cell r="E2402" t="str">
            <v>4286400</v>
          </cell>
        </row>
        <row r="2403">
          <cell r="E2403" t="str">
            <v>4286399</v>
          </cell>
        </row>
        <row r="2404">
          <cell r="E2404" t="str">
            <v>4179441</v>
          </cell>
        </row>
        <row r="2405">
          <cell r="E2405" t="str">
            <v xml:space="preserve">O336404 </v>
          </cell>
        </row>
        <row r="2406">
          <cell r="E2406" t="str">
            <v xml:space="preserve">O161002 </v>
          </cell>
        </row>
        <row r="2407">
          <cell r="E2407" t="str">
            <v xml:space="preserve">O336414 </v>
          </cell>
        </row>
        <row r="2408">
          <cell r="E2408" t="str">
            <v xml:space="preserve">O336415 </v>
          </cell>
        </row>
        <row r="2409">
          <cell r="E2409" t="str">
            <v xml:space="preserve">O336416 </v>
          </cell>
        </row>
        <row r="2410">
          <cell r="E2410" t="str">
            <v xml:space="preserve">O237418 </v>
          </cell>
        </row>
        <row r="2411">
          <cell r="E2411" t="str">
            <v xml:space="preserve">O336419 </v>
          </cell>
        </row>
        <row r="2412">
          <cell r="E2412" t="str">
            <v xml:space="preserve">O317224 </v>
          </cell>
        </row>
        <row r="2413">
          <cell r="E2413" t="str">
            <v>4123444</v>
          </cell>
        </row>
        <row r="2414">
          <cell r="E2414" t="str">
            <v xml:space="preserve">O317413 </v>
          </cell>
        </row>
        <row r="2415">
          <cell r="E2415" t="str">
            <v>4221869</v>
          </cell>
        </row>
        <row r="2416">
          <cell r="E2416" t="str">
            <v xml:space="preserve">O317704 </v>
          </cell>
        </row>
        <row r="2417">
          <cell r="E2417" t="str">
            <v xml:space="preserve">O317705 </v>
          </cell>
        </row>
        <row r="2418">
          <cell r="E2418" t="str">
            <v xml:space="preserve">O237418 </v>
          </cell>
        </row>
        <row r="2419">
          <cell r="E2419" t="str">
            <v xml:space="preserve">O339709 </v>
          </cell>
        </row>
        <row r="2420">
          <cell r="E2420" t="str">
            <v xml:space="preserve">O317717 </v>
          </cell>
        </row>
        <row r="2421">
          <cell r="E2421" t="str">
            <v xml:space="preserve">O317718 </v>
          </cell>
        </row>
        <row r="2422">
          <cell r="E2422" t="str">
            <v>4123444</v>
          </cell>
        </row>
        <row r="2423">
          <cell r="E2423" t="str">
            <v>4221868</v>
          </cell>
        </row>
        <row r="2424">
          <cell r="E2424" t="str">
            <v xml:space="preserve">O340104 </v>
          </cell>
        </row>
        <row r="2425">
          <cell r="E2425" t="str">
            <v xml:space="preserve">O160706 </v>
          </cell>
        </row>
        <row r="2426">
          <cell r="E2426" t="str">
            <v>4199819</v>
          </cell>
        </row>
        <row r="2427">
          <cell r="E2427" t="str">
            <v xml:space="preserve">O340110 </v>
          </cell>
        </row>
        <row r="2428">
          <cell r="E2428" t="str">
            <v xml:space="preserve">O239804 </v>
          </cell>
        </row>
        <row r="2429">
          <cell r="E2429" t="str">
            <v xml:space="preserve">O237418 </v>
          </cell>
        </row>
        <row r="2430">
          <cell r="E2430" t="str">
            <v>4123444</v>
          </cell>
        </row>
        <row r="2431">
          <cell r="E2431" t="str">
            <v xml:space="preserve">O336419 </v>
          </cell>
        </row>
        <row r="2432">
          <cell r="E2432" t="str">
            <v>4301078</v>
          </cell>
        </row>
        <row r="2433">
          <cell r="E2433" t="str">
            <v xml:space="preserve">O336604 </v>
          </cell>
        </row>
        <row r="2434">
          <cell r="E2434" t="str">
            <v xml:space="preserve">O161002 </v>
          </cell>
        </row>
        <row r="2435">
          <cell r="E2435" t="str">
            <v>4199819</v>
          </cell>
        </row>
        <row r="2436">
          <cell r="E2436" t="str">
            <v>4203611</v>
          </cell>
        </row>
        <row r="2437">
          <cell r="E2437" t="str">
            <v xml:space="preserve">O336610 </v>
          </cell>
        </row>
        <row r="2438">
          <cell r="E2438" t="str">
            <v xml:space="preserve">O237418 </v>
          </cell>
        </row>
        <row r="2439">
          <cell r="E2439" t="str">
            <v>4123444</v>
          </cell>
        </row>
        <row r="2440">
          <cell r="E2440" t="str">
            <v xml:space="preserve">O336419 </v>
          </cell>
        </row>
        <row r="2441">
          <cell r="E2441" t="str">
            <v>4221871</v>
          </cell>
        </row>
        <row r="2442">
          <cell r="E2442" t="str">
            <v xml:space="preserve">O336804 </v>
          </cell>
        </row>
        <row r="2443">
          <cell r="E2443" t="str">
            <v xml:space="preserve">O161503 </v>
          </cell>
        </row>
        <row r="2444">
          <cell r="E2444" t="str">
            <v>336809</v>
          </cell>
        </row>
        <row r="2445">
          <cell r="E2445" t="str">
            <v xml:space="preserve">O317413 </v>
          </cell>
        </row>
        <row r="2446">
          <cell r="E2446" t="str">
            <v>4085479</v>
          </cell>
        </row>
        <row r="2447">
          <cell r="E2447" t="str">
            <v xml:space="preserve">O353012 </v>
          </cell>
        </row>
        <row r="2448">
          <cell r="E2448" t="str">
            <v>4221872</v>
          </cell>
        </row>
        <row r="2449">
          <cell r="E2449" t="str">
            <v>4306398</v>
          </cell>
        </row>
        <row r="2450">
          <cell r="E2450" t="str">
            <v>4306399</v>
          </cell>
        </row>
        <row r="2451">
          <cell r="E2451" t="str">
            <v>4306400</v>
          </cell>
        </row>
        <row r="2452">
          <cell r="E2452" t="str">
            <v>4211242</v>
          </cell>
        </row>
        <row r="2453">
          <cell r="E2453" t="str">
            <v xml:space="preserve">O259915 </v>
          </cell>
        </row>
        <row r="2454">
          <cell r="E2454" t="str">
            <v>984338</v>
          </cell>
        </row>
        <row r="2455">
          <cell r="E2455" t="str">
            <v>4506320</v>
          </cell>
        </row>
        <row r="2456">
          <cell r="E2456" t="str">
            <v xml:space="preserve">O259916 </v>
          </cell>
        </row>
        <row r="2457">
          <cell r="E2457" t="str">
            <v>4506408</v>
          </cell>
        </row>
        <row r="2458">
          <cell r="E2458" t="str">
            <v>4506418</v>
          </cell>
        </row>
        <row r="2459">
          <cell r="E2459" t="str">
            <v xml:space="preserve">A811025 </v>
          </cell>
        </row>
        <row r="2460">
          <cell r="E2460" t="str">
            <v>4297382</v>
          </cell>
        </row>
        <row r="2461">
          <cell r="E2461" t="str">
            <v xml:space="preserve">O403204 </v>
          </cell>
        </row>
        <row r="2462">
          <cell r="E2462" t="str">
            <v>4302460</v>
          </cell>
        </row>
        <row r="2463">
          <cell r="E2463" t="str">
            <v xml:space="preserve">O403202 </v>
          </cell>
        </row>
        <row r="2464">
          <cell r="E2464" t="str">
            <v xml:space="preserve">O403203 </v>
          </cell>
        </row>
        <row r="2465">
          <cell r="E2465" t="str">
            <v xml:space="preserve">O403201 </v>
          </cell>
        </row>
        <row r="2466">
          <cell r="E2466" t="str">
            <v>4306662</v>
          </cell>
        </row>
        <row r="2467">
          <cell r="E2467" t="str">
            <v>4306663</v>
          </cell>
        </row>
        <row r="2468">
          <cell r="E2468" t="str">
            <v>4309424</v>
          </cell>
        </row>
        <row r="2469">
          <cell r="E2469" t="str">
            <v>4306664</v>
          </cell>
        </row>
        <row r="2470">
          <cell r="E2470" t="str">
            <v>4306663</v>
          </cell>
        </row>
        <row r="2471">
          <cell r="E2471" t="str">
            <v>4307227</v>
          </cell>
        </row>
        <row r="2472">
          <cell r="E2472" t="str">
            <v>4309423</v>
          </cell>
        </row>
        <row r="2473">
          <cell r="E2473" t="str">
            <v>4306664</v>
          </cell>
        </row>
        <row r="2474">
          <cell r="E2474" t="str">
            <v>4306663</v>
          </cell>
        </row>
        <row r="2475">
          <cell r="E2475" t="str">
            <v>4309423</v>
          </cell>
        </row>
        <row r="2476">
          <cell r="E2476" t="str">
            <v>4306664</v>
          </cell>
        </row>
        <row r="2477">
          <cell r="E2477" t="str">
            <v>4306663</v>
          </cell>
        </row>
        <row r="2478">
          <cell r="E2478" t="str">
            <v>4309423</v>
          </cell>
        </row>
        <row r="2479">
          <cell r="E2479" t="str">
            <v>962567</v>
          </cell>
        </row>
        <row r="2480">
          <cell r="E2480" t="str">
            <v xml:space="preserve">O319607 </v>
          </cell>
        </row>
        <row r="2481">
          <cell r="E2481" t="str">
            <v xml:space="preserve">O319609 </v>
          </cell>
        </row>
        <row r="2482">
          <cell r="E2482" t="str">
            <v xml:space="preserve">O319610 </v>
          </cell>
        </row>
        <row r="2483">
          <cell r="E2483" t="str">
            <v>984618</v>
          </cell>
        </row>
        <row r="2484">
          <cell r="E2484" t="str">
            <v>999867</v>
          </cell>
        </row>
        <row r="2485">
          <cell r="E2485" t="str">
            <v xml:space="preserve">A810050 </v>
          </cell>
        </row>
        <row r="2486">
          <cell r="E2486" t="str">
            <v xml:space="preserve">O319702 </v>
          </cell>
        </row>
        <row r="2487">
          <cell r="E2487" t="str">
            <v>962567</v>
          </cell>
        </row>
        <row r="2488">
          <cell r="E2488" t="str">
            <v xml:space="preserve">O319607 </v>
          </cell>
        </row>
        <row r="2489">
          <cell r="E2489" t="str">
            <v xml:space="preserve">O319609 </v>
          </cell>
        </row>
        <row r="2490">
          <cell r="E2490" t="str">
            <v xml:space="preserve">O319610 </v>
          </cell>
        </row>
        <row r="2491">
          <cell r="E2491" t="str">
            <v>984618</v>
          </cell>
        </row>
        <row r="2492">
          <cell r="E2492" t="str">
            <v>999867</v>
          </cell>
        </row>
        <row r="2493">
          <cell r="E2493" t="str">
            <v xml:space="preserve">A810050 </v>
          </cell>
        </row>
        <row r="2494">
          <cell r="E2494" t="str">
            <v>9089355</v>
          </cell>
        </row>
        <row r="2495">
          <cell r="E2495" t="str">
            <v>962567</v>
          </cell>
        </row>
        <row r="2496">
          <cell r="E2496" t="str">
            <v>4027427</v>
          </cell>
        </row>
        <row r="2497">
          <cell r="E2497" t="str">
            <v>4213419</v>
          </cell>
        </row>
        <row r="2498">
          <cell r="E2498" t="str">
            <v>964255</v>
          </cell>
        </row>
        <row r="2499">
          <cell r="E2499" t="str">
            <v>4238834</v>
          </cell>
        </row>
        <row r="2500">
          <cell r="E2500" t="str">
            <v>9089355</v>
          </cell>
        </row>
        <row r="2501">
          <cell r="E2501" t="str">
            <v>962567</v>
          </cell>
        </row>
        <row r="2502">
          <cell r="E2502" t="str">
            <v>4027427</v>
          </cell>
        </row>
        <row r="2503">
          <cell r="E2503" t="str">
            <v>4213419</v>
          </cell>
        </row>
        <row r="2504">
          <cell r="E2504" t="str">
            <v>964255</v>
          </cell>
        </row>
        <row r="2505">
          <cell r="E2505" t="str">
            <v>964255</v>
          </cell>
        </row>
        <row r="2506">
          <cell r="E2506" t="str">
            <v>4238834</v>
          </cell>
        </row>
        <row r="2507">
          <cell r="E2507" t="str">
            <v xml:space="preserve">O317204 </v>
          </cell>
        </row>
        <row r="2508">
          <cell r="E2508" t="str">
            <v xml:space="preserve">O349106 </v>
          </cell>
        </row>
        <row r="2509">
          <cell r="E2509" t="str">
            <v xml:space="preserve">O317220 </v>
          </cell>
        </row>
        <row r="2510">
          <cell r="E2510" t="str">
            <v xml:space="preserve">O317221 </v>
          </cell>
        </row>
        <row r="2511">
          <cell r="E2511" t="str">
            <v xml:space="preserve">O317224 </v>
          </cell>
        </row>
        <row r="2512">
          <cell r="E2512" t="str">
            <v xml:space="preserve">O237418 </v>
          </cell>
        </row>
        <row r="2513">
          <cell r="E2513" t="str">
            <v xml:space="preserve">O317230 </v>
          </cell>
        </row>
        <row r="2514">
          <cell r="E2514" t="str">
            <v>4210675</v>
          </cell>
        </row>
        <row r="2515">
          <cell r="E2515" t="str">
            <v xml:space="preserve">O317304 </v>
          </cell>
        </row>
        <row r="2516">
          <cell r="E2516" t="str">
            <v xml:space="preserve">O317318 </v>
          </cell>
        </row>
        <row r="2517">
          <cell r="E2517" t="str">
            <v xml:space="preserve">O317319 </v>
          </cell>
        </row>
        <row r="2518">
          <cell r="E2518" t="str">
            <v xml:space="preserve">O317320 </v>
          </cell>
        </row>
        <row r="2519">
          <cell r="E2519" t="str">
            <v xml:space="preserve">O237418 </v>
          </cell>
        </row>
        <row r="2520">
          <cell r="E2520" t="str">
            <v>4241175</v>
          </cell>
        </row>
        <row r="2521">
          <cell r="E2521" t="str">
            <v xml:space="preserve">O317304 </v>
          </cell>
        </row>
        <row r="2522">
          <cell r="E2522" t="str">
            <v xml:space="preserve">O317318 </v>
          </cell>
        </row>
        <row r="2523">
          <cell r="E2523" t="str">
            <v xml:space="preserve">O317319 </v>
          </cell>
        </row>
        <row r="2524">
          <cell r="E2524" t="str">
            <v xml:space="preserve">O317320 </v>
          </cell>
        </row>
        <row r="2525">
          <cell r="E2525" t="str">
            <v>4123444</v>
          </cell>
        </row>
        <row r="2526">
          <cell r="E2526" t="str">
            <v xml:space="preserve">O317224 </v>
          </cell>
        </row>
        <row r="2527">
          <cell r="E2527" t="str">
            <v xml:space="preserve">O237418 </v>
          </cell>
        </row>
        <row r="2528">
          <cell r="E2528" t="str">
            <v>4240174</v>
          </cell>
        </row>
        <row r="2529">
          <cell r="E2529" t="str">
            <v xml:space="preserve">O317204 </v>
          </cell>
        </row>
        <row r="2530">
          <cell r="E2530" t="str">
            <v xml:space="preserve">O349106 </v>
          </cell>
        </row>
        <row r="2531">
          <cell r="E2531" t="str">
            <v xml:space="preserve">O317220 </v>
          </cell>
        </row>
        <row r="2532">
          <cell r="E2532" t="str">
            <v xml:space="preserve">O317221 </v>
          </cell>
        </row>
        <row r="2533">
          <cell r="E2533" t="str">
            <v xml:space="preserve">O317224 </v>
          </cell>
        </row>
        <row r="2534">
          <cell r="E2534" t="str">
            <v xml:space="preserve">O237418 </v>
          </cell>
        </row>
        <row r="2535">
          <cell r="E2535" t="str">
            <v>4210675</v>
          </cell>
        </row>
        <row r="2536">
          <cell r="E2536" t="str">
            <v xml:space="preserve">O317704 </v>
          </cell>
        </row>
        <row r="2537">
          <cell r="E2537" t="str">
            <v xml:space="preserve">O317705 </v>
          </cell>
        </row>
        <row r="2538">
          <cell r="E2538" t="str">
            <v xml:space="preserve">O339709 </v>
          </cell>
        </row>
        <row r="2539">
          <cell r="E2539" t="str">
            <v xml:space="preserve">O317717 </v>
          </cell>
        </row>
        <row r="2540">
          <cell r="E2540" t="str">
            <v xml:space="preserve">O317718 </v>
          </cell>
        </row>
        <row r="2541">
          <cell r="E2541" t="str">
            <v xml:space="preserve">O237418 </v>
          </cell>
        </row>
        <row r="2542">
          <cell r="E2542" t="str">
            <v xml:space="preserve">O317224 </v>
          </cell>
        </row>
        <row r="2543">
          <cell r="E2543" t="str">
            <v xml:space="preserve">O317224 </v>
          </cell>
        </row>
        <row r="2544">
          <cell r="E2544" t="str">
            <v xml:space="preserve">O317230 </v>
          </cell>
        </row>
        <row r="2545">
          <cell r="E2545" t="str">
            <v>4210678</v>
          </cell>
        </row>
        <row r="2546">
          <cell r="E2546" t="str">
            <v xml:space="preserve">O336404 </v>
          </cell>
        </row>
        <row r="2547">
          <cell r="E2547" t="str">
            <v xml:space="preserve">O339709 </v>
          </cell>
        </row>
        <row r="2548">
          <cell r="E2548" t="str">
            <v xml:space="preserve">O339710 </v>
          </cell>
        </row>
        <row r="2549">
          <cell r="E2549" t="str">
            <v xml:space="preserve">O339711 </v>
          </cell>
        </row>
        <row r="2550">
          <cell r="E2550" t="str">
            <v xml:space="preserve">O237418 </v>
          </cell>
        </row>
        <row r="2551">
          <cell r="E2551" t="str">
            <v>4123444</v>
          </cell>
        </row>
        <row r="2552">
          <cell r="E2552" t="str">
            <v xml:space="preserve">O317224 </v>
          </cell>
        </row>
        <row r="2553">
          <cell r="E2553" t="str">
            <v xml:space="preserve">O336419 </v>
          </cell>
        </row>
        <row r="2554">
          <cell r="E2554" t="str">
            <v>4240175</v>
          </cell>
        </row>
        <row r="2555">
          <cell r="E2555" t="str">
            <v xml:space="preserve">O317404 </v>
          </cell>
        </row>
        <row r="2556">
          <cell r="E2556" t="str">
            <v xml:space="preserve">O443004 </v>
          </cell>
        </row>
        <row r="2557">
          <cell r="E2557" t="str">
            <v xml:space="preserve">O187312 </v>
          </cell>
        </row>
        <row r="2558">
          <cell r="E2558" t="str">
            <v>955612</v>
          </cell>
        </row>
        <row r="2559">
          <cell r="E2559" t="str">
            <v>4123516</v>
          </cell>
        </row>
        <row r="2560">
          <cell r="E2560" t="str">
            <v xml:space="preserve">O237418 </v>
          </cell>
        </row>
        <row r="2561">
          <cell r="E2561" t="str">
            <v xml:space="preserve">O317413 </v>
          </cell>
        </row>
        <row r="2562">
          <cell r="E2562" t="str">
            <v>4205000</v>
          </cell>
        </row>
        <row r="2563">
          <cell r="E2563" t="str">
            <v>4210676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IPHR97"/>
      <sheetName val="rebulids"/>
      <sheetName val="TRACK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RC Input &amp; Summary"/>
      <sheetName val="EH1700 Repair Costs"/>
      <sheetName val="EH1700 PM Costs"/>
      <sheetName val="Component Life Data"/>
      <sheetName val="Cycle Time Summary"/>
      <sheetName val="LCC Summary"/>
      <sheetName val="Engine Load Factor Tbl"/>
    </sheetNames>
    <sheetDataSet>
      <sheetData sheetId="0"/>
      <sheetData sheetId="1">
        <row r="3">
          <cell r="J3">
            <v>1</v>
          </cell>
        </row>
        <row r="4">
          <cell r="J4" t="str">
            <v>USD</v>
          </cell>
        </row>
        <row r="5">
          <cell r="J5">
            <v>0.04</v>
          </cell>
        </row>
        <row r="9">
          <cell r="J9">
            <v>12.5</v>
          </cell>
        </row>
        <row r="12">
          <cell r="J12">
            <v>0</v>
          </cell>
          <cell r="O12">
            <v>3.7999999999999999E-2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  <cell r="O15">
            <v>0</v>
          </cell>
        </row>
        <row r="16">
          <cell r="J16">
            <v>0</v>
          </cell>
          <cell r="O16">
            <v>0</v>
          </cell>
        </row>
        <row r="17">
          <cell r="J17">
            <v>11.75</v>
          </cell>
        </row>
        <row r="18">
          <cell r="J18">
            <v>0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J1">
            <v>2</v>
          </cell>
        </row>
        <row r="2">
          <cell r="A2">
            <v>1</v>
          </cell>
          <cell r="B2">
            <v>0.15</v>
          </cell>
          <cell r="C2">
            <v>28000</v>
          </cell>
        </row>
        <row r="3">
          <cell r="A3">
            <v>2</v>
          </cell>
          <cell r="B3">
            <v>0.16</v>
          </cell>
          <cell r="C3">
            <v>27600</v>
          </cell>
        </row>
        <row r="4">
          <cell r="A4">
            <v>3</v>
          </cell>
          <cell r="B4">
            <v>0.17</v>
          </cell>
          <cell r="C4">
            <v>27200</v>
          </cell>
        </row>
        <row r="5">
          <cell r="A5">
            <v>4</v>
          </cell>
          <cell r="B5">
            <v>0.18</v>
          </cell>
          <cell r="C5">
            <v>26800</v>
          </cell>
        </row>
        <row r="6">
          <cell r="A6">
            <v>5</v>
          </cell>
          <cell r="B6">
            <v>0.19</v>
          </cell>
          <cell r="C6">
            <v>26400</v>
          </cell>
        </row>
        <row r="7">
          <cell r="A7">
            <v>6</v>
          </cell>
          <cell r="B7">
            <v>0.2</v>
          </cell>
          <cell r="C7">
            <v>26000</v>
          </cell>
        </row>
        <row r="8">
          <cell r="A8">
            <v>7</v>
          </cell>
          <cell r="B8">
            <v>0.21</v>
          </cell>
          <cell r="C8">
            <v>25600</v>
          </cell>
        </row>
        <row r="9">
          <cell r="A9">
            <v>8</v>
          </cell>
          <cell r="B9">
            <v>0.22</v>
          </cell>
          <cell r="C9">
            <v>25200</v>
          </cell>
        </row>
        <row r="10">
          <cell r="A10">
            <v>9</v>
          </cell>
          <cell r="B10">
            <v>0.23</v>
          </cell>
          <cell r="C10">
            <v>24800</v>
          </cell>
        </row>
        <row r="11">
          <cell r="A11">
            <v>10</v>
          </cell>
          <cell r="B11">
            <v>0.24</v>
          </cell>
          <cell r="C11">
            <v>24400</v>
          </cell>
          <cell r="J11" t="b">
            <v>1</v>
          </cell>
        </row>
        <row r="12">
          <cell r="A12">
            <v>11</v>
          </cell>
          <cell r="B12">
            <v>0.25</v>
          </cell>
          <cell r="C12">
            <v>24000</v>
          </cell>
        </row>
        <row r="13">
          <cell r="A13">
            <v>12</v>
          </cell>
          <cell r="B13">
            <v>0.26</v>
          </cell>
          <cell r="C13">
            <v>23600</v>
          </cell>
        </row>
        <row r="14">
          <cell r="A14">
            <v>13</v>
          </cell>
          <cell r="B14">
            <v>0.27</v>
          </cell>
          <cell r="C14">
            <v>23200</v>
          </cell>
        </row>
        <row r="15">
          <cell r="A15">
            <v>14</v>
          </cell>
          <cell r="B15">
            <v>0.28000000000000003</v>
          </cell>
          <cell r="C15">
            <v>22800</v>
          </cell>
          <cell r="J15">
            <v>2</v>
          </cell>
        </row>
        <row r="16">
          <cell r="A16">
            <v>15</v>
          </cell>
          <cell r="B16">
            <v>0.28999999999999998</v>
          </cell>
          <cell r="C16">
            <v>22400</v>
          </cell>
        </row>
        <row r="17">
          <cell r="A17">
            <v>16</v>
          </cell>
          <cell r="B17">
            <v>0.3</v>
          </cell>
          <cell r="C17">
            <v>22000</v>
          </cell>
        </row>
        <row r="18">
          <cell r="A18">
            <v>17</v>
          </cell>
          <cell r="B18">
            <v>0.31</v>
          </cell>
          <cell r="C18">
            <v>21600</v>
          </cell>
        </row>
        <row r="19">
          <cell r="A19">
            <v>18</v>
          </cell>
          <cell r="B19">
            <v>0.32</v>
          </cell>
          <cell r="C19">
            <v>21200</v>
          </cell>
        </row>
        <row r="20">
          <cell r="A20">
            <v>19</v>
          </cell>
          <cell r="B20">
            <v>0.33</v>
          </cell>
          <cell r="C20">
            <v>20800</v>
          </cell>
        </row>
        <row r="21">
          <cell r="A21">
            <v>20</v>
          </cell>
          <cell r="B21">
            <v>0.34</v>
          </cell>
          <cell r="C21">
            <v>20400</v>
          </cell>
        </row>
        <row r="22">
          <cell r="A22">
            <v>21</v>
          </cell>
          <cell r="B22">
            <v>0.35</v>
          </cell>
          <cell r="C22">
            <v>20000</v>
          </cell>
          <cell r="J22">
            <v>1</v>
          </cell>
        </row>
        <row r="23">
          <cell r="A23">
            <v>22</v>
          </cell>
          <cell r="B23">
            <v>0.36</v>
          </cell>
          <cell r="C23">
            <v>19600</v>
          </cell>
        </row>
        <row r="24">
          <cell r="A24">
            <v>23</v>
          </cell>
          <cell r="B24">
            <v>0.37</v>
          </cell>
          <cell r="C24">
            <v>19200</v>
          </cell>
        </row>
        <row r="25">
          <cell r="A25">
            <v>24</v>
          </cell>
          <cell r="B25">
            <v>0.38</v>
          </cell>
          <cell r="C25">
            <v>18800</v>
          </cell>
        </row>
        <row r="26">
          <cell r="A26">
            <v>25</v>
          </cell>
          <cell r="B26">
            <v>0.39</v>
          </cell>
          <cell r="C26">
            <v>18400</v>
          </cell>
        </row>
        <row r="27">
          <cell r="A27">
            <v>26</v>
          </cell>
          <cell r="B27">
            <v>0.4</v>
          </cell>
          <cell r="C27">
            <v>18000</v>
          </cell>
        </row>
        <row r="28">
          <cell r="A28">
            <v>27</v>
          </cell>
          <cell r="B28">
            <v>0.41</v>
          </cell>
          <cell r="C28">
            <v>17600</v>
          </cell>
        </row>
        <row r="29">
          <cell r="A29">
            <v>28</v>
          </cell>
          <cell r="B29">
            <v>0.42</v>
          </cell>
          <cell r="C29">
            <v>17200</v>
          </cell>
        </row>
        <row r="30">
          <cell r="A30">
            <v>29</v>
          </cell>
          <cell r="B30">
            <v>0.43</v>
          </cell>
          <cell r="C30">
            <v>16800</v>
          </cell>
        </row>
        <row r="31">
          <cell r="A31">
            <v>30</v>
          </cell>
          <cell r="B31">
            <v>0.44</v>
          </cell>
          <cell r="C31">
            <v>16400</v>
          </cell>
        </row>
        <row r="32">
          <cell r="A32">
            <v>31</v>
          </cell>
          <cell r="B32">
            <v>0.45</v>
          </cell>
          <cell r="C32">
            <v>16000</v>
          </cell>
        </row>
        <row r="33">
          <cell r="A33">
            <v>32</v>
          </cell>
          <cell r="B33">
            <v>0.46</v>
          </cell>
          <cell r="C33">
            <v>15600</v>
          </cell>
        </row>
        <row r="34">
          <cell r="A34">
            <v>33</v>
          </cell>
          <cell r="B34">
            <v>0.46999999999999897</v>
          </cell>
          <cell r="C34">
            <v>15200</v>
          </cell>
        </row>
        <row r="35">
          <cell r="A35">
            <v>34</v>
          </cell>
          <cell r="B35">
            <v>0.47999999999999898</v>
          </cell>
          <cell r="C35">
            <v>14800</v>
          </cell>
        </row>
        <row r="36">
          <cell r="A36">
            <v>35</v>
          </cell>
          <cell r="B36">
            <v>0.48999999999999899</v>
          </cell>
          <cell r="C36">
            <v>14400</v>
          </cell>
        </row>
        <row r="37">
          <cell r="A37">
            <v>36</v>
          </cell>
          <cell r="B37">
            <v>0.499999999999999</v>
          </cell>
          <cell r="C37">
            <v>14000</v>
          </cell>
        </row>
        <row r="38">
          <cell r="A38">
            <v>37</v>
          </cell>
          <cell r="B38">
            <v>0.50999999999999901</v>
          </cell>
          <cell r="C38">
            <v>13600</v>
          </cell>
        </row>
        <row r="39">
          <cell r="A39">
            <v>38</v>
          </cell>
          <cell r="B39">
            <v>0.51999999999999902</v>
          </cell>
          <cell r="C39">
            <v>13200</v>
          </cell>
        </row>
        <row r="40">
          <cell r="A40">
            <v>39</v>
          </cell>
          <cell r="B40">
            <v>0.52999999999999903</v>
          </cell>
          <cell r="C40">
            <v>12800</v>
          </cell>
        </row>
        <row r="41">
          <cell r="A41">
            <v>40</v>
          </cell>
          <cell r="B41">
            <v>0.53999999999999904</v>
          </cell>
          <cell r="C41">
            <v>12400</v>
          </cell>
        </row>
        <row r="42">
          <cell r="A42">
            <v>41</v>
          </cell>
          <cell r="B42">
            <v>0.54999999999999905</v>
          </cell>
          <cell r="C42">
            <v>12000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Hydraulic Shovels"/>
      <sheetName val="Loader"/>
      <sheetName val="Trucks"/>
      <sheetName val="Dozers"/>
      <sheetName val="RTD"/>
      <sheetName val="Graders"/>
      <sheetName val="Water Trucks"/>
      <sheetName val="Support"/>
      <sheetName val="Fleet Management"/>
      <sheetName val="pulldowns"/>
    </sheetNames>
    <sheetDataSet>
      <sheetData sheetId="0">
        <row r="13">
          <cell r="B13" t="str">
            <v>Base</v>
          </cell>
        </row>
        <row r="14">
          <cell r="B14" t="str">
            <v>Alternative</v>
          </cell>
        </row>
        <row r="15">
          <cell r="B15" t="str">
            <v>Utility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 EQ COST Mapochs EH700-2 "/>
      <sheetName val="B1 EQ COST KlienK EH1600"/>
      <sheetName val="B1 EQ COST Namakwa EH1600"/>
      <sheetName val="B1 EQ COST Namakwa EH4000WT"/>
      <sheetName val="B1 EQ COST Overyssel EH1600"/>
      <sheetName val="B1 EQ COST Skorpion EH1600"/>
      <sheetName val="B1 EQ COST Kriel EH1600W"/>
      <sheetName val="B1 EQ COST New Vaal EH1600W "/>
      <sheetName val="B1 EQ COST Overyssel EH1600W"/>
      <sheetName val="B1 EQ COST Scorpion EH1600W"/>
      <sheetName val="B1 EQ COST Klienkop CH135"/>
      <sheetName val="B1 EQ COST New Vaal EH3000"/>
      <sheetName val="B1 EQ COST KlienK EH3500 "/>
      <sheetName val="B1 EQ COST Overyssel EH4500 "/>
      <sheetName val="B1 EQ COST Gamsberg EH5000LM"/>
      <sheetName val="B1 EQ COST Gamsberg EH5000"/>
      <sheetName val="B1 EQ COST Gamesberg EH4500-1"/>
      <sheetName val="B1 EQ COST Gamsberg EH4000AC"/>
      <sheetName val="B1 EQ COST Gamsberg EH4000"/>
      <sheetName val="B1 EQ COST Gamesberg EH3500"/>
      <sheetName val="B1 EQ COST Gamesberg EH3000"/>
      <sheetName val="B1 EQ COST Gamesberg CH166"/>
      <sheetName val="B1 EQUIPMENT COSTING EH1700"/>
      <sheetName val="B1 EQ COST Gamsberg CH135"/>
      <sheetName val="B1 EQ COST Gamsberg EH1600WT"/>
      <sheetName val="B1 EQ COST Gamsberg EH1600"/>
      <sheetName val="B1 EQ COST Gamsberg EH1100"/>
      <sheetName val="B1 EQ COST Gamsberg EH1000"/>
      <sheetName val="B1 EQ COST Gamsberg EH700-2"/>
      <sheetName val="A7 EXCHANGE RATE TABLE"/>
      <sheetName val="Chile Mkt Pricing"/>
      <sheetName val="Sell Price Summary "/>
      <sheetName val="STD Cost"/>
      <sheetName val="Assy-Frt -Africa"/>
      <sheetName val="Freight-Assembly"/>
      <sheetName val="EH5000 Frt"/>
      <sheetName val="EH4500 Frt"/>
      <sheetName val=" B2 EQP DISCOUNTS &amp; INCE (EH)"/>
      <sheetName val=" B2 EQP DISCOUNTS &amp; INCENTIVES"/>
      <sheetName val="EH5000LargeDr less tires-liner)"/>
      <sheetName val="EH5000 less tires-liners"/>
      <sheetName val="EH4500-1 less tires-liners"/>
      <sheetName val="EH4000AC less tires-liners"/>
      <sheetName val="EH4000 less tires-liners"/>
      <sheetName val="EH4000WT less tires-liners"/>
      <sheetName val="EH3500 less tires-liners"/>
      <sheetName val="EH3000 less tires-liners"/>
      <sheetName val="EH1700 -BD less tires"/>
      <sheetName val="EH1700 - less tires "/>
      <sheetName val="EH1600 -BD less tires "/>
      <sheetName val="EH1600 WT- less tires  "/>
      <sheetName val="EH1600 - less tires "/>
      <sheetName val="EH1100 - less tires  "/>
      <sheetName val="EH1000 - less tires"/>
      <sheetName val="EH700 - less tires "/>
      <sheetName val="EH5000 -CERR-COL-SA (quoted)"/>
      <sheetName val="EH5000 -CERR-COL-SA (quoted R)"/>
      <sheetName val="EH4500-1-CERR-COL-SA (quoted)"/>
      <sheetName val="EH4500-1-CERR-COL-SA"/>
      <sheetName val="EH4000AC -CERR-COL"/>
      <sheetName val="EH3500 -CERR-COL"/>
      <sheetName val="MAC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4">
          <cell r="G54">
            <v>2158185.813333333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build"/>
      <sheetName val="TASK"/>
      <sheetName val="MOD"/>
      <sheetName val="PM"/>
      <sheetName val="EngTTL"/>
      <sheetName val="WELD"/>
      <sheetName val="OUT"/>
      <sheetName val="GET"/>
      <sheetName val="Apl"/>
      <sheetName val="ELECT."/>
      <sheetName val="ENG_A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 (K)"/>
      <sheetName val="Quote"/>
      <sheetName val="SumUp(US$)"/>
      <sheetName val="Apl"/>
      <sheetName val="PartsPricing"/>
      <sheetName val="Vehicle"/>
      <sheetName val="OutsideVender"/>
      <sheetName val="Components"/>
      <sheetName val="Organization"/>
      <sheetName val="Lube"/>
      <sheetName val="PriceLate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経費】"/>
      <sheetName val="請求･【収入】"/>
      <sheetName val="【Cash】"/>
      <sheetName val="経費予算"/>
      <sheetName val="経費＄"/>
      <sheetName val="予実算"/>
      <sheetName val="94-6計"/>
      <sheetName val="全集計"/>
      <sheetName val="経費集計"/>
      <sheetName val="一覧"/>
      <sheetName val="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CASH FLOW</v>
          </cell>
          <cell r="B1" t="str">
            <v>JAN 93</v>
          </cell>
          <cell r="C1" t="str">
            <v>FEB 93</v>
          </cell>
          <cell r="D1" t="str">
            <v>MAR 93</v>
          </cell>
          <cell r="E1" t="str">
            <v>APR 93</v>
          </cell>
          <cell r="F1" t="str">
            <v>MAY 93</v>
          </cell>
          <cell r="G1" t="str">
            <v>JUN 93</v>
          </cell>
          <cell r="H1" t="str">
            <v>JLY 93</v>
          </cell>
          <cell r="I1" t="str">
            <v>AUG 93</v>
          </cell>
          <cell r="J1" t="str">
            <v>SEP 93</v>
          </cell>
          <cell r="K1" t="str">
            <v>OCT 93</v>
          </cell>
          <cell r="L1" t="str">
            <v>NOV 93</v>
          </cell>
          <cell r="M1" t="str">
            <v>DEC 93</v>
          </cell>
          <cell r="N1" t="str">
            <v>JAN 94</v>
          </cell>
          <cell r="O1" t="str">
            <v>FEB 94</v>
          </cell>
          <cell r="P1" t="str">
            <v>MAR 94</v>
          </cell>
          <cell r="Q1" t="str">
            <v>APR 94</v>
          </cell>
          <cell r="R1" t="str">
            <v>MAY 94</v>
          </cell>
          <cell r="S1" t="str">
            <v>JUN 94</v>
          </cell>
          <cell r="T1" t="str">
            <v>JLY 94</v>
          </cell>
          <cell r="U1" t="str">
            <v>AUG 94</v>
          </cell>
          <cell r="V1" t="str">
            <v>SEP 94</v>
          </cell>
          <cell r="W1" t="str">
            <v>OCT 94</v>
          </cell>
          <cell r="X1" t="str">
            <v>NOV 94</v>
          </cell>
          <cell r="Y1" t="str">
            <v>DEC 94</v>
          </cell>
          <cell r="Z1" t="str">
            <v>JAN 95</v>
          </cell>
          <cell r="AA1" t="str">
            <v>FEB 95</v>
          </cell>
          <cell r="AB1" t="str">
            <v>MAR 95</v>
          </cell>
          <cell r="AC1" t="str">
            <v>APR 95</v>
          </cell>
          <cell r="AD1" t="str">
            <v>MAY 95</v>
          </cell>
          <cell r="AE1" t="str">
            <v>JUN 95</v>
          </cell>
          <cell r="AF1" t="str">
            <v>JLY 95</v>
          </cell>
          <cell r="AG1" t="str">
            <v>AUG 95</v>
          </cell>
          <cell r="AH1" t="str">
            <v>SEP 95</v>
          </cell>
          <cell r="AI1" t="str">
            <v>OCT 95</v>
          </cell>
        </row>
        <row r="2">
          <cell r="A2" t="str">
            <v>JAKARTA STATEMENT</v>
          </cell>
        </row>
        <row r="3">
          <cell r="A3" t="str">
            <v>CURRENCY RATE</v>
          </cell>
        </row>
        <row r="4">
          <cell r="A4" t="str">
            <v>EXPENSE (RP)</v>
          </cell>
        </row>
        <row r="5">
          <cell r="A5" t="str">
            <v>INVESTMENT</v>
          </cell>
        </row>
        <row r="6">
          <cell r="A6" t="str">
            <v>ASSEMBLING</v>
          </cell>
        </row>
        <row r="7">
          <cell r="A7" t="str">
            <v>KPC BACK CHARGE</v>
          </cell>
        </row>
        <row r="8">
          <cell r="A8" t="str">
            <v>OPE EXPENSES</v>
          </cell>
        </row>
        <row r="9">
          <cell r="A9" t="str">
            <v>ADMINISTRATION</v>
          </cell>
        </row>
        <row r="10">
          <cell r="A10" t="str">
            <v>OPERATION COST</v>
          </cell>
        </row>
        <row r="11">
          <cell r="A11" t="str">
            <v>PARTS &amp; MATERIAL</v>
          </cell>
        </row>
        <row r="12">
          <cell r="A12" t="str">
            <v>TECH. SUPPORT</v>
          </cell>
        </row>
        <row r="13">
          <cell r="A13" t="str">
            <v>MANAGE FEE</v>
          </cell>
        </row>
        <row r="14">
          <cell r="A14" t="str">
            <v>REINBURSE</v>
          </cell>
        </row>
        <row r="15">
          <cell r="A15" t="str">
            <v>TOTAL RP</v>
          </cell>
        </row>
        <row r="16">
          <cell r="A16" t="str">
            <v xml:space="preserve">  (FIXASSET&gt;2,000)</v>
          </cell>
        </row>
        <row r="17">
          <cell r="A17" t="str">
            <v xml:space="preserve">  (COMPO.REPAIR)</v>
          </cell>
        </row>
        <row r="18">
          <cell r="A18" t="str">
            <v xml:space="preserve">  (ENGINE OH)</v>
          </cell>
        </row>
        <row r="19">
          <cell r="A19" t="str">
            <v xml:space="preserve">  (TTL REPAIR)</v>
          </cell>
        </row>
        <row r="20">
          <cell r="A20" t="str">
            <v xml:space="preserve">  (LOCAL PARTS)</v>
          </cell>
        </row>
        <row r="21">
          <cell r="A21" t="str">
            <v xml:space="preserve">  </v>
          </cell>
        </row>
        <row r="22">
          <cell r="A22" t="str">
            <v>EXPENSES (US$)</v>
          </cell>
        </row>
        <row r="23">
          <cell r="A23" t="str">
            <v>INVESTMENT</v>
          </cell>
        </row>
        <row r="24">
          <cell r="A24" t="str">
            <v>ASSEMBLING</v>
          </cell>
        </row>
        <row r="25">
          <cell r="A25" t="str">
            <v>KPC BACK CHARGE</v>
          </cell>
        </row>
        <row r="26">
          <cell r="A26" t="str">
            <v>OPE EXPENSES</v>
          </cell>
        </row>
        <row r="27">
          <cell r="A27" t="str">
            <v>ADMINISTRATION</v>
          </cell>
        </row>
        <row r="28">
          <cell r="A28" t="str">
            <v>OPERATION COST</v>
          </cell>
        </row>
        <row r="29">
          <cell r="A29" t="str">
            <v>PARTS &amp; MATERIAL</v>
          </cell>
        </row>
        <row r="30">
          <cell r="A30" t="str">
            <v>TECH. SUPPORT</v>
          </cell>
        </row>
        <row r="31">
          <cell r="A31" t="str">
            <v>MANAGE FEE</v>
          </cell>
        </row>
        <row r="32">
          <cell r="A32" t="str">
            <v>REINBURSE(RETN)</v>
          </cell>
        </row>
        <row r="33">
          <cell r="A33" t="str">
            <v>TOTAL US$(a)</v>
          </cell>
        </row>
        <row r="34">
          <cell r="A34" t="str">
            <v xml:space="preserve">  (FIX ASSET)</v>
          </cell>
        </row>
        <row r="35">
          <cell r="A35" t="str">
            <v xml:space="preserve">  (COMPO.REPAIR)</v>
          </cell>
        </row>
        <row r="36">
          <cell r="A36" t="str">
            <v xml:space="preserve">  (ENGINE OH)</v>
          </cell>
        </row>
        <row r="37">
          <cell r="A37" t="str">
            <v xml:space="preserve">  (TTL REPAIR)</v>
          </cell>
        </row>
        <row r="38">
          <cell r="A38" t="str">
            <v xml:space="preserve">  (LOCAL PARTS)</v>
          </cell>
        </row>
        <row r="41">
          <cell r="A41" t="str">
            <v>INVOICE(US$)</v>
          </cell>
        </row>
        <row r="42">
          <cell r="A42" t="str">
            <v>EXCL. STAND-BY</v>
          </cell>
        </row>
        <row r="43">
          <cell r="A43" t="str">
            <v>CONTRACT FEE</v>
          </cell>
        </row>
        <row r="44">
          <cell r="A44" t="str">
            <v>ADD. JOB</v>
          </cell>
        </row>
        <row r="45">
          <cell r="A45" t="str">
            <v xml:space="preserve">  LABOUR</v>
          </cell>
        </row>
        <row r="46">
          <cell r="A46" t="str">
            <v xml:space="preserve">  PARTS(NET)</v>
          </cell>
        </row>
        <row r="47">
          <cell r="A47" t="str">
            <v xml:space="preserve">  HEXINDO</v>
          </cell>
        </row>
        <row r="48">
          <cell r="A48" t="str">
            <v>STAND-BY</v>
          </cell>
        </row>
        <row r="49">
          <cell r="A49" t="str">
            <v>TOTAL HRS</v>
          </cell>
        </row>
        <row r="50">
          <cell r="A50" t="str">
            <v>INVOICE TTL</v>
          </cell>
        </row>
        <row r="51">
          <cell r="A51" t="str">
            <v>LABOUR</v>
          </cell>
        </row>
        <row r="52">
          <cell r="A52" t="str">
            <v>PARTS(NET)</v>
          </cell>
        </row>
        <row r="53">
          <cell r="A53" t="str">
            <v>HEXINDO</v>
          </cell>
        </row>
        <row r="54">
          <cell r="A54" t="str">
            <v>PRE-PAYMENT</v>
          </cell>
        </row>
        <row r="55">
          <cell r="A55" t="str">
            <v>DISTRIBUTION</v>
          </cell>
        </row>
        <row r="56">
          <cell r="A56" t="str">
            <v>PROJECT</v>
          </cell>
        </row>
        <row r="57">
          <cell r="A57" t="str">
            <v>HCMS</v>
          </cell>
        </row>
        <row r="58">
          <cell r="A58" t="str">
            <v>HEXINDO</v>
          </cell>
        </row>
        <row r="60">
          <cell r="A60" t="str">
            <v>INCOME</v>
          </cell>
        </row>
        <row r="61">
          <cell r="A61" t="str">
            <v>INVOICE MONTH</v>
          </cell>
        </row>
        <row r="62">
          <cell r="A62" t="str">
            <v>INVOICE TTL</v>
          </cell>
        </row>
        <row r="63">
          <cell r="A63" t="str">
            <v xml:space="preserve">PRTS RETAIL RP(1) </v>
          </cell>
        </row>
        <row r="64">
          <cell r="A64" t="str">
            <v>SERVICE FEE 1</v>
          </cell>
        </row>
        <row r="65">
          <cell r="A65" t="str">
            <v>SERVICE FEE 2</v>
          </cell>
        </row>
        <row r="66">
          <cell r="A66" t="str">
            <v>SERVICE FEE 3</v>
          </cell>
        </row>
        <row r="67">
          <cell r="A67" t="str">
            <v>FEE FRM HCM</v>
          </cell>
        </row>
        <row r="68">
          <cell r="A68" t="str">
            <v>TTL RCVD(2)</v>
          </cell>
        </row>
        <row r="70">
          <cell r="A70" t="str">
            <v>NET INCOME (2-1)</v>
          </cell>
        </row>
        <row r="71">
          <cell r="A71" t="str">
            <v>(1) PAYABL TO HEX</v>
          </cell>
        </row>
        <row r="73">
          <cell r="A73" t="str">
            <v>KPC CHARGE 1</v>
          </cell>
        </row>
        <row r="74">
          <cell r="A74" t="str">
            <v>KPC CHARFE 2</v>
          </cell>
        </row>
        <row r="75">
          <cell r="A75" t="str">
            <v>CASH FLOW</v>
          </cell>
        </row>
        <row r="76">
          <cell r="A76" t="str">
            <v>BIG. BALANCE</v>
          </cell>
        </row>
        <row r="77">
          <cell r="A77" t="str">
            <v xml:space="preserve">TTL IN-FLOW </v>
          </cell>
        </row>
        <row r="78">
          <cell r="A78" t="str">
            <v xml:space="preserve"> INFLOW(KPC+HCM)</v>
          </cell>
        </row>
        <row r="79">
          <cell r="A79" t="str">
            <v xml:space="preserve"> OTHERS(TRANSIT)</v>
          </cell>
        </row>
        <row r="80">
          <cell r="A80" t="str">
            <v>TTL OUT-FLOW</v>
          </cell>
        </row>
        <row r="81">
          <cell r="A81" t="str">
            <v xml:space="preserve"> EXPENSES</v>
          </cell>
        </row>
        <row r="82">
          <cell r="A82" t="str">
            <v xml:space="preserve"> PAYMENT HCMS</v>
          </cell>
        </row>
        <row r="83">
          <cell r="A83" t="str">
            <v xml:space="preserve"> PAYMENT HCM</v>
          </cell>
        </row>
        <row r="84">
          <cell r="A84" t="str">
            <v xml:space="preserve"> PAYMENT HEXINDO</v>
          </cell>
        </row>
        <row r="85">
          <cell r="A85" t="str">
            <v xml:space="preserve"> OTHERS(TRANSIT)</v>
          </cell>
        </row>
        <row r="86">
          <cell r="A86" t="str">
            <v>SURPLUS</v>
          </cell>
        </row>
        <row r="87">
          <cell r="A87" t="str">
            <v>END BALANCE</v>
          </cell>
        </row>
        <row r="88">
          <cell r="A88" t="str">
            <v xml:space="preserve">  US$</v>
          </cell>
        </row>
        <row r="89">
          <cell r="A89" t="str">
            <v xml:space="preserve">  RPS JKRT</v>
          </cell>
        </row>
        <row r="90">
          <cell r="A90" t="str">
            <v xml:space="preserve">  RPS SITE</v>
          </cell>
        </row>
        <row r="91">
          <cell r="A91" t="str">
            <v>IN TRANSIT</v>
          </cell>
        </row>
        <row r="92">
          <cell r="A92" t="str">
            <v>PAY HCMS</v>
          </cell>
        </row>
        <row r="93">
          <cell r="A93" t="str">
            <v xml:space="preserve">    HCM</v>
          </cell>
        </row>
        <row r="94">
          <cell r="A94" t="str">
            <v xml:space="preserve">    HEXINDO</v>
          </cell>
        </row>
        <row r="95">
          <cell r="A95" t="str">
            <v>OUT TRANSIT</v>
          </cell>
        </row>
        <row r="99">
          <cell r="A99" t="str">
            <v>ACTUAL VS BUDGET</v>
          </cell>
        </row>
        <row r="100">
          <cell r="A100" t="str">
            <v xml:space="preserve"> BUDGET TOTAL(a)</v>
          </cell>
        </row>
        <row r="101">
          <cell r="A101" t="str">
            <v xml:space="preserve">   (EXPENSES)</v>
          </cell>
        </row>
        <row r="102">
          <cell r="A102" t="str">
            <v xml:space="preserve">   (SPECIAL INVEST)</v>
          </cell>
        </row>
        <row r="103">
          <cell r="A103" t="str">
            <v xml:space="preserve"> ACTUAL TOTAL(b)</v>
          </cell>
        </row>
        <row r="104">
          <cell r="A104" t="str">
            <v xml:space="preserve">   (EXPENSES)</v>
          </cell>
        </row>
        <row r="105">
          <cell r="A105" t="str">
            <v xml:space="preserve">   (SPECIAL INVEST)</v>
          </cell>
        </row>
        <row r="106">
          <cell r="A106" t="str">
            <v xml:space="preserve"> VARIANCE (a-b)</v>
          </cell>
        </row>
        <row r="107">
          <cell r="A107" t="str">
            <v xml:space="preserve">   (EXPENSES)</v>
          </cell>
        </row>
        <row r="108">
          <cell r="A108" t="str">
            <v xml:space="preserve">   (SPECIAL INVEST)</v>
          </cell>
        </row>
        <row r="109">
          <cell r="A109" t="str">
            <v xml:space="preserve"> (b)/(a)   %</v>
          </cell>
        </row>
        <row r="110">
          <cell r="A110" t="str">
            <v xml:space="preserve">   (EXPENSES)</v>
          </cell>
        </row>
        <row r="111">
          <cell r="A111" t="str">
            <v xml:space="preserve">   (SPECIAL INVEST)</v>
          </cell>
        </row>
      </sheetData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(unit)"/>
      <sheetName val="Matrix(eng)"/>
      <sheetName val="PartsSum"/>
      <sheetName val="PriceStructure"/>
      <sheetName val="ｼﾐｭﾚｰｼｮﾝ"/>
      <sheetName val="S6R"/>
      <sheetName val="S12A2"/>
      <sheetName val="S16R"/>
      <sheetName val="Parts"/>
      <sheetName val="Filter"/>
      <sheetName val="大物"/>
      <sheetName val="Recmd"/>
      <sheetName val="計算条件"/>
      <sheetName val="本体粗利計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build"/>
      <sheetName val="TASK"/>
      <sheetName val="MOD"/>
      <sheetName val="PM"/>
      <sheetName val="EngTTL"/>
      <sheetName val="WELD"/>
      <sheetName val="OUT"/>
      <sheetName val="GET"/>
      <sheetName val="Apl"/>
      <sheetName val="ELECT."/>
      <sheetName val="ENG_A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priceNEW"/>
      <sheetName val="APLratio"/>
    </sheetNames>
    <sheetDataSet>
      <sheetData sheetId="0"/>
      <sheetData sheetId="1" refreshError="1">
        <row r="5">
          <cell r="A5" t="str">
            <v>17115</v>
          </cell>
          <cell r="B5" t="str">
            <v>PILOT PIPING(1-1)&amp;(1-2)</v>
          </cell>
          <cell r="C5">
            <v>9000</v>
          </cell>
          <cell r="D5">
            <v>1</v>
          </cell>
          <cell r="E5">
            <v>3257.3612000000003</v>
          </cell>
          <cell r="F5">
            <v>3257.3612000000003</v>
          </cell>
        </row>
        <row r="6">
          <cell r="A6" t="str">
            <v>17141</v>
          </cell>
          <cell r="B6" t="str">
            <v>PILOT PIPING(4-1)TO(4-4)</v>
          </cell>
          <cell r="C6">
            <v>9000</v>
          </cell>
          <cell r="D6">
            <v>1</v>
          </cell>
          <cell r="E6">
            <v>3323.4463999999989</v>
          </cell>
          <cell r="F6">
            <v>3323.4463999999989</v>
          </cell>
        </row>
        <row r="7">
          <cell r="A7" t="str">
            <v>17149</v>
          </cell>
          <cell r="B7" t="str">
            <v>AIR PIPING(1)TO(6)</v>
          </cell>
          <cell r="C7">
            <v>9000</v>
          </cell>
          <cell r="D7">
            <v>1</v>
          </cell>
          <cell r="E7">
            <v>2262.9860000000003</v>
          </cell>
          <cell r="F7">
            <v>2262.9860000000003</v>
          </cell>
        </row>
        <row r="8">
          <cell r="A8" t="str">
            <v>17171</v>
          </cell>
          <cell r="B8" t="str">
            <v>ELECTRICAL PARTS</v>
          </cell>
          <cell r="C8">
            <v>12000</v>
          </cell>
          <cell r="D8">
            <v>1</v>
          </cell>
          <cell r="E8">
            <v>27066.202800000003</v>
          </cell>
          <cell r="F8">
            <v>27066.202800000003</v>
          </cell>
        </row>
        <row r="9">
          <cell r="A9" t="str">
            <v>18001</v>
          </cell>
          <cell r="B9" t="str">
            <v>SWING BEARING</v>
          </cell>
          <cell r="C9">
            <v>24000</v>
          </cell>
          <cell r="D9">
            <v>1</v>
          </cell>
          <cell r="E9">
            <v>162717.08480000001</v>
          </cell>
          <cell r="F9">
            <v>162717.08480000001</v>
          </cell>
        </row>
        <row r="10">
          <cell r="A10" t="str">
            <v>18002</v>
          </cell>
          <cell r="B10" t="str">
            <v>ENGINE REBUILDING</v>
          </cell>
          <cell r="C10">
            <v>12000</v>
          </cell>
          <cell r="D10">
            <v>2</v>
          </cell>
          <cell r="E10">
            <v>36252.120000000003</v>
          </cell>
          <cell r="F10">
            <v>72504.240000000005</v>
          </cell>
        </row>
        <row r="11">
          <cell r="A11" t="str">
            <v>18003</v>
          </cell>
          <cell r="B11" t="str">
            <v xml:space="preserve">ENGINE         </v>
          </cell>
          <cell r="C11">
            <v>12000</v>
          </cell>
          <cell r="D11">
            <v>2</v>
          </cell>
          <cell r="E11">
            <v>5676.6455999999989</v>
          </cell>
          <cell r="F11">
            <v>11353.291199999998</v>
          </cell>
        </row>
        <row r="12">
          <cell r="A12" t="str">
            <v>18005</v>
          </cell>
          <cell r="B12" t="str">
            <v>RADIATOR</v>
          </cell>
          <cell r="C12">
            <v>18000</v>
          </cell>
          <cell r="D12">
            <v>2</v>
          </cell>
          <cell r="E12">
            <v>6095.6402399999997</v>
          </cell>
          <cell r="F12">
            <v>12191.280479999999</v>
          </cell>
        </row>
        <row r="13">
          <cell r="A13" t="str">
            <v>18011</v>
          </cell>
          <cell r="B13" t="str">
            <v xml:space="preserve">AIR CLEANER    </v>
          </cell>
          <cell r="C13">
            <v>18000</v>
          </cell>
          <cell r="D13">
            <v>1</v>
          </cell>
          <cell r="E13">
            <v>2135.0871999999995</v>
          </cell>
          <cell r="F13">
            <v>2135.0871999999995</v>
          </cell>
        </row>
        <row r="14">
          <cell r="A14" t="str">
            <v>18013</v>
          </cell>
          <cell r="B14" t="str">
            <v xml:space="preserve">MUFFLER        </v>
          </cell>
          <cell r="C14">
            <v>24000</v>
          </cell>
          <cell r="D14">
            <v>2</v>
          </cell>
          <cell r="E14">
            <v>4344.5480000000007</v>
          </cell>
          <cell r="F14">
            <v>8689.0960000000014</v>
          </cell>
        </row>
        <row r="15">
          <cell r="A15" t="str">
            <v>18015</v>
          </cell>
          <cell r="B15" t="str">
            <v>BYPASS FILTER PIPING</v>
          </cell>
          <cell r="C15">
            <v>9000</v>
          </cell>
          <cell r="D15">
            <v>1</v>
          </cell>
          <cell r="E15">
            <v>2693.4155999999998</v>
          </cell>
          <cell r="F15">
            <v>2693.4155999999998</v>
          </cell>
        </row>
        <row r="16">
          <cell r="A16" t="str">
            <v>18023</v>
          </cell>
          <cell r="B16" t="str">
            <v>FUEL TANK &amp; PIPING</v>
          </cell>
          <cell r="C16">
            <v>18000</v>
          </cell>
          <cell r="D16">
            <v>1</v>
          </cell>
          <cell r="E16">
            <v>2951.5967999999998</v>
          </cell>
          <cell r="F16">
            <v>2951.5967999999998</v>
          </cell>
        </row>
        <row r="17">
          <cell r="A17" t="str">
            <v>18031</v>
          </cell>
          <cell r="B17" t="str">
            <v>TRANSMISSION(PUMP)PIPING</v>
          </cell>
          <cell r="C17">
            <v>12000</v>
          </cell>
          <cell r="D17">
            <v>2</v>
          </cell>
          <cell r="E17">
            <v>58886.491199999989</v>
          </cell>
          <cell r="F17">
            <v>117772.98239999998</v>
          </cell>
        </row>
        <row r="18">
          <cell r="A18" t="str">
            <v>18037</v>
          </cell>
          <cell r="B18" t="str">
            <v>TRANSMISSION(PUMP)</v>
          </cell>
          <cell r="C18">
            <v>24000</v>
          </cell>
          <cell r="D18">
            <v>2</v>
          </cell>
          <cell r="E18">
            <v>18560.384399999999</v>
          </cell>
          <cell r="F18">
            <v>37120.768799999998</v>
          </cell>
        </row>
        <row r="19">
          <cell r="A19" t="str">
            <v>18039</v>
          </cell>
          <cell r="B19" t="str">
            <v>TRANSMISSION(PUMP) COOLER</v>
          </cell>
          <cell r="C19">
            <v>18000</v>
          </cell>
          <cell r="D19">
            <v>1</v>
          </cell>
          <cell r="E19">
            <v>532.42999999999995</v>
          </cell>
          <cell r="F19">
            <v>532.42999999999995</v>
          </cell>
        </row>
        <row r="20">
          <cell r="A20" t="str">
            <v>18040</v>
          </cell>
          <cell r="B20" t="str">
            <v>TRANSMISSION(PUMP) COOLERPIPING</v>
          </cell>
          <cell r="C20">
            <v>9000</v>
          </cell>
          <cell r="D20">
            <v>1</v>
          </cell>
          <cell r="E20">
            <v>2614.8255999999997</v>
          </cell>
          <cell r="F20">
            <v>2614.8255999999997</v>
          </cell>
        </row>
        <row r="21">
          <cell r="A21" t="str">
            <v>18045</v>
          </cell>
          <cell r="B21" t="str">
            <v xml:space="preserve">SWING DEVICE   </v>
          </cell>
          <cell r="C21">
            <v>24000</v>
          </cell>
          <cell r="D21">
            <v>2</v>
          </cell>
          <cell r="E21">
            <v>74884.22</v>
          </cell>
          <cell r="F21">
            <v>149768.44</v>
          </cell>
        </row>
        <row r="22">
          <cell r="A22" t="str">
            <v>18051</v>
          </cell>
          <cell r="B22" t="str">
            <v>SUCTION PIPING(2)&amp;(3)</v>
          </cell>
          <cell r="C22">
            <v>9000</v>
          </cell>
          <cell r="D22">
            <v>1</v>
          </cell>
          <cell r="E22">
            <v>1054.9967999999999</v>
          </cell>
          <cell r="F22">
            <v>1054.9967999999999</v>
          </cell>
        </row>
        <row r="23">
          <cell r="A23" t="str">
            <v>18055</v>
          </cell>
          <cell r="B23" t="str">
            <v>RETURN PIPING(1),(2),(3),(4)</v>
          </cell>
          <cell r="C23">
            <v>9000</v>
          </cell>
          <cell r="D23">
            <v>1</v>
          </cell>
          <cell r="E23">
            <v>3277.7772</v>
          </cell>
          <cell r="F23">
            <v>3277.7772</v>
          </cell>
        </row>
        <row r="24">
          <cell r="A24" t="str">
            <v>18069</v>
          </cell>
          <cell r="B24" t="str">
            <v>MAIN PIPING(1-1)TO(1-4)</v>
          </cell>
          <cell r="C24">
            <v>9000</v>
          </cell>
          <cell r="D24">
            <v>1</v>
          </cell>
          <cell r="E24">
            <v>7878.8783999999996</v>
          </cell>
          <cell r="F24">
            <v>7878.8783999999996</v>
          </cell>
        </row>
        <row r="25">
          <cell r="A25" t="str">
            <v>18077</v>
          </cell>
          <cell r="B25" t="str">
            <v>MAIN PIPING(2-1)TO(2-3)</v>
          </cell>
          <cell r="C25">
            <v>9000</v>
          </cell>
          <cell r="D25">
            <v>1</v>
          </cell>
          <cell r="E25">
            <v>10126.836088888886</v>
          </cell>
          <cell r="F25">
            <v>10126.836088888886</v>
          </cell>
        </row>
        <row r="26">
          <cell r="A26" t="str">
            <v>18085</v>
          </cell>
          <cell r="B26" t="str">
            <v>SWING PIPING(1)TO(3)</v>
          </cell>
          <cell r="C26">
            <v>9000</v>
          </cell>
          <cell r="D26">
            <v>1</v>
          </cell>
          <cell r="E26">
            <v>5840.1102222222216</v>
          </cell>
          <cell r="F26">
            <v>5840.1102222222216</v>
          </cell>
        </row>
        <row r="27">
          <cell r="A27" t="str">
            <v>18091</v>
          </cell>
          <cell r="B27" t="str">
            <v>DRAIN PIPING(1)&amp;(2)</v>
          </cell>
          <cell r="C27">
            <v>9000</v>
          </cell>
          <cell r="D27">
            <v>1</v>
          </cell>
          <cell r="E27">
            <v>652.16359999999997</v>
          </cell>
          <cell r="F27">
            <v>652.16359999999997</v>
          </cell>
        </row>
        <row r="28">
          <cell r="A28" t="str">
            <v>18100</v>
          </cell>
          <cell r="B28" t="str">
            <v>ENGINE CONTROL SYSTEM</v>
          </cell>
          <cell r="C28">
            <v>9000</v>
          </cell>
          <cell r="D28">
            <v>1</v>
          </cell>
          <cell r="E28">
            <v>243.67920000000007</v>
          </cell>
          <cell r="F28">
            <v>243.67920000000007</v>
          </cell>
        </row>
        <row r="29">
          <cell r="A29" t="str">
            <v>18109</v>
          </cell>
          <cell r="B29" t="str">
            <v>PILOT PIPING(1-1)&amp;(1-2)</v>
          </cell>
          <cell r="C29">
            <v>9000</v>
          </cell>
          <cell r="D29">
            <v>1</v>
          </cell>
          <cell r="E29">
            <v>3371.7836000000007</v>
          </cell>
          <cell r="F29">
            <v>3371.7836000000007</v>
          </cell>
        </row>
        <row r="30">
          <cell r="A30" t="str">
            <v>18115</v>
          </cell>
          <cell r="B30" t="str">
            <v>PILOT PIPING(2-1)TO(2-4)</v>
          </cell>
          <cell r="C30">
            <v>9000</v>
          </cell>
          <cell r="D30">
            <v>1</v>
          </cell>
          <cell r="E30">
            <v>2652.3863999999994</v>
          </cell>
          <cell r="F30">
            <v>2652.3863999999994</v>
          </cell>
        </row>
        <row r="31">
          <cell r="A31" t="str">
            <v>18116</v>
          </cell>
          <cell r="B31" t="str">
            <v xml:space="preserve">SHUTTLE VALVE  </v>
          </cell>
          <cell r="C31">
            <v>18000</v>
          </cell>
          <cell r="D31">
            <v>1</v>
          </cell>
          <cell r="E31">
            <v>2030.7655999999997</v>
          </cell>
          <cell r="F31">
            <v>2030.7655999999997</v>
          </cell>
        </row>
        <row r="32">
          <cell r="A32" t="str">
            <v>18123</v>
          </cell>
          <cell r="B32" t="str">
            <v>PILOT PIPING(2-5)&amp;(3-4)-BACKHOE</v>
          </cell>
          <cell r="C32">
            <v>9000</v>
          </cell>
          <cell r="D32">
            <v>1</v>
          </cell>
          <cell r="E32">
            <v>1381.7223999999997</v>
          </cell>
          <cell r="F32">
            <v>1381.7223999999997</v>
          </cell>
        </row>
        <row r="33">
          <cell r="A33" t="str">
            <v>18125</v>
          </cell>
          <cell r="B33" t="str">
            <v>PILOT PIPING(2-5)&amp;(3-4)-LOADER</v>
          </cell>
          <cell r="C33">
            <v>9000</v>
          </cell>
          <cell r="D33">
            <v>1</v>
          </cell>
          <cell r="E33">
            <v>1361.8283999999996</v>
          </cell>
          <cell r="F33">
            <v>1361.8283999999996</v>
          </cell>
        </row>
        <row r="34">
          <cell r="A34" t="str">
            <v>18127</v>
          </cell>
          <cell r="B34" t="str">
            <v>PILOT PIPING(3-1)TO(3-3)</v>
          </cell>
          <cell r="C34">
            <v>9000</v>
          </cell>
          <cell r="D34">
            <v>1</v>
          </cell>
          <cell r="E34">
            <v>2046.7619999999999</v>
          </cell>
          <cell r="F34">
            <v>2046.7619999999999</v>
          </cell>
        </row>
        <row r="35">
          <cell r="A35" t="str">
            <v>18137</v>
          </cell>
          <cell r="B35" t="str">
            <v>PILOT PIPING(4-1)TO(4-4)</v>
          </cell>
          <cell r="C35">
            <v>9000</v>
          </cell>
          <cell r="D35">
            <v>1</v>
          </cell>
          <cell r="E35">
            <v>3309.7235999999998</v>
          </cell>
          <cell r="F35">
            <v>3309.7235999999998</v>
          </cell>
        </row>
        <row r="36">
          <cell r="A36" t="str">
            <v>18145</v>
          </cell>
          <cell r="B36" t="str">
            <v>AIR PIPING(1) TO (5)</v>
          </cell>
          <cell r="C36">
            <v>9000</v>
          </cell>
          <cell r="D36">
            <v>1</v>
          </cell>
          <cell r="E36">
            <v>2074.3816000000002</v>
          </cell>
          <cell r="F36">
            <v>2074.3816000000002</v>
          </cell>
        </row>
        <row r="37">
          <cell r="A37" t="str">
            <v>18161</v>
          </cell>
          <cell r="B37" t="str">
            <v>AIR DRYER(1)&amp;(2)</v>
          </cell>
          <cell r="C37">
            <v>9000</v>
          </cell>
          <cell r="D37">
            <v>1</v>
          </cell>
          <cell r="E37">
            <v>410.66319999999996</v>
          </cell>
          <cell r="F37">
            <v>410.66319999999996</v>
          </cell>
        </row>
        <row r="38">
          <cell r="A38" t="str">
            <v>18165</v>
          </cell>
          <cell r="B38" t="str">
            <v>AIR DRYER &amp; SEPARATOR</v>
          </cell>
          <cell r="C38">
            <v>9000</v>
          </cell>
          <cell r="D38">
            <v>2</v>
          </cell>
          <cell r="E38">
            <v>355.65213333333332</v>
          </cell>
          <cell r="F38">
            <v>711.30426666666665</v>
          </cell>
        </row>
        <row r="39">
          <cell r="A39" t="str">
            <v>18175</v>
          </cell>
          <cell r="B39" t="str">
            <v>ELECTRICAL PARTS</v>
          </cell>
          <cell r="C39">
            <v>12000</v>
          </cell>
          <cell r="D39">
            <v>1</v>
          </cell>
          <cell r="E39">
            <v>25951.187600000001</v>
          </cell>
          <cell r="F39">
            <v>25951.187600000001</v>
          </cell>
        </row>
        <row r="40">
          <cell r="A40" t="str">
            <v>18209</v>
          </cell>
          <cell r="B40" t="str">
            <v>LUB. VALVE &amp; HOSE</v>
          </cell>
          <cell r="C40">
            <v>9000</v>
          </cell>
          <cell r="D40">
            <v>1</v>
          </cell>
          <cell r="E40">
            <v>6336.1971999999996</v>
          </cell>
          <cell r="F40">
            <v>6336.1971999999996</v>
          </cell>
        </row>
        <row r="41">
          <cell r="A41" t="str">
            <v>18291</v>
          </cell>
          <cell r="B41" t="str">
            <v xml:space="preserve">TRAVEL DEVICE  </v>
          </cell>
          <cell r="C41">
            <v>24000</v>
          </cell>
          <cell r="D41">
            <v>2</v>
          </cell>
          <cell r="E41">
            <v>139109.0912</v>
          </cell>
          <cell r="F41">
            <v>278218.18239999999</v>
          </cell>
        </row>
        <row r="42">
          <cell r="A42" t="str">
            <v>18293</v>
          </cell>
          <cell r="B42" t="str">
            <v>FRONT IDLER &amp; GUARD</v>
          </cell>
          <cell r="C42">
            <v>18000</v>
          </cell>
          <cell r="D42">
            <v>2</v>
          </cell>
          <cell r="E42">
            <v>14646.113600000001</v>
          </cell>
          <cell r="F42">
            <v>29292.227200000001</v>
          </cell>
        </row>
        <row r="43">
          <cell r="A43" t="str">
            <v>18297</v>
          </cell>
          <cell r="B43" t="str">
            <v>ADJUSTER(1)&amp;(2) PIPING</v>
          </cell>
          <cell r="C43">
            <v>18000</v>
          </cell>
          <cell r="D43">
            <v>1</v>
          </cell>
          <cell r="E43">
            <v>3618.2836000000007</v>
          </cell>
          <cell r="F43">
            <v>3618.2836000000007</v>
          </cell>
        </row>
        <row r="44">
          <cell r="A44" t="str">
            <v>18299</v>
          </cell>
          <cell r="B44" t="str">
            <v>ADJUSTER CYLINDER</v>
          </cell>
          <cell r="C44">
            <v>18000</v>
          </cell>
          <cell r="D44">
            <v>2</v>
          </cell>
          <cell r="E44">
            <v>3853.6707999999999</v>
          </cell>
          <cell r="F44">
            <v>7707.3415999999997</v>
          </cell>
        </row>
        <row r="45">
          <cell r="A45" t="str">
            <v>18301</v>
          </cell>
          <cell r="B45" t="str">
            <v>ADJUSTER(2)VALVE</v>
          </cell>
          <cell r="C45">
            <v>18000</v>
          </cell>
          <cell r="D45">
            <v>1</v>
          </cell>
          <cell r="E45">
            <v>2885.0011999999997</v>
          </cell>
          <cell r="F45">
            <v>2885.0011999999997</v>
          </cell>
        </row>
        <row r="46">
          <cell r="A46" t="str">
            <v>18303</v>
          </cell>
          <cell r="B46" t="str">
            <v xml:space="preserve">UPPER ROLLER   </v>
          </cell>
          <cell r="C46">
            <v>18000</v>
          </cell>
          <cell r="D46">
            <v>1</v>
          </cell>
          <cell r="E46">
            <v>8423.5487999999987</v>
          </cell>
          <cell r="F46">
            <v>8423.5487999999987</v>
          </cell>
        </row>
        <row r="47">
          <cell r="A47" t="str">
            <v>18305</v>
          </cell>
          <cell r="B47" t="str">
            <v>LOWER ROLLER</v>
          </cell>
          <cell r="C47">
            <v>18000</v>
          </cell>
          <cell r="D47">
            <v>1</v>
          </cell>
          <cell r="E47">
            <v>79357.247199999983</v>
          </cell>
          <cell r="F47">
            <v>79357.247199999983</v>
          </cell>
        </row>
        <row r="48">
          <cell r="A48" t="str">
            <v>18307</v>
          </cell>
          <cell r="B48" t="str">
            <v>TRACK LINK &amp; SPROCKET</v>
          </cell>
          <cell r="C48">
            <v>24000</v>
          </cell>
          <cell r="D48">
            <v>1</v>
          </cell>
          <cell r="E48">
            <v>141395.48559999999</v>
          </cell>
          <cell r="F48">
            <v>141395.48559999999</v>
          </cell>
        </row>
        <row r="49">
          <cell r="A49" t="str">
            <v>18308</v>
          </cell>
          <cell r="B49" t="str">
            <v>EXCHANGE TRACK LINK</v>
          </cell>
          <cell r="C49">
            <v>18000</v>
          </cell>
          <cell r="D49">
            <v>2</v>
          </cell>
          <cell r="E49">
            <v>10605.77</v>
          </cell>
          <cell r="F49">
            <v>21211.54</v>
          </cell>
        </row>
        <row r="50">
          <cell r="A50" t="str">
            <v>18309</v>
          </cell>
          <cell r="B50" t="str">
            <v xml:space="preserve">CENTER JOINT   </v>
          </cell>
          <cell r="C50">
            <v>9000</v>
          </cell>
          <cell r="D50">
            <v>1</v>
          </cell>
          <cell r="E50">
            <v>96.129199999999983</v>
          </cell>
          <cell r="F50">
            <v>96.129199999999983</v>
          </cell>
        </row>
        <row r="51">
          <cell r="A51" t="str">
            <v>18311</v>
          </cell>
          <cell r="B51" t="str">
            <v>TRAVEL PIPING(1)TO(2)</v>
          </cell>
          <cell r="C51">
            <v>9000</v>
          </cell>
          <cell r="D51">
            <v>1</v>
          </cell>
          <cell r="E51">
            <v>16745.582133333337</v>
          </cell>
          <cell r="F51">
            <v>16745.582133333337</v>
          </cell>
        </row>
        <row r="52">
          <cell r="A52" t="str">
            <v>18317</v>
          </cell>
          <cell r="B52" t="str">
            <v>BACKHOE EXCEPT ARM END</v>
          </cell>
          <cell r="C52">
            <v>18000</v>
          </cell>
          <cell r="D52">
            <v>1</v>
          </cell>
          <cell r="E52">
            <v>41709.029599999994</v>
          </cell>
          <cell r="F52">
            <v>41709.029599999994</v>
          </cell>
        </row>
        <row r="53">
          <cell r="A53" t="str">
            <v>18321</v>
          </cell>
          <cell r="B53" t="str">
            <v>BACKHOE ARM END</v>
          </cell>
          <cell r="C53">
            <v>9000</v>
          </cell>
          <cell r="D53">
            <v>1</v>
          </cell>
          <cell r="E53">
            <v>19927.497485714288</v>
          </cell>
          <cell r="F53">
            <v>19927.497485714288</v>
          </cell>
        </row>
        <row r="54">
          <cell r="A54" t="str">
            <v>18333</v>
          </cell>
          <cell r="B54" t="str">
            <v>BACKHOE BUCKET(8.4 CUM)</v>
          </cell>
          <cell r="C54">
            <v>9000</v>
          </cell>
          <cell r="D54">
            <v>1</v>
          </cell>
          <cell r="E54">
            <v>16340.6556</v>
          </cell>
          <cell r="F54">
            <v>16340.6556</v>
          </cell>
        </row>
        <row r="55">
          <cell r="A55" t="str">
            <v>18337</v>
          </cell>
          <cell r="B55" t="str">
            <v>LUB. PIPING (BACKHOE)</v>
          </cell>
          <cell r="C55">
            <v>9000</v>
          </cell>
          <cell r="D55">
            <v>1</v>
          </cell>
          <cell r="E55">
            <v>49632.206571428556</v>
          </cell>
          <cell r="F55">
            <v>49632.206571428556</v>
          </cell>
        </row>
        <row r="56">
          <cell r="A56" t="str">
            <v>18347</v>
          </cell>
          <cell r="B56" t="str">
            <v>LOADER EXCEPT ARM END</v>
          </cell>
          <cell r="C56">
            <v>18000</v>
          </cell>
          <cell r="D56">
            <v>1</v>
          </cell>
          <cell r="E56">
            <v>33140.968000000001</v>
          </cell>
          <cell r="F56">
            <v>33140.968000000001</v>
          </cell>
        </row>
        <row r="57">
          <cell r="A57" t="str">
            <v>18351</v>
          </cell>
          <cell r="B57" t="str">
            <v>LOADER ARM END</v>
          </cell>
          <cell r="C57">
            <v>9000</v>
          </cell>
          <cell r="D57">
            <v>1</v>
          </cell>
          <cell r="E57">
            <v>2480.7991999999999</v>
          </cell>
          <cell r="F57">
            <v>2480.7991999999999</v>
          </cell>
        </row>
        <row r="58">
          <cell r="A58" t="str">
            <v>18355</v>
          </cell>
          <cell r="B58" t="str">
            <v>LOADER PIPING(1-2) TO (1-5)</v>
          </cell>
          <cell r="C58">
            <v>9000</v>
          </cell>
          <cell r="D58">
            <v>1</v>
          </cell>
          <cell r="E58">
            <v>41064.294599999979</v>
          </cell>
          <cell r="F58">
            <v>41064.294599999979</v>
          </cell>
        </row>
        <row r="59">
          <cell r="A59" t="str">
            <v>18363</v>
          </cell>
          <cell r="B59" t="str">
            <v>LOADER PIPING(2) &amp; LUB.PIPING</v>
          </cell>
          <cell r="C59">
            <v>9000</v>
          </cell>
          <cell r="D59">
            <v>1</v>
          </cell>
          <cell r="E59">
            <v>22645.837199999991</v>
          </cell>
          <cell r="F59">
            <v>22645.837199999991</v>
          </cell>
        </row>
        <row r="60">
          <cell r="A60" t="str">
            <v>18375</v>
          </cell>
          <cell r="B60" t="str">
            <v>LOADER BUCKET(12 CUM)</v>
          </cell>
          <cell r="C60">
            <v>9000</v>
          </cell>
          <cell r="D60">
            <v>1</v>
          </cell>
          <cell r="E60">
            <v>22601.9156</v>
          </cell>
          <cell r="F60">
            <v>22601.9156</v>
          </cell>
        </row>
        <row r="61">
          <cell r="A61" t="str">
            <v>18E04</v>
          </cell>
          <cell r="B61" t="str">
            <v>SWING MOTOR</v>
          </cell>
          <cell r="C61">
            <v>12000</v>
          </cell>
          <cell r="D61">
            <v>1</v>
          </cell>
          <cell r="E61">
            <v>15139.971999999998</v>
          </cell>
          <cell r="F61">
            <v>15139.971999999998</v>
          </cell>
        </row>
        <row r="62">
          <cell r="A62" t="str">
            <v>18E05</v>
          </cell>
          <cell r="B62" t="str">
            <v>TRAVEL MOTOR</v>
          </cell>
          <cell r="C62">
            <v>18000</v>
          </cell>
          <cell r="D62">
            <v>1</v>
          </cell>
          <cell r="E62">
            <v>27304.358399999997</v>
          </cell>
          <cell r="F62">
            <v>27304.358399999997</v>
          </cell>
        </row>
        <row r="63">
          <cell r="A63" t="str">
            <v>18E06</v>
          </cell>
          <cell r="B63" t="str">
            <v>CONTROL VALVE-RH (BACKHOE)</v>
          </cell>
          <cell r="C63">
            <v>9000</v>
          </cell>
          <cell r="D63">
            <v>1</v>
          </cell>
          <cell r="E63">
            <v>3686.58</v>
          </cell>
          <cell r="F63">
            <v>3686.58</v>
          </cell>
        </row>
        <row r="64">
          <cell r="A64" t="str">
            <v>18E07</v>
          </cell>
          <cell r="B64" t="str">
            <v>CONTROL VALVE-LH (BACKHOE)</v>
          </cell>
          <cell r="C64">
            <v>9000</v>
          </cell>
          <cell r="D64">
            <v>1</v>
          </cell>
          <cell r="E64">
            <v>3686.58</v>
          </cell>
          <cell r="F64">
            <v>3686.58</v>
          </cell>
        </row>
        <row r="65">
          <cell r="A65" t="str">
            <v>18E08</v>
          </cell>
          <cell r="B65" t="str">
            <v>CONTROL VALVE-RH (LOADER)</v>
          </cell>
          <cell r="C65">
            <v>9000</v>
          </cell>
          <cell r="D65">
            <v>1</v>
          </cell>
          <cell r="E65">
            <v>3686.5666666666666</v>
          </cell>
          <cell r="F65">
            <v>3686.5666666666666</v>
          </cell>
        </row>
        <row r="66">
          <cell r="A66" t="str">
            <v>18E09</v>
          </cell>
          <cell r="B66" t="str">
            <v>CONTROL VALVE-LH (LOADER)</v>
          </cell>
          <cell r="C66">
            <v>9000</v>
          </cell>
          <cell r="D66">
            <v>1</v>
          </cell>
          <cell r="E66">
            <v>4194.4333333333334</v>
          </cell>
          <cell r="F66">
            <v>4194.4333333333334</v>
          </cell>
        </row>
        <row r="67">
          <cell r="A67" t="str">
            <v>18E10</v>
          </cell>
          <cell r="B67" t="str">
            <v>CONTROL VALVE (SWING)</v>
          </cell>
          <cell r="C67">
            <v>9000</v>
          </cell>
          <cell r="D67">
            <v>2</v>
          </cell>
          <cell r="E67">
            <v>1549.3566666666666</v>
          </cell>
          <cell r="F67">
            <v>3098.7133333333331</v>
          </cell>
        </row>
        <row r="68">
          <cell r="A68" t="str">
            <v>18E11</v>
          </cell>
          <cell r="B68" t="str">
            <v xml:space="preserve">PILOT VALVE-LH </v>
          </cell>
          <cell r="C68">
            <v>9000</v>
          </cell>
          <cell r="D68">
            <v>1</v>
          </cell>
          <cell r="E68">
            <v>725.19720000000007</v>
          </cell>
          <cell r="F68">
            <v>725.19720000000007</v>
          </cell>
        </row>
        <row r="69">
          <cell r="A69" t="str">
            <v>18E12</v>
          </cell>
          <cell r="B69" t="str">
            <v>PILOT VALVE-RH</v>
          </cell>
          <cell r="C69">
            <v>9000</v>
          </cell>
          <cell r="D69">
            <v>1</v>
          </cell>
          <cell r="E69">
            <v>721.71720000000005</v>
          </cell>
          <cell r="F69">
            <v>721.71720000000005</v>
          </cell>
        </row>
        <row r="70">
          <cell r="A70" t="str">
            <v>18E13</v>
          </cell>
          <cell r="B70" t="str">
            <v>PILOT VALVE (TRAVEL)</v>
          </cell>
          <cell r="C70">
            <v>9000</v>
          </cell>
          <cell r="D70">
            <v>1</v>
          </cell>
          <cell r="E70">
            <v>162.7132</v>
          </cell>
          <cell r="F70">
            <v>162.7132</v>
          </cell>
        </row>
        <row r="71">
          <cell r="A71" t="str">
            <v>18E14</v>
          </cell>
          <cell r="B71" t="str">
            <v>PILOT VALVE (BKT OPEN)</v>
          </cell>
          <cell r="C71">
            <v>9000</v>
          </cell>
          <cell r="D71">
            <v>1</v>
          </cell>
          <cell r="E71">
            <v>91.199200000000005</v>
          </cell>
          <cell r="F71">
            <v>91.199200000000005</v>
          </cell>
        </row>
        <row r="72">
          <cell r="A72" t="str">
            <v>18E15</v>
          </cell>
          <cell r="B72" t="str">
            <v xml:space="preserve">BOOM CYLINDER  </v>
          </cell>
          <cell r="C72">
            <v>9000</v>
          </cell>
          <cell r="D72">
            <v>2</v>
          </cell>
          <cell r="E72">
            <v>3815.7155999999995</v>
          </cell>
          <cell r="F72">
            <v>7631.4311999999991</v>
          </cell>
        </row>
        <row r="73">
          <cell r="A73" t="str">
            <v>18E16</v>
          </cell>
          <cell r="B73" t="str">
            <v>EXCHANGE CYLINDER (LOADER)</v>
          </cell>
          <cell r="C73">
            <v>9000</v>
          </cell>
          <cell r="D73">
            <v>1</v>
          </cell>
          <cell r="E73">
            <v>62111.289399999987</v>
          </cell>
          <cell r="F73">
            <v>62111.289399999987</v>
          </cell>
        </row>
        <row r="74">
          <cell r="A74" t="str">
            <v>18E17</v>
          </cell>
          <cell r="B74" t="str">
            <v>ARM CYLINDER (LOADER)</v>
          </cell>
          <cell r="C74">
            <v>9000</v>
          </cell>
          <cell r="D74">
            <v>1</v>
          </cell>
          <cell r="E74">
            <v>2398.59</v>
          </cell>
          <cell r="F74">
            <v>2398.59</v>
          </cell>
        </row>
        <row r="75">
          <cell r="A75" t="str">
            <v>18E18</v>
          </cell>
          <cell r="B75" t="str">
            <v>LEVEL CYLINDER (LOADER)</v>
          </cell>
          <cell r="C75">
            <v>9000</v>
          </cell>
          <cell r="D75">
            <v>1</v>
          </cell>
          <cell r="E75">
            <v>3817.4787999999999</v>
          </cell>
          <cell r="F75">
            <v>3817.4787999999999</v>
          </cell>
        </row>
        <row r="76">
          <cell r="A76" t="str">
            <v>18E19</v>
          </cell>
          <cell r="B76" t="str">
            <v>BUCKET CYLINDER (BACKHOE)</v>
          </cell>
          <cell r="C76">
            <v>9000</v>
          </cell>
          <cell r="D76">
            <v>2</v>
          </cell>
          <cell r="E76">
            <v>1739.6288</v>
          </cell>
          <cell r="F76">
            <v>3479.2575999999999</v>
          </cell>
        </row>
        <row r="77">
          <cell r="A77" t="str">
            <v>18E20</v>
          </cell>
          <cell r="B77" t="str">
            <v>TILT CYLINDER (LOADER)</v>
          </cell>
          <cell r="C77">
            <v>9000</v>
          </cell>
          <cell r="D77">
            <v>2</v>
          </cell>
          <cell r="E77">
            <v>2338.56</v>
          </cell>
          <cell r="F77">
            <v>4677.12</v>
          </cell>
        </row>
        <row r="78">
          <cell r="A78" t="str">
            <v>18E21</v>
          </cell>
          <cell r="B78" t="str">
            <v>DUMP CYLINDER (LOADER)</v>
          </cell>
          <cell r="C78">
            <v>9000</v>
          </cell>
          <cell r="D78">
            <v>2</v>
          </cell>
          <cell r="E78">
            <v>1950.1827999999998</v>
          </cell>
          <cell r="F78">
            <v>3900.3655999999996</v>
          </cell>
        </row>
        <row r="79">
          <cell r="A79" t="str">
            <v>18E22</v>
          </cell>
          <cell r="B79" t="str">
            <v>SUMMATION VALVE</v>
          </cell>
          <cell r="C79">
            <v>12000</v>
          </cell>
          <cell r="D79">
            <v>1</v>
          </cell>
          <cell r="E79">
            <v>3067.8335999999999</v>
          </cell>
          <cell r="F79">
            <v>3067.8335999999999</v>
          </cell>
        </row>
        <row r="80">
          <cell r="A80" t="str">
            <v>18E23</v>
          </cell>
          <cell r="B80" t="str">
            <v>SELECTOR VALVE(PARKING)</v>
          </cell>
          <cell r="C80">
            <v>18000</v>
          </cell>
          <cell r="D80">
            <v>2</v>
          </cell>
          <cell r="E80">
            <v>12.4236</v>
          </cell>
          <cell r="F80">
            <v>24.847200000000001</v>
          </cell>
        </row>
        <row r="81">
          <cell r="A81" t="str">
            <v>18E24</v>
          </cell>
          <cell r="B81" t="str">
            <v>CUT-OFF VALVE(TRAVEL)</v>
          </cell>
          <cell r="C81">
            <v>18000</v>
          </cell>
          <cell r="D81">
            <v>1</v>
          </cell>
          <cell r="E81">
            <v>10.4864</v>
          </cell>
          <cell r="F81">
            <v>10.4864</v>
          </cell>
        </row>
        <row r="82">
          <cell r="A82" t="str">
            <v>18E25</v>
          </cell>
          <cell r="B82" t="str">
            <v>BRAKE VALVE (TRAVEL)</v>
          </cell>
          <cell r="C82">
            <v>18000</v>
          </cell>
          <cell r="D82">
            <v>2</v>
          </cell>
          <cell r="E82">
            <v>1204.9416000000001</v>
          </cell>
          <cell r="F82">
            <v>2409.8832000000002</v>
          </cell>
        </row>
        <row r="83">
          <cell r="A83" t="str">
            <v>18E26</v>
          </cell>
          <cell r="B83" t="str">
            <v>TRAVEL MOTOR</v>
          </cell>
          <cell r="C83">
            <v>12000</v>
          </cell>
          <cell r="D83">
            <v>1</v>
          </cell>
          <cell r="E83">
            <v>162.84</v>
          </cell>
          <cell r="F83">
            <v>162.84</v>
          </cell>
        </row>
        <row r="84">
          <cell r="A84" t="str">
            <v>18E27</v>
          </cell>
          <cell r="B84" t="str">
            <v>EXCHANGE CYLINDER (BACKHOE)</v>
          </cell>
          <cell r="C84">
            <v>9000</v>
          </cell>
          <cell r="D84">
            <v>1</v>
          </cell>
          <cell r="E84">
            <v>34212.86</v>
          </cell>
          <cell r="F84">
            <v>34212.86</v>
          </cell>
        </row>
        <row r="85">
          <cell r="A85" t="str">
            <v>18E28</v>
          </cell>
          <cell r="B85" t="str">
            <v>ARM CYLINDER(BACKHOE)</v>
          </cell>
          <cell r="C85">
            <v>9000</v>
          </cell>
          <cell r="D85">
            <v>2</v>
          </cell>
          <cell r="E85">
            <v>1748.3388</v>
          </cell>
          <cell r="F85">
            <v>3496.6776</v>
          </cell>
        </row>
        <row r="86">
          <cell r="A86" t="str">
            <v>34037</v>
          </cell>
          <cell r="B86" t="str">
            <v>SUCTION PIPING</v>
          </cell>
          <cell r="C86">
            <v>9000</v>
          </cell>
          <cell r="D86">
            <v>1</v>
          </cell>
          <cell r="E86">
            <v>5462.1384000000007</v>
          </cell>
          <cell r="F86">
            <v>5462.1384000000007</v>
          </cell>
        </row>
        <row r="87">
          <cell r="A87" t="str">
            <v>34089</v>
          </cell>
          <cell r="B87" t="str">
            <v>PILOT PIPING (2) LOADER</v>
          </cell>
          <cell r="C87">
            <v>9000</v>
          </cell>
          <cell r="D87">
            <v>1</v>
          </cell>
          <cell r="E87">
            <v>3365.7631999999994</v>
          </cell>
          <cell r="F87">
            <v>3365.7631999999994</v>
          </cell>
        </row>
        <row r="88">
          <cell r="A88" t="str">
            <v>34095</v>
          </cell>
          <cell r="B88" t="str">
            <v>PILOT PIPING (3) LOADER</v>
          </cell>
          <cell r="C88">
            <v>9000</v>
          </cell>
          <cell r="D88">
            <v>1</v>
          </cell>
          <cell r="E88">
            <v>4053.7451999999998</v>
          </cell>
          <cell r="F88">
            <v>4053.7451999999998</v>
          </cell>
        </row>
        <row r="89">
          <cell r="A89" t="str">
            <v>34125</v>
          </cell>
          <cell r="B89" t="str">
            <v>ELECTRICAL PARTS</v>
          </cell>
          <cell r="C89">
            <v>12000</v>
          </cell>
          <cell r="D89">
            <v>1</v>
          </cell>
          <cell r="E89">
            <v>27980.768400000001</v>
          </cell>
          <cell r="F89">
            <v>27980.768400000001</v>
          </cell>
        </row>
        <row r="90">
          <cell r="A90" t="str">
            <v>34149</v>
          </cell>
          <cell r="B90" t="str">
            <v>LUBRICATOR &amp; HOSE</v>
          </cell>
          <cell r="C90">
            <v>9000</v>
          </cell>
          <cell r="D90">
            <v>1</v>
          </cell>
          <cell r="E90">
            <v>6982.3159999999998</v>
          </cell>
          <cell r="F90">
            <v>6982.3159999999998</v>
          </cell>
        </row>
        <row r="91">
          <cell r="A91" t="str">
            <v>35001</v>
          </cell>
          <cell r="B91" t="str">
            <v xml:space="preserve">SWING BEARING  </v>
          </cell>
          <cell r="C91">
            <v>24000</v>
          </cell>
          <cell r="D91">
            <v>1</v>
          </cell>
          <cell r="E91">
            <v>255422.68280000001</v>
          </cell>
          <cell r="F91">
            <v>255422.68280000001</v>
          </cell>
        </row>
        <row r="92">
          <cell r="A92" t="str">
            <v>35002</v>
          </cell>
          <cell r="B92" t="str">
            <v>ENGINE REBUILDING</v>
          </cell>
          <cell r="C92">
            <v>12000</v>
          </cell>
          <cell r="D92">
            <v>2</v>
          </cell>
          <cell r="E92">
            <v>45579.95</v>
          </cell>
          <cell r="F92">
            <v>91159.9</v>
          </cell>
        </row>
        <row r="93">
          <cell r="A93" t="str">
            <v>35005</v>
          </cell>
          <cell r="B93" t="str">
            <v xml:space="preserve">ENGINE         </v>
          </cell>
          <cell r="C93">
            <v>12000</v>
          </cell>
          <cell r="D93">
            <v>2</v>
          </cell>
          <cell r="E93">
            <v>6831.6111999999976</v>
          </cell>
          <cell r="F93">
            <v>13663.222399999995</v>
          </cell>
        </row>
        <row r="94">
          <cell r="A94" t="str">
            <v>35007</v>
          </cell>
          <cell r="B94" t="str">
            <v xml:space="preserve">RADIATOR       </v>
          </cell>
          <cell r="C94">
            <v>18000</v>
          </cell>
          <cell r="D94">
            <v>2</v>
          </cell>
          <cell r="E94">
            <v>53144.042799999996</v>
          </cell>
          <cell r="F94">
            <v>106288.08559999999</v>
          </cell>
        </row>
        <row r="95">
          <cell r="A95" t="str">
            <v>35013</v>
          </cell>
          <cell r="B95" t="str">
            <v xml:space="preserve">AIR CLEANER    </v>
          </cell>
          <cell r="C95">
            <v>18000</v>
          </cell>
          <cell r="D95">
            <v>1</v>
          </cell>
          <cell r="E95">
            <v>6382.3663999999999</v>
          </cell>
          <cell r="F95">
            <v>6382.3663999999999</v>
          </cell>
        </row>
        <row r="96">
          <cell r="A96" t="str">
            <v>35015</v>
          </cell>
          <cell r="B96" t="str">
            <v xml:space="preserve">MUFFLER        </v>
          </cell>
          <cell r="C96">
            <v>24000</v>
          </cell>
          <cell r="D96">
            <v>2</v>
          </cell>
          <cell r="E96">
            <v>11551.669600000001</v>
          </cell>
          <cell r="F96">
            <v>23103.339200000002</v>
          </cell>
        </row>
        <row r="97">
          <cell r="A97" t="str">
            <v>35017</v>
          </cell>
          <cell r="B97" t="str">
            <v>FUEL PIPING</v>
          </cell>
          <cell r="C97">
            <v>18000</v>
          </cell>
          <cell r="D97">
            <v>1</v>
          </cell>
          <cell r="E97">
            <v>1339.7420000000002</v>
          </cell>
          <cell r="F97">
            <v>1339.7420000000002</v>
          </cell>
        </row>
        <row r="98">
          <cell r="A98" t="str">
            <v>35019</v>
          </cell>
          <cell r="B98" t="str">
            <v>PUMP DEVICE PIPING</v>
          </cell>
          <cell r="C98">
            <v>12000</v>
          </cell>
          <cell r="D98">
            <v>2</v>
          </cell>
          <cell r="E98">
            <v>82571.2592</v>
          </cell>
          <cell r="F98">
            <v>165142.5184</v>
          </cell>
        </row>
        <row r="99">
          <cell r="A99" t="str">
            <v>35021</v>
          </cell>
          <cell r="B99" t="str">
            <v xml:space="preserve">PUMP DEVICE    </v>
          </cell>
          <cell r="C99">
            <v>24000</v>
          </cell>
          <cell r="D99">
            <v>2</v>
          </cell>
          <cell r="E99">
            <v>29395.846000000001</v>
          </cell>
          <cell r="F99">
            <v>58791.692000000003</v>
          </cell>
        </row>
        <row r="100">
          <cell r="A100" t="str">
            <v>35024</v>
          </cell>
          <cell r="B100" t="str">
            <v>SWING MOTOR</v>
          </cell>
          <cell r="C100">
            <v>12000</v>
          </cell>
          <cell r="D100">
            <v>1</v>
          </cell>
          <cell r="E100">
            <v>30279.943999999996</v>
          </cell>
          <cell r="F100">
            <v>30279.943999999996</v>
          </cell>
        </row>
        <row r="101">
          <cell r="A101" t="str">
            <v>35025</v>
          </cell>
          <cell r="B101" t="str">
            <v>TRANSMISSION (SWING)</v>
          </cell>
          <cell r="C101">
            <v>24000</v>
          </cell>
          <cell r="D101">
            <v>4</v>
          </cell>
          <cell r="E101">
            <v>71765.759999999995</v>
          </cell>
          <cell r="F101">
            <v>287063.03999999998</v>
          </cell>
        </row>
        <row r="102">
          <cell r="A102" t="str">
            <v>35031</v>
          </cell>
          <cell r="B102" t="str">
            <v>SUCTION PIPING</v>
          </cell>
          <cell r="C102">
            <v>9000</v>
          </cell>
          <cell r="D102">
            <v>1</v>
          </cell>
          <cell r="E102">
            <v>5925.5120000000006</v>
          </cell>
          <cell r="F102">
            <v>5925.5120000000006</v>
          </cell>
        </row>
        <row r="103">
          <cell r="A103" t="str">
            <v>35033</v>
          </cell>
          <cell r="B103" t="str">
            <v>RETURN PIPING(1)</v>
          </cell>
          <cell r="C103">
            <v>9000</v>
          </cell>
          <cell r="D103">
            <v>1</v>
          </cell>
          <cell r="E103">
            <v>2178.1003999999998</v>
          </cell>
          <cell r="F103">
            <v>2178.1003999999998</v>
          </cell>
        </row>
        <row r="104">
          <cell r="A104" t="str">
            <v>35035</v>
          </cell>
          <cell r="B104" t="str">
            <v>RETURN PIPING(2) &amp; FILTER</v>
          </cell>
          <cell r="C104">
            <v>9000</v>
          </cell>
          <cell r="D104">
            <v>1</v>
          </cell>
          <cell r="E104">
            <v>397.74079999999992</v>
          </cell>
          <cell r="F104">
            <v>397.74079999999992</v>
          </cell>
        </row>
        <row r="105">
          <cell r="A105" t="str">
            <v>35041</v>
          </cell>
          <cell r="B105" t="str">
            <v xml:space="preserve">OIL COOLER     </v>
          </cell>
          <cell r="C105">
            <v>18000</v>
          </cell>
          <cell r="D105">
            <v>1</v>
          </cell>
          <cell r="E105">
            <v>15641.196399999999</v>
          </cell>
          <cell r="F105">
            <v>15641.196399999999</v>
          </cell>
        </row>
        <row r="106">
          <cell r="A106" t="str">
            <v>35042</v>
          </cell>
          <cell r="B106" t="str">
            <v>OIL COOLER MOTOR</v>
          </cell>
          <cell r="C106">
            <v>12000</v>
          </cell>
          <cell r="D106">
            <v>1</v>
          </cell>
          <cell r="E106">
            <v>6010.7023999999992</v>
          </cell>
          <cell r="F106">
            <v>6010.7023999999992</v>
          </cell>
        </row>
        <row r="107">
          <cell r="A107" t="str">
            <v>35043</v>
          </cell>
          <cell r="B107" t="str">
            <v>OIL COOLER PIPING</v>
          </cell>
          <cell r="C107">
            <v>9000</v>
          </cell>
          <cell r="D107">
            <v>1</v>
          </cell>
          <cell r="E107">
            <v>1839.8875999999993</v>
          </cell>
          <cell r="F107">
            <v>1839.8875999999993</v>
          </cell>
        </row>
        <row r="108">
          <cell r="A108" t="str">
            <v>35045</v>
          </cell>
          <cell r="B108" t="str">
            <v>TRANSMISSION COOLER PIPING(1,2)</v>
          </cell>
          <cell r="C108">
            <v>9000</v>
          </cell>
          <cell r="D108">
            <v>1</v>
          </cell>
          <cell r="E108">
            <v>3358.2424000000001</v>
          </cell>
          <cell r="F108">
            <v>3358.2424000000001</v>
          </cell>
        </row>
        <row r="109">
          <cell r="A109" t="str">
            <v>35047</v>
          </cell>
          <cell r="B109" t="str">
            <v>TRANSMISSION(PUMP) OIL COOLER(2)</v>
          </cell>
          <cell r="C109">
            <v>18000</v>
          </cell>
          <cell r="D109">
            <v>1</v>
          </cell>
          <cell r="E109">
            <v>2539.0648000000001</v>
          </cell>
          <cell r="F109">
            <v>2539.0648000000001</v>
          </cell>
        </row>
        <row r="110">
          <cell r="A110" t="str">
            <v>35051</v>
          </cell>
          <cell r="B110" t="str">
            <v>DELIVERY PIPING &amp; STRAINER</v>
          </cell>
          <cell r="C110">
            <v>9000</v>
          </cell>
          <cell r="D110">
            <v>1</v>
          </cell>
          <cell r="E110">
            <v>26653.943599999995</v>
          </cell>
          <cell r="F110">
            <v>26653.943599999995</v>
          </cell>
        </row>
        <row r="111">
          <cell r="A111" t="str">
            <v>35055</v>
          </cell>
          <cell r="B111" t="str">
            <v>MAIN PIPING (LOADER)</v>
          </cell>
          <cell r="C111">
            <v>9000</v>
          </cell>
          <cell r="D111">
            <v>1</v>
          </cell>
          <cell r="E111">
            <v>39404.492399999996</v>
          </cell>
          <cell r="F111">
            <v>39404.492399999996</v>
          </cell>
        </row>
        <row r="112">
          <cell r="A112" t="str">
            <v>35057</v>
          </cell>
          <cell r="B112" t="str">
            <v>MAIN PIPING (BACKHOE)</v>
          </cell>
          <cell r="C112">
            <v>9000</v>
          </cell>
          <cell r="D112">
            <v>1</v>
          </cell>
          <cell r="E112">
            <v>39569.954799999985</v>
          </cell>
          <cell r="F112">
            <v>39569.954799999985</v>
          </cell>
        </row>
        <row r="113">
          <cell r="A113" t="str">
            <v>35059</v>
          </cell>
          <cell r="B113" t="str">
            <v xml:space="preserve">DRAIN PIPING  </v>
          </cell>
          <cell r="C113">
            <v>9000</v>
          </cell>
          <cell r="D113">
            <v>1</v>
          </cell>
          <cell r="E113">
            <v>1312.6211999999996</v>
          </cell>
          <cell r="F113">
            <v>1312.6211999999996</v>
          </cell>
        </row>
        <row r="114">
          <cell r="A114" t="str">
            <v>35075</v>
          </cell>
          <cell r="B114" t="str">
            <v>PILOT PIPING(1)</v>
          </cell>
          <cell r="C114">
            <v>9000</v>
          </cell>
          <cell r="D114">
            <v>1</v>
          </cell>
          <cell r="E114">
            <v>1860.3384000000001</v>
          </cell>
          <cell r="F114">
            <v>1860.3384000000001</v>
          </cell>
        </row>
        <row r="115">
          <cell r="A115" t="str">
            <v>35083</v>
          </cell>
          <cell r="B115" t="str">
            <v>PILOT PIPING(2) LOADER</v>
          </cell>
          <cell r="C115">
            <v>9000</v>
          </cell>
          <cell r="D115">
            <v>1</v>
          </cell>
          <cell r="E115">
            <v>5936.4972000000007</v>
          </cell>
          <cell r="F115">
            <v>5936.4972000000007</v>
          </cell>
        </row>
        <row r="116">
          <cell r="A116" t="str">
            <v>35085</v>
          </cell>
          <cell r="B116" t="str">
            <v>PILOT PIPING (2) BACKHOE</v>
          </cell>
          <cell r="C116">
            <v>9000</v>
          </cell>
          <cell r="D116">
            <v>1</v>
          </cell>
          <cell r="E116">
            <v>3569.9579999999996</v>
          </cell>
          <cell r="F116">
            <v>3569.9579999999996</v>
          </cell>
        </row>
        <row r="117">
          <cell r="A117" t="str">
            <v>35089</v>
          </cell>
          <cell r="B117" t="str">
            <v>PILOT PIPING (3) LOADER</v>
          </cell>
          <cell r="C117">
            <v>9000</v>
          </cell>
          <cell r="D117">
            <v>1</v>
          </cell>
          <cell r="E117">
            <v>3955.5859999999998</v>
          </cell>
          <cell r="F117">
            <v>3955.5859999999998</v>
          </cell>
        </row>
        <row r="118">
          <cell r="A118" t="str">
            <v>35091</v>
          </cell>
          <cell r="B118" t="str">
            <v>PILOT PIPING (3) BACKHOE</v>
          </cell>
          <cell r="C118">
            <v>9000</v>
          </cell>
          <cell r="D118">
            <v>1</v>
          </cell>
          <cell r="E118">
            <v>3953.4656</v>
          </cell>
          <cell r="F118">
            <v>3953.4656</v>
          </cell>
        </row>
        <row r="119">
          <cell r="A119" t="str">
            <v>35093</v>
          </cell>
          <cell r="B119" t="str">
            <v>PILOT PIPING (4-1) &amp; (4-2)</v>
          </cell>
          <cell r="C119">
            <v>9000</v>
          </cell>
          <cell r="D119">
            <v>1</v>
          </cell>
          <cell r="E119">
            <v>1391.71</v>
          </cell>
          <cell r="F119">
            <v>1391.71</v>
          </cell>
        </row>
        <row r="120">
          <cell r="A120" t="str">
            <v>35097</v>
          </cell>
          <cell r="B120" t="str">
            <v>PILOT PIPING (4-3)</v>
          </cell>
          <cell r="C120">
            <v>9000</v>
          </cell>
          <cell r="D120">
            <v>1</v>
          </cell>
          <cell r="E120">
            <v>1242.1279999999999</v>
          </cell>
          <cell r="F120">
            <v>1242.1279999999999</v>
          </cell>
        </row>
        <row r="121">
          <cell r="A121" t="str">
            <v>35099</v>
          </cell>
          <cell r="B121" t="str">
            <v>PILOT PIPING (4-4)</v>
          </cell>
          <cell r="C121">
            <v>9000</v>
          </cell>
          <cell r="D121">
            <v>1</v>
          </cell>
          <cell r="E121">
            <v>1893.9087999999997</v>
          </cell>
          <cell r="F121">
            <v>1893.9087999999997</v>
          </cell>
        </row>
        <row r="122">
          <cell r="A122" t="str">
            <v>35101</v>
          </cell>
          <cell r="B122" t="str">
            <v>PILOT PIPING (4-5) &amp;(4-6)</v>
          </cell>
          <cell r="C122">
            <v>9000</v>
          </cell>
          <cell r="D122">
            <v>1</v>
          </cell>
          <cell r="E122">
            <v>1087.9988000000001</v>
          </cell>
          <cell r="F122">
            <v>1087.9988000000001</v>
          </cell>
        </row>
        <row r="123">
          <cell r="A123" t="str">
            <v>35105</v>
          </cell>
          <cell r="B123" t="str">
            <v>AIR PIPING</v>
          </cell>
          <cell r="C123">
            <v>9000</v>
          </cell>
          <cell r="D123">
            <v>1</v>
          </cell>
          <cell r="E123">
            <v>2426.5691999999999</v>
          </cell>
          <cell r="F123">
            <v>2426.5691999999999</v>
          </cell>
        </row>
        <row r="124">
          <cell r="A124" t="str">
            <v>35113</v>
          </cell>
          <cell r="B124" t="str">
            <v>AIR DRYER (1) &amp; (2)</v>
          </cell>
          <cell r="C124">
            <v>9000</v>
          </cell>
          <cell r="D124">
            <v>1</v>
          </cell>
          <cell r="E124">
            <v>1444.2695999999996</v>
          </cell>
          <cell r="F124">
            <v>1444.2695999999996</v>
          </cell>
        </row>
        <row r="125">
          <cell r="A125" t="str">
            <v>35125</v>
          </cell>
          <cell r="B125" t="str">
            <v>ELECTRICAL PARTS</v>
          </cell>
          <cell r="C125">
            <v>12000</v>
          </cell>
          <cell r="D125">
            <v>1</v>
          </cell>
          <cell r="E125">
            <v>27980.768400000001</v>
          </cell>
          <cell r="F125">
            <v>27980.768400000001</v>
          </cell>
        </row>
        <row r="126">
          <cell r="A126" t="str">
            <v>35143</v>
          </cell>
          <cell r="B126" t="str">
            <v>LUBRICATOR &amp; HOSE</v>
          </cell>
          <cell r="C126">
            <v>9000</v>
          </cell>
          <cell r="D126">
            <v>1</v>
          </cell>
          <cell r="E126">
            <v>7026.5159999999996</v>
          </cell>
          <cell r="F126">
            <v>7026.5159999999996</v>
          </cell>
        </row>
        <row r="127">
          <cell r="A127" t="str">
            <v>35155</v>
          </cell>
          <cell r="B127" t="str">
            <v>LUBRICATION PIPING;MAIN FRAME</v>
          </cell>
          <cell r="C127">
            <v>9000</v>
          </cell>
          <cell r="D127">
            <v>1</v>
          </cell>
          <cell r="E127">
            <v>1066.8752000000002</v>
          </cell>
          <cell r="F127">
            <v>1066.8752000000002</v>
          </cell>
        </row>
        <row r="128">
          <cell r="A128" t="str">
            <v>35167</v>
          </cell>
          <cell r="B128" t="str">
            <v xml:space="preserve">VALVE          </v>
          </cell>
          <cell r="C128">
            <v>18000</v>
          </cell>
          <cell r="D128">
            <v>4</v>
          </cell>
          <cell r="E128">
            <v>1191.7096000000001</v>
          </cell>
          <cell r="F128">
            <v>4766.8384000000005</v>
          </cell>
        </row>
        <row r="129">
          <cell r="A129" t="str">
            <v>35189</v>
          </cell>
          <cell r="B129" t="str">
            <v xml:space="preserve">SELECTOR VALVE(PARK) </v>
          </cell>
          <cell r="C129">
            <v>18000</v>
          </cell>
          <cell r="D129">
            <v>1</v>
          </cell>
          <cell r="E129">
            <v>12.4236</v>
          </cell>
          <cell r="F129">
            <v>12.4236</v>
          </cell>
        </row>
        <row r="130">
          <cell r="A130" t="str">
            <v>35193</v>
          </cell>
          <cell r="B130" t="str">
            <v xml:space="preserve">CUTOFF VALVE   </v>
          </cell>
          <cell r="C130">
            <v>18000</v>
          </cell>
          <cell r="D130">
            <v>1</v>
          </cell>
          <cell r="E130">
            <v>10.4864</v>
          </cell>
          <cell r="F130">
            <v>10.4864</v>
          </cell>
        </row>
        <row r="131">
          <cell r="A131" t="str">
            <v>35212</v>
          </cell>
          <cell r="B131" t="str">
            <v>TRAVEL MOTOR</v>
          </cell>
          <cell r="C131">
            <v>18000</v>
          </cell>
          <cell r="D131">
            <v>1</v>
          </cell>
          <cell r="E131">
            <v>54610.619199999994</v>
          </cell>
          <cell r="F131">
            <v>54610.619199999994</v>
          </cell>
        </row>
        <row r="132">
          <cell r="A132" t="str">
            <v>35213</v>
          </cell>
          <cell r="B132" t="str">
            <v xml:space="preserve">TRAVEL DEVICE  </v>
          </cell>
          <cell r="C132">
            <v>24000</v>
          </cell>
          <cell r="D132">
            <v>2</v>
          </cell>
          <cell r="E132">
            <v>95758.152399999992</v>
          </cell>
          <cell r="F132">
            <v>191516.30479999998</v>
          </cell>
        </row>
        <row r="133">
          <cell r="A133" t="str">
            <v>35215</v>
          </cell>
          <cell r="B133" t="str">
            <v>DRIVE TUMBLER</v>
          </cell>
          <cell r="C133">
            <v>18000</v>
          </cell>
          <cell r="D133">
            <v>2</v>
          </cell>
          <cell r="E133">
            <v>47699.988799999999</v>
          </cell>
          <cell r="F133">
            <v>95399.977599999998</v>
          </cell>
        </row>
        <row r="134">
          <cell r="A134" t="str">
            <v>35217</v>
          </cell>
          <cell r="B134" t="str">
            <v>FRONT IDLER &amp; GUARD</v>
          </cell>
          <cell r="C134">
            <v>24000</v>
          </cell>
          <cell r="D134">
            <v>2</v>
          </cell>
          <cell r="E134">
            <v>48255.65</v>
          </cell>
          <cell r="F134">
            <v>96511.3</v>
          </cell>
        </row>
        <row r="135">
          <cell r="A135" t="str">
            <v>35219</v>
          </cell>
          <cell r="B135" t="str">
            <v>ADJUSTER PIPING (S)</v>
          </cell>
          <cell r="C135">
            <v>18000</v>
          </cell>
          <cell r="D135">
            <v>1</v>
          </cell>
          <cell r="E135">
            <v>1731.7291999999998</v>
          </cell>
          <cell r="F135">
            <v>1731.7291999999998</v>
          </cell>
        </row>
        <row r="136">
          <cell r="A136" t="str">
            <v>35221</v>
          </cell>
          <cell r="B136" t="str">
            <v>ADJUSTER CYLINDER</v>
          </cell>
          <cell r="C136">
            <v>18000</v>
          </cell>
          <cell r="D136">
            <v>2</v>
          </cell>
          <cell r="E136">
            <v>1863.9227999999998</v>
          </cell>
          <cell r="F136">
            <v>3727.8455999999996</v>
          </cell>
        </row>
        <row r="137">
          <cell r="A137" t="str">
            <v>35223</v>
          </cell>
          <cell r="B137" t="str">
            <v>ADJUSTER PIPING (T)</v>
          </cell>
          <cell r="C137">
            <v>18000</v>
          </cell>
          <cell r="D137">
            <v>1</v>
          </cell>
          <cell r="E137">
            <v>4216.4027999999998</v>
          </cell>
          <cell r="F137">
            <v>4216.4027999999998</v>
          </cell>
        </row>
        <row r="138">
          <cell r="A138" t="str">
            <v>35225</v>
          </cell>
          <cell r="B138" t="str">
            <v xml:space="preserve">UPPER ROLLER   </v>
          </cell>
          <cell r="C138">
            <v>18000</v>
          </cell>
          <cell r="D138">
            <v>1</v>
          </cell>
          <cell r="E138">
            <v>17462.500799999994</v>
          </cell>
          <cell r="F138">
            <v>17462.500799999994</v>
          </cell>
        </row>
        <row r="139">
          <cell r="A139" t="str">
            <v>35227</v>
          </cell>
          <cell r="B139" t="str">
            <v xml:space="preserve">LOWER ROLLER   </v>
          </cell>
          <cell r="C139">
            <v>18000</v>
          </cell>
          <cell r="D139">
            <v>1</v>
          </cell>
          <cell r="E139">
            <v>119051.44959999999</v>
          </cell>
          <cell r="F139">
            <v>119051.44959999999</v>
          </cell>
        </row>
        <row r="140">
          <cell r="A140" t="str">
            <v>35229</v>
          </cell>
          <cell r="B140" t="str">
            <v xml:space="preserve">TRACK LINK     </v>
          </cell>
          <cell r="C140">
            <v>18000</v>
          </cell>
          <cell r="D140">
            <v>1</v>
          </cell>
          <cell r="E140">
            <v>39561.199999999997</v>
          </cell>
          <cell r="F140">
            <v>39561.199999999997</v>
          </cell>
        </row>
        <row r="141">
          <cell r="A141" t="str">
            <v>35231</v>
          </cell>
          <cell r="B141" t="str">
            <v xml:space="preserve">CENTER JOINT   </v>
          </cell>
          <cell r="C141">
            <v>9000</v>
          </cell>
          <cell r="D141">
            <v>1</v>
          </cell>
          <cell r="E141">
            <v>96.129199999999983</v>
          </cell>
          <cell r="F141">
            <v>96.129199999999983</v>
          </cell>
        </row>
        <row r="142">
          <cell r="A142" t="str">
            <v>35233</v>
          </cell>
          <cell r="B142" t="str">
            <v>TRAVEL PIPING</v>
          </cell>
          <cell r="C142">
            <v>9000</v>
          </cell>
          <cell r="D142">
            <v>1</v>
          </cell>
          <cell r="E142">
            <v>21025.162400000001</v>
          </cell>
          <cell r="F142">
            <v>21025.162400000001</v>
          </cell>
        </row>
        <row r="143">
          <cell r="A143" t="str">
            <v>35235</v>
          </cell>
          <cell r="B143" t="str">
            <v>LOADER EXCEPT ARM END</v>
          </cell>
          <cell r="C143">
            <v>18000</v>
          </cell>
          <cell r="D143">
            <v>1</v>
          </cell>
          <cell r="E143">
            <v>58486.898399999984</v>
          </cell>
          <cell r="F143">
            <v>58486.898399999984</v>
          </cell>
        </row>
        <row r="144">
          <cell r="A144" t="str">
            <v>35239</v>
          </cell>
          <cell r="B144" t="str">
            <v>LOADER ARM END</v>
          </cell>
          <cell r="C144">
            <v>9000</v>
          </cell>
          <cell r="D144">
            <v>1</v>
          </cell>
          <cell r="E144">
            <v>19892.027999999995</v>
          </cell>
          <cell r="F144">
            <v>19892.027999999995</v>
          </cell>
        </row>
        <row r="145">
          <cell r="A145" t="str">
            <v>35241</v>
          </cell>
          <cell r="B145" t="str">
            <v>LOADER PIPING</v>
          </cell>
          <cell r="C145">
            <v>9000</v>
          </cell>
          <cell r="D145">
            <v>1</v>
          </cell>
          <cell r="E145">
            <v>94600.081600000005</v>
          </cell>
          <cell r="F145">
            <v>94600.081600000005</v>
          </cell>
        </row>
        <row r="146">
          <cell r="A146" t="str">
            <v>35243</v>
          </cell>
          <cell r="B146" t="str">
            <v xml:space="preserve">LUB PIPING (LOADER) </v>
          </cell>
          <cell r="C146">
            <v>9000</v>
          </cell>
          <cell r="D146">
            <v>1</v>
          </cell>
          <cell r="E146">
            <v>2012.8436000000002</v>
          </cell>
          <cell r="F146">
            <v>2012.8436000000002</v>
          </cell>
        </row>
        <row r="147">
          <cell r="A147" t="str">
            <v>35253</v>
          </cell>
          <cell r="B147" t="str">
            <v>BACKHOE EXCEPT ARM END</v>
          </cell>
          <cell r="C147">
            <v>18000</v>
          </cell>
          <cell r="D147">
            <v>1</v>
          </cell>
          <cell r="E147">
            <v>44444.884799999993</v>
          </cell>
          <cell r="F147">
            <v>44444.884799999993</v>
          </cell>
        </row>
        <row r="148">
          <cell r="A148" t="str">
            <v>35257</v>
          </cell>
          <cell r="B148" t="str">
            <v>BACKHOE PIPING</v>
          </cell>
          <cell r="C148">
            <v>9000</v>
          </cell>
          <cell r="D148">
            <v>1</v>
          </cell>
          <cell r="E148">
            <v>63521.562999999995</v>
          </cell>
          <cell r="F148">
            <v>63521.562999999995</v>
          </cell>
        </row>
        <row r="149">
          <cell r="A149" t="str">
            <v>35259</v>
          </cell>
          <cell r="B149" t="str">
            <v xml:space="preserve">LUB PIPING (BACKHOE) </v>
          </cell>
          <cell r="C149">
            <v>9000</v>
          </cell>
          <cell r="D149">
            <v>1</v>
          </cell>
          <cell r="E149">
            <v>10144.756800000001</v>
          </cell>
          <cell r="F149">
            <v>10144.756800000001</v>
          </cell>
        </row>
        <row r="150">
          <cell r="A150" t="str">
            <v>35261</v>
          </cell>
          <cell r="B150" t="str">
            <v>BACKHOE ARM END</v>
          </cell>
          <cell r="C150">
            <v>9000</v>
          </cell>
          <cell r="D150">
            <v>1</v>
          </cell>
          <cell r="E150">
            <v>38994.499199999991</v>
          </cell>
          <cell r="F150">
            <v>38994.499199999991</v>
          </cell>
        </row>
        <row r="151">
          <cell r="A151" t="str">
            <v>35273</v>
          </cell>
          <cell r="B151" t="str">
            <v>BACKHOE BUCKET (15 CUM)</v>
          </cell>
          <cell r="C151">
            <v>9000</v>
          </cell>
          <cell r="D151">
            <v>1</v>
          </cell>
          <cell r="E151">
            <v>4019.7248</v>
          </cell>
          <cell r="F151">
            <v>4019.7248</v>
          </cell>
        </row>
        <row r="152">
          <cell r="A152" t="str">
            <v>35295</v>
          </cell>
          <cell r="B152" t="str">
            <v>LOADER BUCKET  (20 CUM)</v>
          </cell>
          <cell r="C152">
            <v>9000</v>
          </cell>
          <cell r="D152">
            <v>1</v>
          </cell>
          <cell r="E152">
            <v>30485.686799999999</v>
          </cell>
          <cell r="F152">
            <v>30485.686799999999</v>
          </cell>
        </row>
        <row r="153">
          <cell r="A153" t="str">
            <v>35E06</v>
          </cell>
          <cell r="B153" t="str">
            <v xml:space="preserve">CONTROL VALVE (SWING) </v>
          </cell>
          <cell r="C153">
            <v>9000</v>
          </cell>
          <cell r="D153">
            <v>2</v>
          </cell>
          <cell r="E153">
            <v>2057.2366666666667</v>
          </cell>
          <cell r="F153">
            <v>4114.4733333333334</v>
          </cell>
        </row>
        <row r="154">
          <cell r="A154" t="str">
            <v>35E08</v>
          </cell>
          <cell r="B154" t="str">
            <v>CONTROL VALVE (CENTER)</v>
          </cell>
          <cell r="C154">
            <v>9000</v>
          </cell>
          <cell r="D154">
            <v>1</v>
          </cell>
          <cell r="E154">
            <v>4194.4466666666667</v>
          </cell>
          <cell r="F154">
            <v>4194.4466666666667</v>
          </cell>
        </row>
        <row r="155">
          <cell r="A155" t="str">
            <v>35E09</v>
          </cell>
          <cell r="B155" t="str">
            <v>CONTROL VALVE (LH)</v>
          </cell>
          <cell r="C155">
            <v>9000</v>
          </cell>
          <cell r="D155">
            <v>1</v>
          </cell>
          <cell r="E155">
            <v>3178.7266666666665</v>
          </cell>
          <cell r="F155">
            <v>3178.7266666666665</v>
          </cell>
        </row>
        <row r="156">
          <cell r="A156" t="str">
            <v>35E10</v>
          </cell>
          <cell r="B156" t="str">
            <v>CONTROL VALVE (RH)</v>
          </cell>
          <cell r="C156">
            <v>9000</v>
          </cell>
          <cell r="D156">
            <v>1</v>
          </cell>
          <cell r="E156">
            <v>3178.7266666666665</v>
          </cell>
          <cell r="F156">
            <v>3178.7266666666665</v>
          </cell>
        </row>
        <row r="157">
          <cell r="A157" t="str">
            <v>35E11</v>
          </cell>
          <cell r="B157" t="str">
            <v>PILOT VALVE (LH)</v>
          </cell>
          <cell r="C157">
            <v>9000</v>
          </cell>
          <cell r="D157">
            <v>1</v>
          </cell>
          <cell r="E157">
            <v>725.19720000000007</v>
          </cell>
          <cell r="F157">
            <v>725.19720000000007</v>
          </cell>
        </row>
        <row r="158">
          <cell r="A158" t="str">
            <v>35E12</v>
          </cell>
          <cell r="B158" t="str">
            <v>PILOT VALVE (RH)</v>
          </cell>
          <cell r="C158">
            <v>9000</v>
          </cell>
          <cell r="D158">
            <v>1</v>
          </cell>
          <cell r="E158">
            <v>721.71720000000005</v>
          </cell>
          <cell r="F158">
            <v>721.71720000000005</v>
          </cell>
        </row>
        <row r="159">
          <cell r="A159" t="str">
            <v>35E13</v>
          </cell>
          <cell r="B159" t="str">
            <v>PILOT VALVE (BKT OPEN)</v>
          </cell>
          <cell r="C159">
            <v>9000</v>
          </cell>
          <cell r="D159">
            <v>1</v>
          </cell>
          <cell r="E159">
            <v>86.652000000000001</v>
          </cell>
          <cell r="F159">
            <v>86.652000000000001</v>
          </cell>
        </row>
        <row r="160">
          <cell r="A160" t="str">
            <v>35E14</v>
          </cell>
          <cell r="B160" t="str">
            <v>PILOT VALVE TRAVEL</v>
          </cell>
          <cell r="C160">
            <v>9000</v>
          </cell>
          <cell r="D160">
            <v>1</v>
          </cell>
          <cell r="E160">
            <v>163.18879999999999</v>
          </cell>
          <cell r="F160">
            <v>163.18879999999999</v>
          </cell>
        </row>
        <row r="161">
          <cell r="A161" t="str">
            <v>35E15</v>
          </cell>
          <cell r="B161" t="str">
            <v>BOOM CYLINDER</v>
          </cell>
          <cell r="C161">
            <v>9000</v>
          </cell>
          <cell r="D161">
            <v>2</v>
          </cell>
          <cell r="E161">
            <v>3751.0920000000001</v>
          </cell>
          <cell r="F161">
            <v>7502.1840000000002</v>
          </cell>
        </row>
        <row r="162">
          <cell r="A162" t="str">
            <v>35E16</v>
          </cell>
          <cell r="B162" t="str">
            <v>ARM CYLINDER(LOADER)</v>
          </cell>
          <cell r="C162">
            <v>9000</v>
          </cell>
          <cell r="D162">
            <v>1</v>
          </cell>
          <cell r="E162">
            <v>5037.3579999999993</v>
          </cell>
          <cell r="F162">
            <v>5037.3579999999993</v>
          </cell>
        </row>
        <row r="163">
          <cell r="A163" t="str">
            <v>35E17</v>
          </cell>
          <cell r="B163" t="str">
            <v>ARM CYLINDER (BACKHOE)</v>
          </cell>
          <cell r="C163">
            <v>9000</v>
          </cell>
          <cell r="D163">
            <v>2</v>
          </cell>
          <cell r="E163">
            <v>4977.7803999999996</v>
          </cell>
          <cell r="F163">
            <v>9955.5607999999993</v>
          </cell>
        </row>
        <row r="164">
          <cell r="A164" t="str">
            <v>35E18</v>
          </cell>
          <cell r="B164" t="str">
            <v>LEVEL CYLINDER (LOADER)</v>
          </cell>
          <cell r="C164">
            <v>9000</v>
          </cell>
          <cell r="D164">
            <v>1</v>
          </cell>
          <cell r="E164">
            <v>3713.2179999999998</v>
          </cell>
          <cell r="F164">
            <v>3713.2179999999998</v>
          </cell>
        </row>
        <row r="165">
          <cell r="A165" t="str">
            <v>35E19</v>
          </cell>
          <cell r="B165" t="str">
            <v>BUCKET CYLINDER (LOADER)</v>
          </cell>
          <cell r="C165">
            <v>9000</v>
          </cell>
          <cell r="D165">
            <v>2</v>
          </cell>
          <cell r="E165">
            <v>3911.9260000000008</v>
          </cell>
          <cell r="F165">
            <v>7823.8520000000017</v>
          </cell>
        </row>
        <row r="166">
          <cell r="A166" t="str">
            <v>35E21</v>
          </cell>
          <cell r="B166" t="str">
            <v>BUCKET CYLINDER (BACKHOE)</v>
          </cell>
          <cell r="C166">
            <v>9000</v>
          </cell>
          <cell r="D166">
            <v>2</v>
          </cell>
          <cell r="E166">
            <v>2744.4787999999999</v>
          </cell>
          <cell r="F166">
            <v>5488.9575999999997</v>
          </cell>
        </row>
        <row r="167">
          <cell r="A167" t="str">
            <v>35E22</v>
          </cell>
          <cell r="B167" t="str">
            <v>DUMP CYLINDER (LOADER)</v>
          </cell>
          <cell r="C167">
            <v>9000</v>
          </cell>
          <cell r="D167">
            <v>2</v>
          </cell>
          <cell r="E167">
            <v>4120.1819999999998</v>
          </cell>
          <cell r="F167">
            <v>8240.3639999999996</v>
          </cell>
        </row>
        <row r="168">
          <cell r="A168" t="str">
            <v>35E23</v>
          </cell>
          <cell r="B168" t="str">
            <v>TRAVEL MOTOR</v>
          </cell>
          <cell r="C168">
            <v>12000</v>
          </cell>
          <cell r="D168">
            <v>1</v>
          </cell>
          <cell r="E168">
            <v>325.68</v>
          </cell>
          <cell r="F168">
            <v>325.68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Цены"/>
      <sheetName val="ZX450"/>
      <sheetName val="ZX450-3"/>
      <sheetName val="ZX600"/>
      <sheetName val="ZX650-3"/>
      <sheetName val="ZX800"/>
      <sheetName val="ZX850-3"/>
      <sheetName val="ZX850-5G"/>
      <sheetName val="EX1200-5C"/>
      <sheetName val="EX-1200-5D"/>
      <sheetName val="EX-1200-6"/>
      <sheetName val="R1200-9"/>
      <sheetName val="EX-1900-5"/>
      <sheetName val="EX-1900-6"/>
      <sheetName val="EX-1900E-6"/>
      <sheetName val="EX-2500-5"/>
      <sheetName val="EX-2500Е-5"/>
      <sheetName val="EX-2500-6"/>
      <sheetName val="EX-2600Е-6"/>
      <sheetName val="EX-2600-6"/>
      <sheetName val="EX-3600-6"/>
      <sheetName val="EX-3600Е-6"/>
      <sheetName val="EX-5500-6Е"/>
      <sheetName val="EX-5500-6"/>
      <sheetName val="LX-450-7"/>
      <sheetName val="EH1000"/>
      <sheetName val="EH-1700"/>
      <sheetName val="EH-1700-3"/>
      <sheetName val="EH-3500ACII"/>
      <sheetName val="EH-3500ACIII"/>
      <sheetName val="EH-4000ACII"/>
      <sheetName val="Bell B30D"/>
      <sheetName val="Bell B35D"/>
      <sheetName val="Bell B40D"/>
      <sheetName val="сводный"/>
    </sheetNames>
    <sheetDataSet>
      <sheetData sheetId="0" refreshError="1"/>
      <sheetData sheetId="1">
        <row r="1">
          <cell r="F1">
            <v>65</v>
          </cell>
          <cell r="H1">
            <v>2100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報告"/>
      <sheetName val="見積依頼書 P1"/>
      <sheetName val="見積依頼書 P2"/>
      <sheetName val="CX900ﾊｲﾎﾟｽﾄ 秋田海陸運送 1F30-1510"/>
      <sheetName val="型TB"/>
      <sheetName val="MAIN　材料表１"/>
    </sheetNames>
    <sheetDataSet>
      <sheetData sheetId="0"/>
      <sheetData sheetId="1" refreshError="1">
        <row r="7">
          <cell r="B7" t="str">
            <v>CX900ﾊｲﾎﾟｽﾄ型ｸﾚｰﾝ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7"/>
  <sheetViews>
    <sheetView showGridLines="0" tabSelected="1" view="pageBreakPreview" zoomScale="85" zoomScaleNormal="85" zoomScaleSheetLayoutView="85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D36" sqref="D36"/>
    </sheetView>
  </sheetViews>
  <sheetFormatPr defaultColWidth="9.1796875" defaultRowHeight="12.5"/>
  <cols>
    <col min="1" max="1" width="4.26953125" style="5" customWidth="1"/>
    <col min="2" max="2" width="37.81640625" style="10" customWidth="1"/>
    <col min="3" max="3" width="18.81640625" style="8" customWidth="1"/>
    <col min="4" max="4" width="8" style="8" customWidth="1"/>
    <col min="5" max="14" width="8" style="9" customWidth="1"/>
    <col min="15" max="15" width="63.26953125" style="5" customWidth="1"/>
    <col min="16" max="16" width="14" style="5" bestFit="1" customWidth="1"/>
    <col min="17" max="16384" width="9.1796875" style="5"/>
  </cols>
  <sheetData>
    <row r="2" spans="1:16" ht="14.5">
      <c r="B2" s="84" t="s">
        <v>79</v>
      </c>
    </row>
    <row r="3" spans="1:16" s="1" customFormat="1" ht="27" customHeight="1" thickBot="1">
      <c r="B3" s="2" t="s">
        <v>6</v>
      </c>
      <c r="C3" s="198" t="s">
        <v>5</v>
      </c>
      <c r="D3" s="3"/>
      <c r="F3" s="3"/>
      <c r="G3" s="3"/>
      <c r="H3" s="3"/>
      <c r="I3" s="3"/>
      <c r="J3" s="3"/>
      <c r="K3" s="3"/>
      <c r="L3" s="3"/>
      <c r="M3" s="3"/>
      <c r="N3" s="3"/>
      <c r="O3" s="4" t="s">
        <v>0</v>
      </c>
    </row>
    <row r="4" spans="1:16" s="7" customFormat="1" ht="22.15" customHeight="1">
      <c r="A4" s="190">
        <v>1</v>
      </c>
      <c r="B4" s="191" t="s">
        <v>80</v>
      </c>
      <c r="C4" s="155" t="s">
        <v>1</v>
      </c>
      <c r="D4" s="155">
        <v>0</v>
      </c>
      <c r="E4" s="155">
        <f>D4+1</f>
        <v>1</v>
      </c>
      <c r="F4" s="155">
        <f>E4+1</f>
        <v>2</v>
      </c>
      <c r="G4" s="155">
        <f t="shared" ref="G4:N4" si="0">F4+1</f>
        <v>3</v>
      </c>
      <c r="H4" s="155">
        <f t="shared" si="0"/>
        <v>4</v>
      </c>
      <c r="I4" s="155">
        <f t="shared" si="0"/>
        <v>5</v>
      </c>
      <c r="J4" s="155">
        <f t="shared" si="0"/>
        <v>6</v>
      </c>
      <c r="K4" s="155">
        <f t="shared" si="0"/>
        <v>7</v>
      </c>
      <c r="L4" s="155">
        <f t="shared" si="0"/>
        <v>8</v>
      </c>
      <c r="M4" s="155">
        <f t="shared" si="0"/>
        <v>9</v>
      </c>
      <c r="N4" s="155">
        <f t="shared" si="0"/>
        <v>10</v>
      </c>
      <c r="O4" s="192"/>
      <c r="P4" s="6"/>
    </row>
    <row r="5" spans="1:16" s="7" customFormat="1" ht="25.9" customHeight="1">
      <c r="A5" s="193">
        <f>A4+1</f>
        <v>2</v>
      </c>
      <c r="B5" s="187" t="s">
        <v>9</v>
      </c>
      <c r="C5" s="18" t="s">
        <v>7</v>
      </c>
      <c r="D5" s="137">
        <v>9.5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94"/>
      <c r="P5" s="6"/>
    </row>
    <row r="6" spans="1:16" s="7" customFormat="1" ht="24.75" customHeight="1">
      <c r="A6" s="193">
        <f t="shared" ref="A6:A32" si="1">A5+1</f>
        <v>3</v>
      </c>
      <c r="B6" s="187" t="s">
        <v>94</v>
      </c>
      <c r="C6" s="18" t="s">
        <v>7</v>
      </c>
      <c r="D6" s="137">
        <v>12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94" t="s">
        <v>132</v>
      </c>
      <c r="P6" s="6"/>
    </row>
    <row r="7" spans="1:16" ht="25.9" customHeight="1">
      <c r="A7" s="193">
        <f t="shared" si="1"/>
        <v>4</v>
      </c>
      <c r="B7" s="187" t="s">
        <v>8</v>
      </c>
      <c r="C7" s="11"/>
      <c r="D7" s="11"/>
      <c r="E7" s="200">
        <f>(8760-E8-E9-E10)/8760</f>
        <v>0.94292237442922378</v>
      </c>
      <c r="F7" s="200">
        <f t="shared" ref="F7:N7" si="2">(8760-F8-F9-F10)/8760</f>
        <v>0.93315575849822419</v>
      </c>
      <c r="G7" s="200">
        <f t="shared" si="2"/>
        <v>0.90651953323186207</v>
      </c>
      <c r="H7" s="200">
        <f t="shared" si="2"/>
        <v>0.89564307458143066</v>
      </c>
      <c r="I7" s="200">
        <f t="shared" si="2"/>
        <v>0.94381024860476914</v>
      </c>
      <c r="J7" s="200">
        <f t="shared" si="2"/>
        <v>0.87167047184170465</v>
      </c>
      <c r="K7" s="200">
        <f t="shared" si="2"/>
        <v>0.89564307458143066</v>
      </c>
      <c r="L7" s="200">
        <f t="shared" si="2"/>
        <v>0.90651953323186207</v>
      </c>
      <c r="M7" s="200">
        <f t="shared" si="2"/>
        <v>0.92916032470826992</v>
      </c>
      <c r="N7" s="200">
        <f t="shared" si="2"/>
        <v>0.92827245053272456</v>
      </c>
      <c r="O7" s="194" t="s">
        <v>70</v>
      </c>
    </row>
    <row r="8" spans="1:16" ht="14.5" customHeight="1">
      <c r="A8" s="193">
        <f t="shared" si="1"/>
        <v>5</v>
      </c>
      <c r="B8" s="188" t="s">
        <v>67</v>
      </c>
      <c r="C8" s="11" t="s">
        <v>69</v>
      </c>
      <c r="D8" s="11"/>
      <c r="E8" s="24">
        <f>ТО!G7</f>
        <v>124</v>
      </c>
      <c r="F8" s="24">
        <f>ТО!H7</f>
        <v>116</v>
      </c>
      <c r="G8" s="24">
        <f>ТО!I7</f>
        <v>116</v>
      </c>
      <c r="H8" s="24">
        <f>ТО!J7</f>
        <v>116</v>
      </c>
      <c r="I8" s="24">
        <f>ТО!K7</f>
        <v>116</v>
      </c>
      <c r="J8" s="24">
        <f>ТО!L7</f>
        <v>116</v>
      </c>
      <c r="K8" s="24">
        <f>ТО!M7</f>
        <v>116</v>
      </c>
      <c r="L8" s="24">
        <f>ТО!N7</f>
        <v>116</v>
      </c>
      <c r="M8" s="24">
        <f>ТО!O7</f>
        <v>116</v>
      </c>
      <c r="N8" s="24">
        <f>ТО!P7</f>
        <v>116</v>
      </c>
      <c r="O8" s="194"/>
    </row>
    <row r="9" spans="1:16" ht="14.5" customHeight="1">
      <c r="A9" s="193">
        <f t="shared" si="1"/>
        <v>6</v>
      </c>
      <c r="B9" s="188" t="s">
        <v>68</v>
      </c>
      <c r="C9" s="11" t="s">
        <v>69</v>
      </c>
      <c r="D9" s="11"/>
      <c r="E9" s="24">
        <f>Ремонты!F8</f>
        <v>140</v>
      </c>
      <c r="F9" s="24">
        <f>Ремонты!G8</f>
        <v>236</v>
      </c>
      <c r="G9" s="24">
        <f>Ремонты!H8</f>
        <v>476</v>
      </c>
      <c r="H9" s="24">
        <f>Ремонты!I8</f>
        <v>574</v>
      </c>
      <c r="I9" s="24">
        <f>Ремонты!J8</f>
        <v>140</v>
      </c>
      <c r="J9" s="24">
        <f>Ремонты!K8</f>
        <v>790</v>
      </c>
      <c r="K9" s="24">
        <f>Ремонты!L8</f>
        <v>574</v>
      </c>
      <c r="L9" s="24">
        <f>Ремонты!M8</f>
        <v>476</v>
      </c>
      <c r="M9" s="24">
        <f>Ремонты!N8</f>
        <v>272</v>
      </c>
      <c r="N9" s="24">
        <f>Ремонты!O8</f>
        <v>280</v>
      </c>
      <c r="O9" s="194"/>
    </row>
    <row r="10" spans="1:16" ht="14.5" customHeight="1">
      <c r="A10" s="193">
        <f t="shared" si="1"/>
        <v>7</v>
      </c>
      <c r="B10" s="188" t="s">
        <v>85</v>
      </c>
      <c r="C10" s="11" t="s">
        <v>69</v>
      </c>
      <c r="D10" s="11"/>
      <c r="E10" s="24">
        <f>(8760-E8-E9)/12*20/60</f>
        <v>236</v>
      </c>
      <c r="F10" s="24">
        <f t="shared" ref="F10:N10" si="3">(8760-F8-F9)/12*20/60</f>
        <v>233.55555555555554</v>
      </c>
      <c r="G10" s="24">
        <f t="shared" si="3"/>
        <v>226.88888888888886</v>
      </c>
      <c r="H10" s="24">
        <f t="shared" si="3"/>
        <v>224.16666666666666</v>
      </c>
      <c r="I10" s="24">
        <f t="shared" si="3"/>
        <v>236.2222222222222</v>
      </c>
      <c r="J10" s="24">
        <f t="shared" si="3"/>
        <v>218.16666666666666</v>
      </c>
      <c r="K10" s="24">
        <f t="shared" si="3"/>
        <v>224.16666666666666</v>
      </c>
      <c r="L10" s="24">
        <f t="shared" si="3"/>
        <v>226.88888888888886</v>
      </c>
      <c r="M10" s="24">
        <f t="shared" si="3"/>
        <v>232.55555555555554</v>
      </c>
      <c r="N10" s="24">
        <f t="shared" si="3"/>
        <v>232.33333333333334</v>
      </c>
      <c r="O10" s="194"/>
    </row>
    <row r="11" spans="1:16" ht="14.5" customHeight="1">
      <c r="A11" s="193">
        <f t="shared" si="1"/>
        <v>8</v>
      </c>
      <c r="B11" s="187" t="s">
        <v>10</v>
      </c>
      <c r="C11" s="11" t="s">
        <v>11</v>
      </c>
      <c r="D11" s="129" t="s">
        <v>130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94"/>
    </row>
    <row r="12" spans="1:16" ht="14.5" customHeight="1">
      <c r="A12" s="193">
        <f t="shared" si="1"/>
        <v>9</v>
      </c>
      <c r="B12" s="187" t="s">
        <v>21</v>
      </c>
      <c r="C12" s="11" t="s">
        <v>22</v>
      </c>
      <c r="D12" s="129">
        <v>1000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94"/>
    </row>
    <row r="13" spans="1:16" ht="14.5" customHeight="1">
      <c r="A13" s="193">
        <f t="shared" si="1"/>
        <v>10</v>
      </c>
      <c r="B13" s="187" t="s">
        <v>25</v>
      </c>
      <c r="C13" s="28" t="s">
        <v>74</v>
      </c>
      <c r="D13" s="11"/>
      <c r="E13" s="19">
        <f>SUM(E14:E18)</f>
        <v>91.61821999999998</v>
      </c>
      <c r="F13" s="19">
        <f t="shared" ref="F13:N13" si="4">SUM(F14:F18)</f>
        <v>185.75814</v>
      </c>
      <c r="G13" s="19">
        <f t="shared" si="4"/>
        <v>403.56283999999999</v>
      </c>
      <c r="H13" s="19">
        <f t="shared" si="4"/>
        <v>747.64067999999997</v>
      </c>
      <c r="I13" s="19">
        <f t="shared" si="4"/>
        <v>87.400840000000002</v>
      </c>
      <c r="J13" s="19">
        <f t="shared" si="4"/>
        <v>1814.7169000000001</v>
      </c>
      <c r="K13" s="19">
        <f t="shared" si="4"/>
        <v>747.64067999999997</v>
      </c>
      <c r="L13" s="19">
        <f t="shared" si="4"/>
        <v>403.56283999999999</v>
      </c>
      <c r="M13" s="19">
        <f t="shared" si="4"/>
        <v>188.15814</v>
      </c>
      <c r="N13" s="19">
        <f t="shared" si="4"/>
        <v>93.000840000000011</v>
      </c>
      <c r="O13" s="194"/>
    </row>
    <row r="14" spans="1:16" ht="14.5" customHeight="1">
      <c r="A14" s="193">
        <f t="shared" si="1"/>
        <v>11</v>
      </c>
      <c r="B14" s="188" t="s">
        <v>73</v>
      </c>
      <c r="C14" s="13" t="s">
        <v>74</v>
      </c>
      <c r="D14" s="13"/>
      <c r="E14" s="30">
        <f>ТО!G9/1000</f>
        <v>75.61821999999998</v>
      </c>
      <c r="F14" s="30">
        <f>ТО!H9/1000</f>
        <v>72.040840000000003</v>
      </c>
      <c r="G14" s="30">
        <f>ТО!I9/1000</f>
        <v>72.040840000000003</v>
      </c>
      <c r="H14" s="30">
        <f>ТО!J9/1000</f>
        <v>72.040840000000003</v>
      </c>
      <c r="I14" s="30">
        <f>ТО!K9/1000</f>
        <v>72.040840000000003</v>
      </c>
      <c r="J14" s="30">
        <f>ТО!L9/1000</f>
        <v>72.040840000000003</v>
      </c>
      <c r="K14" s="30">
        <f>ТО!M9/1000</f>
        <v>72.040840000000003</v>
      </c>
      <c r="L14" s="30">
        <f>ТО!N9/1000</f>
        <v>72.040840000000003</v>
      </c>
      <c r="M14" s="30">
        <f>ТО!O9/1000</f>
        <v>72.040840000000003</v>
      </c>
      <c r="N14" s="30">
        <f>ТО!P9/1000</f>
        <v>72.040840000000003</v>
      </c>
      <c r="O14" s="194"/>
    </row>
    <row r="15" spans="1:16" ht="14.5" customHeight="1">
      <c r="A15" s="193">
        <f t="shared" si="1"/>
        <v>12</v>
      </c>
      <c r="B15" s="188" t="s">
        <v>27</v>
      </c>
      <c r="C15" s="13" t="s">
        <v>74</v>
      </c>
      <c r="D15" s="13"/>
      <c r="E15" s="30">
        <f>Ремонты!F10/1000</f>
        <v>0</v>
      </c>
      <c r="F15" s="30">
        <f>Ремонты!G10/1000</f>
        <v>0</v>
      </c>
      <c r="G15" s="30">
        <f>Ремонты!H10/1000</f>
        <v>0</v>
      </c>
      <c r="H15" s="30">
        <f>Ремонты!I10/1000</f>
        <v>0</v>
      </c>
      <c r="I15" s="30">
        <f>Ремонты!J10/1000</f>
        <v>0</v>
      </c>
      <c r="J15" s="30">
        <f>Ремонты!K10/1000</f>
        <v>0</v>
      </c>
      <c r="K15" s="30">
        <f>Ремонты!L10/1000</f>
        <v>0</v>
      </c>
      <c r="L15" s="30">
        <f>Ремонты!M10/1000</f>
        <v>0</v>
      </c>
      <c r="M15" s="30">
        <f>Ремонты!N10/1000</f>
        <v>0</v>
      </c>
      <c r="N15" s="30">
        <f>Ремонты!O10/1000</f>
        <v>0</v>
      </c>
      <c r="O15" s="194"/>
    </row>
    <row r="16" spans="1:16" ht="22.9" customHeight="1">
      <c r="A16" s="193">
        <f t="shared" si="1"/>
        <v>13</v>
      </c>
      <c r="B16" s="188" t="s">
        <v>28</v>
      </c>
      <c r="C16" s="13" t="s">
        <v>74</v>
      </c>
      <c r="D16" s="13"/>
      <c r="E16" s="30">
        <f>Ремонты!F11/1000</f>
        <v>0</v>
      </c>
      <c r="F16" s="30">
        <f>Ремонты!G11/1000</f>
        <v>90.357300000000009</v>
      </c>
      <c r="G16" s="30">
        <f>Ремонты!H11/1000</f>
        <v>299.88200000000001</v>
      </c>
      <c r="H16" s="30">
        <f>Ремонты!I11/1000</f>
        <v>628.23983999999996</v>
      </c>
      <c r="I16" s="30">
        <f>Ремонты!J11/1000</f>
        <v>0</v>
      </c>
      <c r="J16" s="30">
        <f>Ремонты!K11/1000</f>
        <v>1639.8360600000001</v>
      </c>
      <c r="K16" s="30">
        <f>Ремонты!L11/1000</f>
        <v>628.23983999999996</v>
      </c>
      <c r="L16" s="30">
        <f>Ремонты!M11/1000</f>
        <v>299.88200000000001</v>
      </c>
      <c r="M16" s="30">
        <f>Ремонты!N11/1000</f>
        <v>90.357300000000009</v>
      </c>
      <c r="N16" s="30">
        <f>Ремонты!O11/1000</f>
        <v>0</v>
      </c>
      <c r="O16" s="194"/>
    </row>
    <row r="17" spans="1:15" ht="14.5" customHeight="1">
      <c r="A17" s="193">
        <f t="shared" si="1"/>
        <v>14</v>
      </c>
      <c r="B17" s="188" t="s">
        <v>71</v>
      </c>
      <c r="C17" s="13" t="s">
        <v>74</v>
      </c>
      <c r="D17" s="13"/>
      <c r="E17" s="30">
        <f>ТО!G10/1000</f>
        <v>10.4</v>
      </c>
      <c r="F17" s="30">
        <f>ТО!H10/1000</f>
        <v>9.76</v>
      </c>
      <c r="G17" s="30">
        <f>ТО!I10/1000</f>
        <v>9.76</v>
      </c>
      <c r="H17" s="30">
        <f>ТО!J10/1000</f>
        <v>9.76</v>
      </c>
      <c r="I17" s="30">
        <f>ТО!K10/1000</f>
        <v>9.76</v>
      </c>
      <c r="J17" s="30">
        <f>ТО!L10/1000</f>
        <v>9.76</v>
      </c>
      <c r="K17" s="30">
        <f>ТО!M10/1000</f>
        <v>9.76</v>
      </c>
      <c r="L17" s="30">
        <f>ТО!N10/1000</f>
        <v>9.76</v>
      </c>
      <c r="M17" s="30">
        <f>ТО!O10/1000</f>
        <v>9.76</v>
      </c>
      <c r="N17" s="30">
        <f>ТО!P10/1000</f>
        <v>9.76</v>
      </c>
      <c r="O17" s="194"/>
    </row>
    <row r="18" spans="1:15" ht="14.5" customHeight="1">
      <c r="A18" s="193">
        <f t="shared" si="1"/>
        <v>15</v>
      </c>
      <c r="B18" s="188" t="s">
        <v>72</v>
      </c>
      <c r="C18" s="13" t="s">
        <v>74</v>
      </c>
      <c r="D18" s="13"/>
      <c r="E18" s="30">
        <f>Ремонты!F12/1000</f>
        <v>5.6</v>
      </c>
      <c r="F18" s="30">
        <f>Ремонты!G12/1000</f>
        <v>13.6</v>
      </c>
      <c r="G18" s="30">
        <f>Ремонты!H12/1000</f>
        <v>21.88</v>
      </c>
      <c r="H18" s="30">
        <f>Ремонты!I12/1000</f>
        <v>37.6</v>
      </c>
      <c r="I18" s="30">
        <f>Ремонты!J12/1000</f>
        <v>5.6</v>
      </c>
      <c r="J18" s="30">
        <f>Ремонты!K12/1000</f>
        <v>93.08</v>
      </c>
      <c r="K18" s="30">
        <f>Ремонты!L12/1000</f>
        <v>37.6</v>
      </c>
      <c r="L18" s="30">
        <f>Ремонты!M12/1000</f>
        <v>21.88</v>
      </c>
      <c r="M18" s="30">
        <f>Ремонты!N12/1000</f>
        <v>16</v>
      </c>
      <c r="N18" s="30">
        <f>Ремонты!O12/1000</f>
        <v>11.2</v>
      </c>
      <c r="O18" s="194"/>
    </row>
    <row r="19" spans="1:15" ht="14.5" customHeight="1">
      <c r="A19" s="193">
        <f t="shared" si="1"/>
        <v>16</v>
      </c>
      <c r="B19" s="189" t="s">
        <v>12</v>
      </c>
      <c r="C19" s="13"/>
      <c r="D19" s="13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94" t="s">
        <v>19</v>
      </c>
    </row>
    <row r="20" spans="1:15" ht="14.5" customHeight="1">
      <c r="A20" s="193">
        <f t="shared" si="1"/>
        <v>17</v>
      </c>
      <c r="B20" s="13" t="s">
        <v>13</v>
      </c>
      <c r="C20" s="13"/>
      <c r="D20" s="13"/>
      <c r="E20" s="34"/>
      <c r="F20" s="17"/>
      <c r="G20" s="17"/>
      <c r="H20" s="17"/>
      <c r="I20" s="17"/>
      <c r="J20" s="17"/>
      <c r="K20" s="17"/>
      <c r="L20" s="17"/>
      <c r="M20" s="17"/>
      <c r="N20" s="17"/>
      <c r="O20" s="194" t="s">
        <v>2</v>
      </c>
    </row>
    <row r="21" spans="1:15" ht="14.5" customHeight="1">
      <c r="A21" s="193">
        <f t="shared" si="1"/>
        <v>18</v>
      </c>
      <c r="B21" s="199" t="s">
        <v>3</v>
      </c>
      <c r="C21" s="13"/>
      <c r="D21" s="13"/>
      <c r="E21" s="138"/>
      <c r="F21" s="139"/>
      <c r="G21" s="139"/>
      <c r="H21" s="139"/>
      <c r="I21" s="139"/>
      <c r="J21" s="139"/>
      <c r="K21" s="139"/>
      <c r="L21" s="139"/>
      <c r="M21" s="139"/>
      <c r="N21" s="139"/>
      <c r="O21" s="194" t="s">
        <v>2</v>
      </c>
    </row>
    <row r="22" spans="1:15" ht="14.5" customHeight="1">
      <c r="A22" s="193">
        <f t="shared" si="1"/>
        <v>19</v>
      </c>
      <c r="B22" s="199" t="s">
        <v>15</v>
      </c>
      <c r="C22" s="13"/>
      <c r="D22" s="13"/>
      <c r="E22" s="138"/>
      <c r="F22" s="139"/>
      <c r="G22" s="139"/>
      <c r="H22" s="139"/>
      <c r="I22" s="139"/>
      <c r="J22" s="139"/>
      <c r="K22" s="139"/>
      <c r="L22" s="139"/>
      <c r="M22" s="139"/>
      <c r="N22" s="139"/>
      <c r="O22" s="194" t="s">
        <v>2</v>
      </c>
    </row>
    <row r="23" spans="1:15" ht="14.5" customHeight="1">
      <c r="A23" s="193">
        <f t="shared" si="1"/>
        <v>20</v>
      </c>
      <c r="B23" s="13" t="s">
        <v>18</v>
      </c>
      <c r="C23" s="13"/>
      <c r="D23" s="13"/>
      <c r="E23" s="83"/>
      <c r="F23" s="17"/>
      <c r="G23" s="17"/>
      <c r="H23" s="17"/>
      <c r="I23" s="17"/>
      <c r="J23" s="17"/>
      <c r="K23" s="17"/>
      <c r="L23" s="17"/>
      <c r="M23" s="17"/>
      <c r="N23" s="17"/>
      <c r="O23" s="194" t="s">
        <v>2</v>
      </c>
    </row>
    <row r="24" spans="1:15" ht="14.5" customHeight="1">
      <c r="A24" s="193">
        <f t="shared" si="1"/>
        <v>21</v>
      </c>
      <c r="B24" s="199" t="s">
        <v>3</v>
      </c>
      <c r="C24" s="13"/>
      <c r="D24" s="13"/>
      <c r="E24" s="138"/>
      <c r="F24" s="139"/>
      <c r="G24" s="139"/>
      <c r="H24" s="139"/>
      <c r="I24" s="139"/>
      <c r="J24" s="139"/>
      <c r="K24" s="139"/>
      <c r="L24" s="139"/>
      <c r="M24" s="139"/>
      <c r="N24" s="139"/>
      <c r="O24" s="194" t="s">
        <v>2</v>
      </c>
    </row>
    <row r="25" spans="1:15" ht="14.5" customHeight="1">
      <c r="A25" s="193">
        <f t="shared" si="1"/>
        <v>22</v>
      </c>
      <c r="B25" s="199" t="s">
        <v>15</v>
      </c>
      <c r="C25" s="13"/>
      <c r="D25" s="13"/>
      <c r="E25" s="138"/>
      <c r="F25" s="139"/>
      <c r="G25" s="139"/>
      <c r="H25" s="139"/>
      <c r="I25" s="139"/>
      <c r="J25" s="139"/>
      <c r="K25" s="139"/>
      <c r="L25" s="139"/>
      <c r="M25" s="139"/>
      <c r="N25" s="139"/>
      <c r="O25" s="194" t="s">
        <v>2</v>
      </c>
    </row>
    <row r="26" spans="1:15" ht="14.5" customHeight="1">
      <c r="A26" s="193">
        <f t="shared" si="1"/>
        <v>23</v>
      </c>
      <c r="B26" s="13" t="s">
        <v>14</v>
      </c>
      <c r="C26" s="13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94" t="s">
        <v>2</v>
      </c>
    </row>
    <row r="27" spans="1:15" ht="14.5" customHeight="1">
      <c r="A27" s="193">
        <f t="shared" si="1"/>
        <v>24</v>
      </c>
      <c r="B27" s="199" t="s">
        <v>3</v>
      </c>
      <c r="C27" s="13"/>
      <c r="D27" s="14"/>
      <c r="E27" s="138"/>
      <c r="F27" s="139"/>
      <c r="G27" s="139"/>
      <c r="H27" s="139"/>
      <c r="I27" s="139"/>
      <c r="J27" s="139"/>
      <c r="K27" s="139"/>
      <c r="L27" s="139"/>
      <c r="M27" s="139"/>
      <c r="N27" s="139"/>
      <c r="O27" s="194" t="s">
        <v>2</v>
      </c>
    </row>
    <row r="28" spans="1:15" ht="14.5" customHeight="1">
      <c r="A28" s="193">
        <f t="shared" si="1"/>
        <v>25</v>
      </c>
      <c r="B28" s="199" t="s">
        <v>15</v>
      </c>
      <c r="C28" s="13"/>
      <c r="D28" s="14"/>
      <c r="E28" s="138"/>
      <c r="F28" s="139"/>
      <c r="G28" s="139"/>
      <c r="H28" s="139"/>
      <c r="I28" s="139"/>
      <c r="J28" s="139"/>
      <c r="K28" s="139"/>
      <c r="L28" s="139"/>
      <c r="M28" s="139"/>
      <c r="N28" s="139"/>
      <c r="O28" s="194" t="s">
        <v>2</v>
      </c>
    </row>
    <row r="29" spans="1:15" ht="14.5" customHeight="1">
      <c r="A29" s="193">
        <f t="shared" si="1"/>
        <v>26</v>
      </c>
      <c r="B29" s="13" t="s">
        <v>16</v>
      </c>
      <c r="C29" s="13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94" t="s">
        <v>2</v>
      </c>
    </row>
    <row r="30" spans="1:15" ht="14.5" customHeight="1">
      <c r="A30" s="193">
        <f t="shared" si="1"/>
        <v>27</v>
      </c>
      <c r="B30" s="199" t="s">
        <v>3</v>
      </c>
      <c r="C30" s="13"/>
      <c r="D30" s="14"/>
      <c r="E30" s="138"/>
      <c r="F30" s="139"/>
      <c r="G30" s="139"/>
      <c r="H30" s="139"/>
      <c r="I30" s="139"/>
      <c r="J30" s="139"/>
      <c r="K30" s="139"/>
      <c r="L30" s="139"/>
      <c r="M30" s="139"/>
      <c r="N30" s="139"/>
      <c r="O30" s="194" t="s">
        <v>2</v>
      </c>
    </row>
    <row r="31" spans="1:15" ht="14.5" customHeight="1">
      <c r="A31" s="193">
        <f t="shared" si="1"/>
        <v>28</v>
      </c>
      <c r="B31" s="199" t="s">
        <v>15</v>
      </c>
      <c r="C31" s="13"/>
      <c r="D31" s="14"/>
      <c r="E31" s="138"/>
      <c r="F31" s="139"/>
      <c r="G31" s="139"/>
      <c r="H31" s="139"/>
      <c r="I31" s="139"/>
      <c r="J31" s="139"/>
      <c r="K31" s="139"/>
      <c r="L31" s="139"/>
      <c r="M31" s="139"/>
      <c r="N31" s="139"/>
      <c r="O31" s="194" t="s">
        <v>2</v>
      </c>
    </row>
    <row r="32" spans="1:15" ht="14.5" customHeight="1">
      <c r="A32" s="193">
        <f t="shared" si="1"/>
        <v>29</v>
      </c>
      <c r="B32" s="13" t="s">
        <v>17</v>
      </c>
      <c r="C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94" t="s">
        <v>2</v>
      </c>
    </row>
    <row r="33" spans="1:15" ht="14.5" customHeight="1">
      <c r="A33" s="193">
        <f t="shared" ref="A33:A37" si="5">A32+1</f>
        <v>30</v>
      </c>
      <c r="B33" s="199" t="s">
        <v>3</v>
      </c>
      <c r="C33" s="13"/>
      <c r="D33" s="14"/>
      <c r="E33" s="138"/>
      <c r="F33" s="139"/>
      <c r="G33" s="139"/>
      <c r="H33" s="139"/>
      <c r="I33" s="139"/>
      <c r="J33" s="139"/>
      <c r="K33" s="139"/>
      <c r="L33" s="139"/>
      <c r="M33" s="139"/>
      <c r="N33" s="139"/>
      <c r="O33" s="194" t="s">
        <v>2</v>
      </c>
    </row>
    <row r="34" spans="1:15" ht="14.5" customHeight="1">
      <c r="A34" s="193">
        <f t="shared" si="5"/>
        <v>31</v>
      </c>
      <c r="B34" s="199" t="s">
        <v>15</v>
      </c>
      <c r="C34" s="13"/>
      <c r="D34" s="14"/>
      <c r="E34" s="138"/>
      <c r="F34" s="139"/>
      <c r="G34" s="139"/>
      <c r="H34" s="139"/>
      <c r="I34" s="139"/>
      <c r="J34" s="139"/>
      <c r="K34" s="139"/>
      <c r="L34" s="139"/>
      <c r="M34" s="139"/>
      <c r="N34" s="139"/>
      <c r="O34" s="194" t="s">
        <v>2</v>
      </c>
    </row>
    <row r="35" spans="1:15" ht="14.5" customHeight="1">
      <c r="A35" s="193">
        <f t="shared" si="5"/>
        <v>32</v>
      </c>
      <c r="B35" s="189" t="s">
        <v>23</v>
      </c>
      <c r="C35" s="16"/>
      <c r="D35" s="16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94"/>
    </row>
    <row r="36" spans="1:15" ht="14.5" customHeight="1">
      <c r="A36" s="193">
        <f t="shared" si="5"/>
        <v>33</v>
      </c>
      <c r="B36" s="199" t="s">
        <v>3</v>
      </c>
      <c r="C36" s="186" t="s">
        <v>24</v>
      </c>
      <c r="D36" s="140" t="s">
        <v>131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94"/>
    </row>
    <row r="37" spans="1:15" ht="14.5" customHeight="1" thickBot="1">
      <c r="A37" s="195">
        <f t="shared" si="5"/>
        <v>34</v>
      </c>
      <c r="B37" s="196" t="s">
        <v>4</v>
      </c>
      <c r="C37" s="31" t="s">
        <v>20</v>
      </c>
      <c r="D37" s="14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197"/>
    </row>
  </sheetData>
  <pageMargins left="0.35433070866141736" right="0.31496062992125984" top="0.31496062992125984" bottom="0.39370078740157483" header="0.15748031496062992" footer="0.15748031496062992"/>
  <pageSetup paperSize="9" scale="45" orientation="landscape" r:id="rId1"/>
  <headerFooter alignWithMargins="0">
    <oddFooter>&amp;R&amp;"Arial Cyr,полужирный курсив"&amp;12&amp;A,  стр.&amp;P из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5"/>
  <sheetViews>
    <sheetView zoomScale="80" zoomScaleNormal="80" workbookViewId="0">
      <pane xSplit="5" ySplit="4" topLeftCell="F68" activePane="bottomRight" state="frozen"/>
      <selection pane="topRight" activeCell="F1" sqref="F1"/>
      <selection pane="bottomLeft" activeCell="A4" sqref="A4"/>
      <selection pane="bottomRight" activeCell="I16" sqref="I16"/>
    </sheetView>
  </sheetViews>
  <sheetFormatPr defaultRowHeight="14.5"/>
  <cols>
    <col min="1" max="1" width="5.54296875" customWidth="1"/>
    <col min="2" max="2" width="34.7265625" customWidth="1"/>
    <col min="3" max="3" width="13.81640625" customWidth="1"/>
    <col min="4" max="4" width="14.7265625" customWidth="1"/>
    <col min="5" max="5" width="14" customWidth="1"/>
    <col min="6" max="6" width="9.26953125" bestFit="1" customWidth="1"/>
    <col min="7" max="16" width="10" customWidth="1"/>
    <col min="17" max="17" width="5.54296875" customWidth="1"/>
  </cols>
  <sheetData>
    <row r="2" spans="2:18">
      <c r="B2" s="113" t="s">
        <v>79</v>
      </c>
    </row>
    <row r="3" spans="2:18" ht="15" thickBot="1">
      <c r="B3" t="s">
        <v>93</v>
      </c>
      <c r="G3" s="179">
        <f>Данные_Экскаватор!E7</f>
        <v>0.94292237442922378</v>
      </c>
      <c r="H3" s="179">
        <f>Данные_Экскаватор!F7</f>
        <v>0.93315575849822419</v>
      </c>
      <c r="I3" s="179">
        <f>Данные_Экскаватор!G7</f>
        <v>0.90651953323186207</v>
      </c>
      <c r="J3" s="179">
        <f>Данные_Экскаватор!H7</f>
        <v>0.89564307458143066</v>
      </c>
      <c r="K3" s="179">
        <f>Данные_Экскаватор!I7</f>
        <v>0.94381024860476914</v>
      </c>
      <c r="L3" s="179">
        <f>Данные_Экскаватор!J7</f>
        <v>0.87167047184170465</v>
      </c>
      <c r="M3" s="179">
        <f>Данные_Экскаватор!K7</f>
        <v>0.89564307458143066</v>
      </c>
      <c r="N3" s="179">
        <f>Данные_Экскаватор!L7</f>
        <v>0.90651953323186207</v>
      </c>
      <c r="O3" s="179">
        <f>Данные_Экскаватор!M7</f>
        <v>0.92916032470826992</v>
      </c>
      <c r="P3" s="179">
        <f>Данные_Экскаватор!N7</f>
        <v>0.92827245053272456</v>
      </c>
    </row>
    <row r="4" spans="2:18" ht="22.15" customHeight="1" thickBot="1">
      <c r="B4" s="142" t="s">
        <v>81</v>
      </c>
      <c r="C4" s="143" t="s">
        <v>1</v>
      </c>
      <c r="D4" s="144"/>
      <c r="E4" s="145"/>
      <c r="F4" s="146"/>
      <c r="G4" s="66">
        <f>E4+1</f>
        <v>1</v>
      </c>
      <c r="H4" s="66">
        <f>G4+1</f>
        <v>2</v>
      </c>
      <c r="I4" s="66">
        <f t="shared" ref="I4:P4" si="0">H4+1</f>
        <v>3</v>
      </c>
      <c r="J4" s="66">
        <f t="shared" si="0"/>
        <v>4</v>
      </c>
      <c r="K4" s="66">
        <f t="shared" si="0"/>
        <v>5</v>
      </c>
      <c r="L4" s="66">
        <f t="shared" si="0"/>
        <v>6</v>
      </c>
      <c r="M4" s="66">
        <f t="shared" si="0"/>
        <v>7</v>
      </c>
      <c r="N4" s="66">
        <f t="shared" si="0"/>
        <v>8</v>
      </c>
      <c r="O4" s="66">
        <f t="shared" si="0"/>
        <v>9</v>
      </c>
      <c r="P4" s="66">
        <f t="shared" si="0"/>
        <v>10</v>
      </c>
    </row>
    <row r="5" spans="2:18">
      <c r="B5" s="39" t="s">
        <v>59</v>
      </c>
      <c r="C5" s="49" t="s">
        <v>61</v>
      </c>
      <c r="D5" s="35"/>
      <c r="E5" s="50"/>
      <c r="F5" s="89"/>
      <c r="G5" s="72">
        <v>0</v>
      </c>
      <c r="H5" s="72">
        <f>G6+1</f>
        <v>7001</v>
      </c>
      <c r="I5" s="72">
        <f t="shared" ref="I5:P5" si="1">H6+1</f>
        <v>14001</v>
      </c>
      <c r="J5" s="72">
        <f t="shared" si="1"/>
        <v>21001</v>
      </c>
      <c r="K5" s="72">
        <f t="shared" si="1"/>
        <v>28001</v>
      </c>
      <c r="L5" s="72">
        <f t="shared" si="1"/>
        <v>35001</v>
      </c>
      <c r="M5" s="72">
        <f t="shared" si="1"/>
        <v>42001</v>
      </c>
      <c r="N5" s="72">
        <f t="shared" si="1"/>
        <v>49001</v>
      </c>
      <c r="O5" s="72">
        <f t="shared" si="1"/>
        <v>56001</v>
      </c>
      <c r="P5" s="72">
        <f t="shared" si="1"/>
        <v>63001</v>
      </c>
    </row>
    <row r="6" spans="2:18">
      <c r="B6" s="40" t="s">
        <v>60</v>
      </c>
      <c r="C6" s="51" t="s">
        <v>61</v>
      </c>
      <c r="D6" s="20"/>
      <c r="E6" s="52"/>
      <c r="F6" s="90">
        <v>7000</v>
      </c>
      <c r="G6" s="34">
        <f>F6</f>
        <v>7000</v>
      </c>
      <c r="H6" s="34">
        <f t="shared" ref="H6:P6" si="2">G6+$F6</f>
        <v>14000</v>
      </c>
      <c r="I6" s="34">
        <f t="shared" si="2"/>
        <v>21000</v>
      </c>
      <c r="J6" s="34">
        <f t="shared" si="2"/>
        <v>28000</v>
      </c>
      <c r="K6" s="34">
        <f t="shared" si="2"/>
        <v>35000</v>
      </c>
      <c r="L6" s="34">
        <f t="shared" si="2"/>
        <v>42000</v>
      </c>
      <c r="M6" s="34">
        <f t="shared" si="2"/>
        <v>49000</v>
      </c>
      <c r="N6" s="34">
        <f t="shared" si="2"/>
        <v>56000</v>
      </c>
      <c r="O6" s="34">
        <f t="shared" si="2"/>
        <v>63000</v>
      </c>
      <c r="P6" s="34">
        <f t="shared" si="2"/>
        <v>70000</v>
      </c>
    </row>
    <row r="7" spans="2:18" ht="21.75" customHeight="1">
      <c r="B7" s="41" t="s">
        <v>46</v>
      </c>
      <c r="C7" s="53" t="s">
        <v>42</v>
      </c>
      <c r="D7" s="11"/>
      <c r="E7" s="54"/>
      <c r="F7" s="37"/>
      <c r="G7" s="24">
        <f>G13</f>
        <v>124</v>
      </c>
      <c r="H7" s="24">
        <f t="shared" ref="H7:P7" si="3">H13</f>
        <v>116</v>
      </c>
      <c r="I7" s="24">
        <f t="shared" si="3"/>
        <v>116</v>
      </c>
      <c r="J7" s="24">
        <f t="shared" si="3"/>
        <v>116</v>
      </c>
      <c r="K7" s="24">
        <f t="shared" si="3"/>
        <v>116</v>
      </c>
      <c r="L7" s="24">
        <f t="shared" si="3"/>
        <v>116</v>
      </c>
      <c r="M7" s="24">
        <f t="shared" si="3"/>
        <v>116</v>
      </c>
      <c r="N7" s="24">
        <f t="shared" si="3"/>
        <v>116</v>
      </c>
      <c r="O7" s="24">
        <f t="shared" si="3"/>
        <v>116</v>
      </c>
      <c r="P7" s="24">
        <f t="shared" si="3"/>
        <v>116</v>
      </c>
    </row>
    <row r="8" spans="2:18" ht="21" customHeight="1">
      <c r="B8" s="42" t="s">
        <v>57</v>
      </c>
      <c r="C8" s="55" t="s">
        <v>55</v>
      </c>
      <c r="D8" s="13"/>
      <c r="E8" s="54"/>
      <c r="F8" s="37"/>
      <c r="G8" s="19">
        <f t="shared" ref="G8:P8" si="4">SUM(G9:G10)</f>
        <v>86018.219999999987</v>
      </c>
      <c r="H8" s="19">
        <f t="shared" si="4"/>
        <v>81800.84</v>
      </c>
      <c r="I8" s="19">
        <f t="shared" si="4"/>
        <v>81800.84</v>
      </c>
      <c r="J8" s="19">
        <f t="shared" si="4"/>
        <v>81800.84</v>
      </c>
      <c r="K8" s="19">
        <f t="shared" si="4"/>
        <v>81800.84</v>
      </c>
      <c r="L8" s="19">
        <f t="shared" si="4"/>
        <v>81800.84</v>
      </c>
      <c r="M8" s="19">
        <f t="shared" si="4"/>
        <v>81800.84</v>
      </c>
      <c r="N8" s="19">
        <f t="shared" si="4"/>
        <v>81800.84</v>
      </c>
      <c r="O8" s="19">
        <f t="shared" si="4"/>
        <v>81800.84</v>
      </c>
      <c r="P8" s="19">
        <f t="shared" si="4"/>
        <v>81800.84</v>
      </c>
    </row>
    <row r="9" spans="2:18" ht="20.25" customHeight="1">
      <c r="B9" s="43" t="s">
        <v>58</v>
      </c>
      <c r="C9" s="56" t="s">
        <v>55</v>
      </c>
      <c r="D9" s="16"/>
      <c r="E9" s="57"/>
      <c r="F9" s="38"/>
      <c r="G9" s="25">
        <f>G22</f>
        <v>75618.219999999987</v>
      </c>
      <c r="H9" s="25">
        <f>H22</f>
        <v>72040.84</v>
      </c>
      <c r="I9" s="25">
        <f t="shared" ref="I9:P9" si="5">I22</f>
        <v>72040.84</v>
      </c>
      <c r="J9" s="25">
        <f t="shared" si="5"/>
        <v>72040.84</v>
      </c>
      <c r="K9" s="25">
        <f t="shared" si="5"/>
        <v>72040.84</v>
      </c>
      <c r="L9" s="25">
        <f t="shared" si="5"/>
        <v>72040.84</v>
      </c>
      <c r="M9" s="25">
        <f t="shared" si="5"/>
        <v>72040.84</v>
      </c>
      <c r="N9" s="25">
        <f t="shared" si="5"/>
        <v>72040.84</v>
      </c>
      <c r="O9" s="25">
        <f t="shared" si="5"/>
        <v>72040.84</v>
      </c>
      <c r="P9" s="25">
        <f t="shared" si="5"/>
        <v>72040.84</v>
      </c>
    </row>
    <row r="10" spans="2:18" ht="23.25" customHeight="1" thickBot="1">
      <c r="B10" s="46" t="s">
        <v>54</v>
      </c>
      <c r="C10" s="58" t="s">
        <v>55</v>
      </c>
      <c r="D10" s="47"/>
      <c r="E10" s="59"/>
      <c r="F10" s="91">
        <v>40</v>
      </c>
      <c r="G10" s="48">
        <f>SUMPRODUCT(G14:G19,$F$14:$F$19)*$F10</f>
        <v>10400</v>
      </c>
      <c r="H10" s="48">
        <f>SUMPRODUCT(H14:H19,$F$14:$F$19)*$F10</f>
        <v>9760</v>
      </c>
      <c r="I10" s="48">
        <f t="shared" ref="I10:P10" si="6">SUMPRODUCT(I14:I19,$F$14:$F$19)*$F10</f>
        <v>9760</v>
      </c>
      <c r="J10" s="48">
        <f t="shared" si="6"/>
        <v>9760</v>
      </c>
      <c r="K10" s="48">
        <f t="shared" si="6"/>
        <v>9760</v>
      </c>
      <c r="L10" s="48">
        <f t="shared" si="6"/>
        <v>9760</v>
      </c>
      <c r="M10" s="48">
        <f t="shared" si="6"/>
        <v>9760</v>
      </c>
      <c r="N10" s="48">
        <f t="shared" si="6"/>
        <v>9760</v>
      </c>
      <c r="O10" s="48">
        <f t="shared" si="6"/>
        <v>9760</v>
      </c>
      <c r="P10" s="48">
        <f t="shared" si="6"/>
        <v>9760</v>
      </c>
    </row>
    <row r="11" spans="2:18" ht="15" thickBot="1">
      <c r="B11" s="203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  <row r="12" spans="2:18" ht="34.5">
      <c r="B12" s="147" t="s">
        <v>51</v>
      </c>
      <c r="C12" s="148" t="s">
        <v>53</v>
      </c>
      <c r="D12" s="149" t="s">
        <v>62</v>
      </c>
      <c r="E12" s="150" t="s">
        <v>52</v>
      </c>
      <c r="F12" s="151" t="s">
        <v>41</v>
      </c>
      <c r="G12" s="152" t="s">
        <v>65</v>
      </c>
      <c r="H12" s="152" t="s">
        <v>65</v>
      </c>
      <c r="I12" s="152" t="s">
        <v>65</v>
      </c>
      <c r="J12" s="152" t="s">
        <v>65</v>
      </c>
      <c r="K12" s="152" t="s">
        <v>65</v>
      </c>
      <c r="L12" s="152" t="s">
        <v>65</v>
      </c>
      <c r="M12" s="152" t="s">
        <v>65</v>
      </c>
      <c r="N12" s="152" t="s">
        <v>65</v>
      </c>
      <c r="O12" s="152" t="s">
        <v>65</v>
      </c>
      <c r="P12" s="152" t="s">
        <v>65</v>
      </c>
    </row>
    <row r="13" spans="2:18">
      <c r="B13" s="85" t="s">
        <v>56</v>
      </c>
      <c r="C13" s="60"/>
      <c r="D13" s="86"/>
      <c r="E13" s="87"/>
      <c r="F13" s="88"/>
      <c r="G13" s="27">
        <f>SUM(G14:G19)</f>
        <v>124</v>
      </c>
      <c r="H13" s="27">
        <f t="shared" ref="H13:P13" si="7">SUM(H14:H19)</f>
        <v>116</v>
      </c>
      <c r="I13" s="27">
        <f t="shared" si="7"/>
        <v>116</v>
      </c>
      <c r="J13" s="27">
        <f t="shared" si="7"/>
        <v>116</v>
      </c>
      <c r="K13" s="27">
        <f t="shared" si="7"/>
        <v>116</v>
      </c>
      <c r="L13" s="27">
        <f t="shared" si="7"/>
        <v>116</v>
      </c>
      <c r="M13" s="27">
        <f t="shared" si="7"/>
        <v>116</v>
      </c>
      <c r="N13" s="27">
        <f t="shared" si="7"/>
        <v>116</v>
      </c>
      <c r="O13" s="27">
        <f t="shared" si="7"/>
        <v>116</v>
      </c>
      <c r="P13" s="27">
        <f t="shared" si="7"/>
        <v>116</v>
      </c>
    </row>
    <row r="14" spans="2:18">
      <c r="B14" s="114" t="s">
        <v>95</v>
      </c>
      <c r="C14" s="115">
        <v>50</v>
      </c>
      <c r="D14" s="116">
        <v>8</v>
      </c>
      <c r="E14" s="117">
        <v>1</v>
      </c>
      <c r="F14" s="118">
        <v>2</v>
      </c>
      <c r="G14" s="116">
        <f t="shared" ref="G14:G19" si="8">$E14*$D14</f>
        <v>8</v>
      </c>
      <c r="H14" s="116"/>
      <c r="I14" s="116"/>
      <c r="J14" s="116"/>
      <c r="K14" s="116"/>
      <c r="L14" s="116"/>
      <c r="M14" s="116"/>
      <c r="N14" s="116"/>
      <c r="O14" s="116"/>
      <c r="P14" s="116"/>
      <c r="R14" t="s">
        <v>84</v>
      </c>
    </row>
    <row r="15" spans="2:18">
      <c r="B15" s="114" t="s">
        <v>34</v>
      </c>
      <c r="C15" s="115">
        <v>250</v>
      </c>
      <c r="D15" s="116">
        <v>3</v>
      </c>
      <c r="E15" s="117">
        <f>$F$6/C15/2</f>
        <v>14</v>
      </c>
      <c r="F15" s="118">
        <v>2</v>
      </c>
      <c r="G15" s="116">
        <f t="shared" si="8"/>
        <v>42</v>
      </c>
      <c r="H15" s="116">
        <f t="shared" ref="H15:P19" si="9">$E15*$D15</f>
        <v>42</v>
      </c>
      <c r="I15" s="116">
        <f t="shared" si="9"/>
        <v>42</v>
      </c>
      <c r="J15" s="116">
        <f t="shared" si="9"/>
        <v>42</v>
      </c>
      <c r="K15" s="116">
        <f t="shared" si="9"/>
        <v>42</v>
      </c>
      <c r="L15" s="116">
        <f t="shared" si="9"/>
        <v>42</v>
      </c>
      <c r="M15" s="116">
        <f t="shared" si="9"/>
        <v>42</v>
      </c>
      <c r="N15" s="116">
        <f t="shared" si="9"/>
        <v>42</v>
      </c>
      <c r="O15" s="116">
        <f t="shared" si="9"/>
        <v>42</v>
      </c>
      <c r="P15" s="116">
        <f t="shared" si="9"/>
        <v>42</v>
      </c>
      <c r="R15" t="s">
        <v>84</v>
      </c>
    </row>
    <row r="16" spans="2:18">
      <c r="B16" s="114" t="s">
        <v>35</v>
      </c>
      <c r="C16" s="115">
        <v>500</v>
      </c>
      <c r="D16" s="116">
        <v>4</v>
      </c>
      <c r="E16" s="117">
        <f>$F$6/C16/2</f>
        <v>7</v>
      </c>
      <c r="F16" s="118">
        <v>2</v>
      </c>
      <c r="G16" s="116">
        <f t="shared" si="8"/>
        <v>28</v>
      </c>
      <c r="H16" s="116">
        <f t="shared" si="9"/>
        <v>28</v>
      </c>
      <c r="I16" s="116">
        <f t="shared" si="9"/>
        <v>28</v>
      </c>
      <c r="J16" s="116">
        <f t="shared" si="9"/>
        <v>28</v>
      </c>
      <c r="K16" s="116">
        <f t="shared" si="9"/>
        <v>28</v>
      </c>
      <c r="L16" s="116">
        <f t="shared" si="9"/>
        <v>28</v>
      </c>
      <c r="M16" s="116">
        <f t="shared" si="9"/>
        <v>28</v>
      </c>
      <c r="N16" s="116">
        <f t="shared" si="9"/>
        <v>28</v>
      </c>
      <c r="O16" s="116">
        <f t="shared" si="9"/>
        <v>28</v>
      </c>
      <c r="P16" s="116">
        <f t="shared" si="9"/>
        <v>28</v>
      </c>
      <c r="R16" t="s">
        <v>84</v>
      </c>
    </row>
    <row r="17" spans="2:18">
      <c r="B17" s="114" t="s">
        <v>36</v>
      </c>
      <c r="C17" s="115">
        <v>1000</v>
      </c>
      <c r="D17" s="116">
        <v>5</v>
      </c>
      <c r="E17" s="117">
        <v>4</v>
      </c>
      <c r="F17" s="118">
        <v>2</v>
      </c>
      <c r="G17" s="116">
        <f t="shared" si="8"/>
        <v>20</v>
      </c>
      <c r="H17" s="116">
        <f t="shared" si="9"/>
        <v>20</v>
      </c>
      <c r="I17" s="116">
        <f t="shared" si="9"/>
        <v>20</v>
      </c>
      <c r="J17" s="116">
        <f t="shared" si="9"/>
        <v>20</v>
      </c>
      <c r="K17" s="116">
        <f t="shared" si="9"/>
        <v>20</v>
      </c>
      <c r="L17" s="116">
        <f t="shared" si="9"/>
        <v>20</v>
      </c>
      <c r="M17" s="116">
        <f t="shared" si="9"/>
        <v>20</v>
      </c>
      <c r="N17" s="116">
        <f t="shared" si="9"/>
        <v>20</v>
      </c>
      <c r="O17" s="116">
        <f t="shared" si="9"/>
        <v>20</v>
      </c>
      <c r="P17" s="116">
        <f t="shared" si="9"/>
        <v>20</v>
      </c>
      <c r="R17" t="s">
        <v>84</v>
      </c>
    </row>
    <row r="18" spans="2:18">
      <c r="B18" s="114" t="s">
        <v>37</v>
      </c>
      <c r="C18" s="115">
        <v>2000</v>
      </c>
      <c r="D18" s="116">
        <v>7</v>
      </c>
      <c r="E18" s="117">
        <v>2</v>
      </c>
      <c r="F18" s="118">
        <v>2</v>
      </c>
      <c r="G18" s="116">
        <f t="shared" si="8"/>
        <v>14</v>
      </c>
      <c r="H18" s="116">
        <f t="shared" si="9"/>
        <v>14</v>
      </c>
      <c r="I18" s="116">
        <f t="shared" si="9"/>
        <v>14</v>
      </c>
      <c r="J18" s="116">
        <f t="shared" si="9"/>
        <v>14</v>
      </c>
      <c r="K18" s="116">
        <f t="shared" si="9"/>
        <v>14</v>
      </c>
      <c r="L18" s="116">
        <f t="shared" si="9"/>
        <v>14</v>
      </c>
      <c r="M18" s="116">
        <f t="shared" si="9"/>
        <v>14</v>
      </c>
      <c r="N18" s="116">
        <f t="shared" si="9"/>
        <v>14</v>
      </c>
      <c r="O18" s="116">
        <f t="shared" si="9"/>
        <v>14</v>
      </c>
      <c r="P18" s="116">
        <f t="shared" si="9"/>
        <v>14</v>
      </c>
      <c r="R18" t="s">
        <v>84</v>
      </c>
    </row>
    <row r="19" spans="2:18" ht="15" thickBot="1">
      <c r="B19" s="119" t="s">
        <v>38</v>
      </c>
      <c r="C19" s="120">
        <v>4000</v>
      </c>
      <c r="D19" s="121">
        <v>12</v>
      </c>
      <c r="E19" s="122">
        <v>1</v>
      </c>
      <c r="F19" s="123">
        <v>3</v>
      </c>
      <c r="G19" s="121">
        <f t="shared" si="8"/>
        <v>12</v>
      </c>
      <c r="H19" s="121">
        <f>$D19</f>
        <v>12</v>
      </c>
      <c r="I19" s="121">
        <f t="shared" si="9"/>
        <v>12</v>
      </c>
      <c r="J19" s="121">
        <f>$D19</f>
        <v>12</v>
      </c>
      <c r="K19" s="121">
        <f t="shared" si="9"/>
        <v>12</v>
      </c>
      <c r="L19" s="121">
        <f>$D19</f>
        <v>12</v>
      </c>
      <c r="M19" s="121">
        <f>$D19</f>
        <v>12</v>
      </c>
      <c r="N19" s="121">
        <f t="shared" si="9"/>
        <v>12</v>
      </c>
      <c r="O19" s="121">
        <f>$D19</f>
        <v>12</v>
      </c>
      <c r="P19" s="121">
        <f t="shared" si="9"/>
        <v>12</v>
      </c>
      <c r="R19" t="s">
        <v>84</v>
      </c>
    </row>
    <row r="20" spans="2:18" ht="15" thickBot="1">
      <c r="B20" s="203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</row>
    <row r="21" spans="2:18" ht="26">
      <c r="B21" s="153" t="s">
        <v>57</v>
      </c>
      <c r="C21" s="154" t="s">
        <v>48</v>
      </c>
      <c r="D21" s="155" t="s">
        <v>33</v>
      </c>
      <c r="E21" s="156" t="s">
        <v>30</v>
      </c>
      <c r="F21" s="157" t="s">
        <v>52</v>
      </c>
      <c r="G21" s="158" t="s">
        <v>39</v>
      </c>
      <c r="H21" s="158" t="s">
        <v>39</v>
      </c>
      <c r="I21" s="158" t="s">
        <v>39</v>
      </c>
      <c r="J21" s="158" t="s">
        <v>39</v>
      </c>
      <c r="K21" s="158" t="s">
        <v>39</v>
      </c>
      <c r="L21" s="158" t="s">
        <v>39</v>
      </c>
      <c r="M21" s="158" t="s">
        <v>39</v>
      </c>
      <c r="N21" s="158" t="s">
        <v>39</v>
      </c>
      <c r="O21" s="158" t="s">
        <v>39</v>
      </c>
      <c r="P21" s="158" t="s">
        <v>39</v>
      </c>
    </row>
    <row r="22" spans="2:18">
      <c r="B22" s="92" t="s">
        <v>26</v>
      </c>
      <c r="C22" s="93"/>
      <c r="D22" s="94"/>
      <c r="E22" s="95"/>
      <c r="F22" s="96"/>
      <c r="G22" s="97">
        <f t="shared" ref="G22:P22" si="10">SUM(G23:G81)</f>
        <v>75618.219999999987</v>
      </c>
      <c r="H22" s="97">
        <f t="shared" si="10"/>
        <v>72040.84</v>
      </c>
      <c r="I22" s="97">
        <f t="shared" si="10"/>
        <v>72040.84</v>
      </c>
      <c r="J22" s="97">
        <f t="shared" si="10"/>
        <v>72040.84</v>
      </c>
      <c r="K22" s="97">
        <f t="shared" si="10"/>
        <v>72040.84</v>
      </c>
      <c r="L22" s="97">
        <f t="shared" si="10"/>
        <v>72040.84</v>
      </c>
      <c r="M22" s="97">
        <f t="shared" si="10"/>
        <v>72040.84</v>
      </c>
      <c r="N22" s="97">
        <f t="shared" si="10"/>
        <v>72040.84</v>
      </c>
      <c r="O22" s="97">
        <f t="shared" si="10"/>
        <v>72040.84</v>
      </c>
      <c r="P22" s="97">
        <f t="shared" si="10"/>
        <v>72040.84</v>
      </c>
    </row>
    <row r="23" spans="2:18">
      <c r="B23" s="45" t="s">
        <v>95</v>
      </c>
      <c r="C23" s="98"/>
      <c r="D23" s="99"/>
      <c r="E23" s="33">
        <f>VLOOKUP($B23,$B$14:$C$19,2,FALSE)</f>
        <v>50</v>
      </c>
      <c r="F23" s="90">
        <f>VLOOKUP($B23,$B$14:$E$19,4,FALSE)</f>
        <v>1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8">
      <c r="B24" s="44" t="s">
        <v>47</v>
      </c>
      <c r="C24" s="202" t="s">
        <v>125</v>
      </c>
      <c r="D24" s="100">
        <v>49.42</v>
      </c>
      <c r="E24" s="101">
        <v>4</v>
      </c>
      <c r="F24" s="61"/>
      <c r="G24" s="29">
        <f>IF(G$14=0,0,G$14/$D$14*$E24*$D24)</f>
        <v>197.68</v>
      </c>
      <c r="H24" s="29">
        <f t="shared" ref="H24:P30" si="11">IF(H$14=0,0,H$14/$D$14*$E24*$D24)</f>
        <v>0</v>
      </c>
      <c r="I24" s="29">
        <f t="shared" si="11"/>
        <v>0</v>
      </c>
      <c r="J24" s="29">
        <f t="shared" si="11"/>
        <v>0</v>
      </c>
      <c r="K24" s="29">
        <f t="shared" si="11"/>
        <v>0</v>
      </c>
      <c r="L24" s="29">
        <f t="shared" si="11"/>
        <v>0</v>
      </c>
      <c r="M24" s="29">
        <f t="shared" si="11"/>
        <v>0</v>
      </c>
      <c r="N24" s="29">
        <f t="shared" si="11"/>
        <v>0</v>
      </c>
      <c r="O24" s="29">
        <f t="shared" si="11"/>
        <v>0</v>
      </c>
      <c r="P24" s="29">
        <f t="shared" si="11"/>
        <v>0</v>
      </c>
    </row>
    <row r="25" spans="2:18">
      <c r="B25" s="44" t="s">
        <v>47</v>
      </c>
      <c r="C25" s="202" t="s">
        <v>125</v>
      </c>
      <c r="D25" s="100">
        <v>119.36</v>
      </c>
      <c r="E25" s="101">
        <v>4</v>
      </c>
      <c r="F25" s="61"/>
      <c r="G25" s="29">
        <f>IF(G$14=0,0,G$14/$D$14*$E25*$D25)</f>
        <v>477.44</v>
      </c>
      <c r="H25" s="29">
        <f t="shared" si="11"/>
        <v>0</v>
      </c>
      <c r="I25" s="29">
        <f t="shared" si="11"/>
        <v>0</v>
      </c>
      <c r="J25" s="29">
        <f t="shared" si="11"/>
        <v>0</v>
      </c>
      <c r="K25" s="29">
        <f t="shared" si="11"/>
        <v>0</v>
      </c>
      <c r="L25" s="29">
        <f t="shared" si="11"/>
        <v>0</v>
      </c>
      <c r="M25" s="29">
        <f t="shared" si="11"/>
        <v>0</v>
      </c>
      <c r="N25" s="29">
        <f t="shared" si="11"/>
        <v>0</v>
      </c>
      <c r="O25" s="29">
        <f t="shared" si="11"/>
        <v>0</v>
      </c>
      <c r="P25" s="29">
        <f t="shared" si="11"/>
        <v>0</v>
      </c>
    </row>
    <row r="26" spans="2:18">
      <c r="B26" s="44" t="s">
        <v>47</v>
      </c>
      <c r="C26" s="202" t="s">
        <v>125</v>
      </c>
      <c r="D26" s="100">
        <v>128.91999999999999</v>
      </c>
      <c r="E26" s="101">
        <v>1</v>
      </c>
      <c r="F26" s="61"/>
      <c r="G26" s="29">
        <f t="shared" ref="G26:P30" si="12">IF(G$14=0,0,G$14/$D$14*$E26*$D26)</f>
        <v>128.91999999999999</v>
      </c>
      <c r="H26" s="29">
        <f t="shared" si="12"/>
        <v>0</v>
      </c>
      <c r="I26" s="29">
        <f t="shared" si="12"/>
        <v>0</v>
      </c>
      <c r="J26" s="29">
        <f t="shared" si="12"/>
        <v>0</v>
      </c>
      <c r="K26" s="29">
        <f t="shared" si="12"/>
        <v>0</v>
      </c>
      <c r="L26" s="29">
        <f t="shared" si="12"/>
        <v>0</v>
      </c>
      <c r="M26" s="29">
        <f t="shared" si="12"/>
        <v>0</v>
      </c>
      <c r="N26" s="29">
        <f t="shared" si="12"/>
        <v>0</v>
      </c>
      <c r="O26" s="29">
        <f t="shared" si="12"/>
        <v>0</v>
      </c>
      <c r="P26" s="29">
        <f t="shared" si="12"/>
        <v>0</v>
      </c>
    </row>
    <row r="27" spans="2:18">
      <c r="B27" s="44" t="s">
        <v>47</v>
      </c>
      <c r="C27" s="202" t="s">
        <v>125</v>
      </c>
      <c r="D27" s="100">
        <v>172.25</v>
      </c>
      <c r="E27" s="101">
        <v>2</v>
      </c>
      <c r="F27" s="61"/>
      <c r="G27" s="29">
        <f t="shared" si="12"/>
        <v>344.5</v>
      </c>
      <c r="H27" s="29">
        <f t="shared" si="11"/>
        <v>0</v>
      </c>
      <c r="I27" s="29">
        <f t="shared" si="11"/>
        <v>0</v>
      </c>
      <c r="J27" s="29">
        <f t="shared" si="11"/>
        <v>0</v>
      </c>
      <c r="K27" s="29">
        <f t="shared" si="11"/>
        <v>0</v>
      </c>
      <c r="L27" s="29">
        <f t="shared" si="11"/>
        <v>0</v>
      </c>
      <c r="M27" s="29">
        <f t="shared" si="11"/>
        <v>0</v>
      </c>
      <c r="N27" s="29">
        <f t="shared" si="11"/>
        <v>0</v>
      </c>
      <c r="O27" s="29">
        <f t="shared" si="11"/>
        <v>0</v>
      </c>
      <c r="P27" s="29">
        <f t="shared" si="11"/>
        <v>0</v>
      </c>
    </row>
    <row r="28" spans="2:18">
      <c r="B28" s="44" t="s">
        <v>49</v>
      </c>
      <c r="C28" s="202" t="s">
        <v>126</v>
      </c>
      <c r="D28" s="100">
        <v>3.98</v>
      </c>
      <c r="E28" s="101">
        <v>158</v>
      </c>
      <c r="F28" s="61"/>
      <c r="G28" s="29">
        <f t="shared" si="12"/>
        <v>628.84</v>
      </c>
      <c r="H28" s="29">
        <f t="shared" si="11"/>
        <v>0</v>
      </c>
      <c r="I28" s="29">
        <f t="shared" si="11"/>
        <v>0</v>
      </c>
      <c r="J28" s="29">
        <f t="shared" si="11"/>
        <v>0</v>
      </c>
      <c r="K28" s="29">
        <f t="shared" si="11"/>
        <v>0</v>
      </c>
      <c r="L28" s="29">
        <f t="shared" si="11"/>
        <v>0</v>
      </c>
      <c r="M28" s="29">
        <f t="shared" si="11"/>
        <v>0</v>
      </c>
      <c r="N28" s="29">
        <f t="shared" si="11"/>
        <v>0</v>
      </c>
      <c r="O28" s="29">
        <f t="shared" si="11"/>
        <v>0</v>
      </c>
      <c r="P28" s="29">
        <f t="shared" si="11"/>
        <v>0</v>
      </c>
    </row>
    <row r="29" spans="2:18">
      <c r="B29" s="44" t="s">
        <v>49</v>
      </c>
      <c r="C29" s="202" t="s">
        <v>126</v>
      </c>
      <c r="D29" s="100">
        <v>3.6</v>
      </c>
      <c r="E29" s="101">
        <v>200</v>
      </c>
      <c r="F29" s="61"/>
      <c r="G29" s="29">
        <f t="shared" si="12"/>
        <v>720</v>
      </c>
      <c r="H29" s="29">
        <f t="shared" si="11"/>
        <v>0</v>
      </c>
      <c r="I29" s="29">
        <f t="shared" si="11"/>
        <v>0</v>
      </c>
      <c r="J29" s="29">
        <f t="shared" si="11"/>
        <v>0</v>
      </c>
      <c r="K29" s="29">
        <f t="shared" si="11"/>
        <v>0</v>
      </c>
      <c r="L29" s="29">
        <f t="shared" si="11"/>
        <v>0</v>
      </c>
      <c r="M29" s="29">
        <f t="shared" si="11"/>
        <v>0</v>
      </c>
      <c r="N29" s="29">
        <f t="shared" si="11"/>
        <v>0</v>
      </c>
      <c r="O29" s="29">
        <f t="shared" si="11"/>
        <v>0</v>
      </c>
      <c r="P29" s="29">
        <f t="shared" si="11"/>
        <v>0</v>
      </c>
    </row>
    <row r="30" spans="2:18">
      <c r="B30" s="44" t="s">
        <v>50</v>
      </c>
      <c r="C30" s="202" t="s">
        <v>127</v>
      </c>
      <c r="D30" s="100">
        <v>6</v>
      </c>
      <c r="E30" s="101">
        <v>180</v>
      </c>
      <c r="F30" s="61"/>
      <c r="G30" s="29">
        <f t="shared" si="12"/>
        <v>1080</v>
      </c>
      <c r="H30" s="29">
        <f t="shared" si="11"/>
        <v>0</v>
      </c>
      <c r="I30" s="29">
        <f t="shared" si="11"/>
        <v>0</v>
      </c>
      <c r="J30" s="29">
        <f t="shared" si="11"/>
        <v>0</v>
      </c>
      <c r="K30" s="29">
        <f t="shared" si="11"/>
        <v>0</v>
      </c>
      <c r="L30" s="29">
        <f t="shared" si="11"/>
        <v>0</v>
      </c>
      <c r="M30" s="29">
        <f t="shared" si="11"/>
        <v>0</v>
      </c>
      <c r="N30" s="29">
        <f t="shared" si="11"/>
        <v>0</v>
      </c>
      <c r="O30" s="29">
        <f t="shared" si="11"/>
        <v>0</v>
      </c>
      <c r="P30" s="29">
        <f t="shared" si="11"/>
        <v>0</v>
      </c>
    </row>
    <row r="31" spans="2:18">
      <c r="B31" s="45" t="s">
        <v>34</v>
      </c>
      <c r="C31" s="98"/>
      <c r="D31" s="99"/>
      <c r="E31" s="33">
        <f>VLOOKUP($B31,$B$14:$C$19,2,FALSE)</f>
        <v>250</v>
      </c>
      <c r="F31" s="90">
        <f>VLOOKUP($B31,$B$14:$E$19,4,FALSE)</f>
        <v>14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2:18">
      <c r="B32" s="44" t="s">
        <v>47</v>
      </c>
      <c r="C32" s="202" t="s">
        <v>125</v>
      </c>
      <c r="D32" s="100">
        <v>49.42</v>
      </c>
      <c r="E32" s="101">
        <v>4</v>
      </c>
      <c r="F32" s="61"/>
      <c r="G32" s="29">
        <f>IF(G$15=0,0,G$15/$D$15*$E32*$D32)</f>
        <v>2767.52</v>
      </c>
      <c r="H32" s="29">
        <f t="shared" ref="H32:P32" si="13">IF(H$15=0,0,H$15/$D$15*$E32*$D32)</f>
        <v>2767.52</v>
      </c>
      <c r="I32" s="29">
        <f t="shared" si="13"/>
        <v>2767.52</v>
      </c>
      <c r="J32" s="29">
        <f t="shared" si="13"/>
        <v>2767.52</v>
      </c>
      <c r="K32" s="29">
        <f t="shared" si="13"/>
        <v>2767.52</v>
      </c>
      <c r="L32" s="29">
        <f t="shared" si="13"/>
        <v>2767.52</v>
      </c>
      <c r="M32" s="29">
        <f t="shared" si="13"/>
        <v>2767.52</v>
      </c>
      <c r="N32" s="29">
        <f t="shared" si="13"/>
        <v>2767.52</v>
      </c>
      <c r="O32" s="29">
        <f t="shared" si="13"/>
        <v>2767.52</v>
      </c>
      <c r="P32" s="29">
        <f t="shared" si="13"/>
        <v>2767.52</v>
      </c>
    </row>
    <row r="33" spans="2:16">
      <c r="B33" s="44" t="s">
        <v>49</v>
      </c>
      <c r="C33" s="202" t="s">
        <v>126</v>
      </c>
      <c r="D33" s="100">
        <v>3.98</v>
      </c>
      <c r="E33" s="101">
        <v>132</v>
      </c>
      <c r="F33" s="61"/>
      <c r="G33" s="29">
        <f t="shared" ref="G33:P33" si="14">IF(G$15=0,0,G$15/$D$15*$E33*$D33)</f>
        <v>7355.04</v>
      </c>
      <c r="H33" s="29">
        <f t="shared" si="14"/>
        <v>7355.04</v>
      </c>
      <c r="I33" s="29">
        <f t="shared" si="14"/>
        <v>7355.04</v>
      </c>
      <c r="J33" s="29">
        <f t="shared" si="14"/>
        <v>7355.04</v>
      </c>
      <c r="K33" s="29">
        <f t="shared" si="14"/>
        <v>7355.04</v>
      </c>
      <c r="L33" s="29">
        <f t="shared" si="14"/>
        <v>7355.04</v>
      </c>
      <c r="M33" s="29">
        <f t="shared" si="14"/>
        <v>7355.04</v>
      </c>
      <c r="N33" s="29">
        <f t="shared" si="14"/>
        <v>7355.04</v>
      </c>
      <c r="O33" s="29">
        <f t="shared" si="14"/>
        <v>7355.04</v>
      </c>
      <c r="P33" s="29">
        <f t="shared" si="14"/>
        <v>7355.04</v>
      </c>
    </row>
    <row r="34" spans="2:16">
      <c r="B34" s="44" t="s">
        <v>50</v>
      </c>
      <c r="C34" s="202" t="s">
        <v>127</v>
      </c>
      <c r="D34" s="100">
        <v>6</v>
      </c>
      <c r="E34" s="101">
        <v>180</v>
      </c>
      <c r="F34" s="61"/>
      <c r="G34" s="29">
        <f t="shared" ref="G34" si="15">IF(G$16=0,0,G$16/$D$16*$E34*$D34)</f>
        <v>7560</v>
      </c>
      <c r="H34" s="29">
        <f t="shared" ref="H34:P45" si="16">IF(H$16=0,0,H$16/$D$16*$E34*$D34)</f>
        <v>7560</v>
      </c>
      <c r="I34" s="29">
        <f t="shared" si="16"/>
        <v>7560</v>
      </c>
      <c r="J34" s="29">
        <f t="shared" si="16"/>
        <v>7560</v>
      </c>
      <c r="K34" s="29">
        <f t="shared" si="16"/>
        <v>7560</v>
      </c>
      <c r="L34" s="29">
        <f t="shared" si="16"/>
        <v>7560</v>
      </c>
      <c r="M34" s="29">
        <f t="shared" si="16"/>
        <v>7560</v>
      </c>
      <c r="N34" s="29">
        <f t="shared" si="16"/>
        <v>7560</v>
      </c>
      <c r="O34" s="29">
        <f t="shared" si="16"/>
        <v>7560</v>
      </c>
      <c r="P34" s="29">
        <f t="shared" si="16"/>
        <v>7560</v>
      </c>
    </row>
    <row r="35" spans="2:16">
      <c r="B35" s="45" t="s">
        <v>35</v>
      </c>
      <c r="C35" s="98"/>
      <c r="D35" s="99"/>
      <c r="E35" s="33">
        <f>VLOOKUP($B35,$B$14:$C$19,2,FALSE)</f>
        <v>500</v>
      </c>
      <c r="F35" s="90">
        <f>VLOOKUP($B35,$B$14:$E$19,4,FALSE)</f>
        <v>7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spans="2:16">
      <c r="B36" s="44" t="s">
        <v>47</v>
      </c>
      <c r="C36" s="202" t="s">
        <v>125</v>
      </c>
      <c r="D36" s="100">
        <v>49.42</v>
      </c>
      <c r="E36" s="101">
        <v>4</v>
      </c>
      <c r="F36" s="61"/>
      <c r="G36" s="29">
        <f>IF(G$16=0,0,G$16/$D$16*$E36*$D36)</f>
        <v>1383.76</v>
      </c>
      <c r="H36" s="29">
        <f t="shared" si="16"/>
        <v>1383.76</v>
      </c>
      <c r="I36" s="29">
        <f t="shared" si="16"/>
        <v>1383.76</v>
      </c>
      <c r="J36" s="29">
        <f t="shared" si="16"/>
        <v>1383.76</v>
      </c>
      <c r="K36" s="29">
        <f t="shared" si="16"/>
        <v>1383.76</v>
      </c>
      <c r="L36" s="29">
        <f t="shared" si="16"/>
        <v>1383.76</v>
      </c>
      <c r="M36" s="29">
        <f t="shared" si="16"/>
        <v>1383.76</v>
      </c>
      <c r="N36" s="29">
        <f t="shared" si="16"/>
        <v>1383.76</v>
      </c>
      <c r="O36" s="29">
        <f t="shared" si="16"/>
        <v>1383.76</v>
      </c>
      <c r="P36" s="29">
        <f t="shared" si="16"/>
        <v>1383.76</v>
      </c>
    </row>
    <row r="37" spans="2:16">
      <c r="B37" s="44" t="s">
        <v>47</v>
      </c>
      <c r="C37" s="202" t="s">
        <v>125</v>
      </c>
      <c r="D37" s="100">
        <v>64.88</v>
      </c>
      <c r="E37" s="101">
        <v>1</v>
      </c>
      <c r="F37" s="61"/>
      <c r="G37" s="29">
        <f t="shared" ref="G37:P45" si="17">IF(G$16=0,0,G$16/$D$16*$E37*$D37)</f>
        <v>454.15999999999997</v>
      </c>
      <c r="H37" s="29">
        <f t="shared" si="17"/>
        <v>454.15999999999997</v>
      </c>
      <c r="I37" s="29">
        <f t="shared" si="17"/>
        <v>454.15999999999997</v>
      </c>
      <c r="J37" s="29">
        <f t="shared" si="17"/>
        <v>454.15999999999997</v>
      </c>
      <c r="K37" s="29">
        <f t="shared" si="17"/>
        <v>454.15999999999997</v>
      </c>
      <c r="L37" s="29">
        <f t="shared" si="17"/>
        <v>454.15999999999997</v>
      </c>
      <c r="M37" s="29">
        <f t="shared" si="17"/>
        <v>454.15999999999997</v>
      </c>
      <c r="N37" s="29">
        <f t="shared" si="17"/>
        <v>454.15999999999997</v>
      </c>
      <c r="O37" s="29">
        <f t="shared" si="17"/>
        <v>454.15999999999997</v>
      </c>
      <c r="P37" s="29">
        <f t="shared" si="17"/>
        <v>454.15999999999997</v>
      </c>
    </row>
    <row r="38" spans="2:16">
      <c r="B38" s="44" t="s">
        <v>47</v>
      </c>
      <c r="C38" s="202" t="s">
        <v>125</v>
      </c>
      <c r="D38" s="100">
        <v>349.37</v>
      </c>
      <c r="E38" s="101">
        <v>1</v>
      </c>
      <c r="F38" s="61"/>
      <c r="G38" s="29">
        <f t="shared" si="17"/>
        <v>2445.59</v>
      </c>
      <c r="H38" s="29">
        <f t="shared" si="16"/>
        <v>2445.59</v>
      </c>
      <c r="I38" s="29">
        <f t="shared" si="16"/>
        <v>2445.59</v>
      </c>
      <c r="J38" s="29">
        <f t="shared" si="16"/>
        <v>2445.59</v>
      </c>
      <c r="K38" s="29">
        <f t="shared" si="16"/>
        <v>2445.59</v>
      </c>
      <c r="L38" s="29">
        <f t="shared" si="16"/>
        <v>2445.59</v>
      </c>
      <c r="M38" s="29">
        <f t="shared" si="16"/>
        <v>2445.59</v>
      </c>
      <c r="N38" s="29">
        <f t="shared" si="16"/>
        <v>2445.59</v>
      </c>
      <c r="O38" s="29">
        <f t="shared" si="16"/>
        <v>2445.59</v>
      </c>
      <c r="P38" s="29">
        <f t="shared" si="16"/>
        <v>2445.59</v>
      </c>
    </row>
    <row r="39" spans="2:16">
      <c r="B39" s="44" t="s">
        <v>47</v>
      </c>
      <c r="C39" s="202" t="s">
        <v>125</v>
      </c>
      <c r="D39" s="100">
        <v>28.57</v>
      </c>
      <c r="E39" s="101">
        <v>1</v>
      </c>
      <c r="F39" s="61"/>
      <c r="G39" s="29">
        <f t="shared" si="17"/>
        <v>199.99</v>
      </c>
      <c r="H39" s="29">
        <f t="shared" si="16"/>
        <v>199.99</v>
      </c>
      <c r="I39" s="29">
        <f t="shared" si="16"/>
        <v>199.99</v>
      </c>
      <c r="J39" s="29">
        <f t="shared" si="16"/>
        <v>199.99</v>
      </c>
      <c r="K39" s="29">
        <f t="shared" si="16"/>
        <v>199.99</v>
      </c>
      <c r="L39" s="29">
        <f t="shared" si="16"/>
        <v>199.99</v>
      </c>
      <c r="M39" s="29">
        <f t="shared" si="16"/>
        <v>199.99</v>
      </c>
      <c r="N39" s="29">
        <f t="shared" si="16"/>
        <v>199.99</v>
      </c>
      <c r="O39" s="29">
        <f t="shared" si="16"/>
        <v>199.99</v>
      </c>
      <c r="P39" s="29">
        <f t="shared" si="16"/>
        <v>199.99</v>
      </c>
    </row>
    <row r="40" spans="2:16">
      <c r="B40" s="44" t="s">
        <v>47</v>
      </c>
      <c r="C40" s="202" t="s">
        <v>125</v>
      </c>
      <c r="D40" s="100">
        <v>57.56</v>
      </c>
      <c r="E40" s="101">
        <v>1</v>
      </c>
      <c r="F40" s="61"/>
      <c r="G40" s="29">
        <f t="shared" si="17"/>
        <v>402.92</v>
      </c>
      <c r="H40" s="29">
        <f t="shared" si="16"/>
        <v>402.92</v>
      </c>
      <c r="I40" s="29">
        <f t="shared" si="16"/>
        <v>402.92</v>
      </c>
      <c r="J40" s="29">
        <f t="shared" si="16"/>
        <v>402.92</v>
      </c>
      <c r="K40" s="29">
        <f t="shared" si="16"/>
        <v>402.92</v>
      </c>
      <c r="L40" s="29">
        <f t="shared" si="16"/>
        <v>402.92</v>
      </c>
      <c r="M40" s="29">
        <f t="shared" si="16"/>
        <v>402.92</v>
      </c>
      <c r="N40" s="29">
        <f t="shared" si="16"/>
        <v>402.92</v>
      </c>
      <c r="O40" s="29">
        <f t="shared" si="16"/>
        <v>402.92</v>
      </c>
      <c r="P40" s="29">
        <f t="shared" si="16"/>
        <v>402.92</v>
      </c>
    </row>
    <row r="41" spans="2:16">
      <c r="B41" s="44" t="s">
        <v>47</v>
      </c>
      <c r="C41" s="202" t="s">
        <v>125</v>
      </c>
      <c r="D41" s="100">
        <v>128.91999999999999</v>
      </c>
      <c r="E41" s="101">
        <v>1</v>
      </c>
      <c r="F41" s="61"/>
      <c r="G41" s="29">
        <f t="shared" si="17"/>
        <v>902.43999999999994</v>
      </c>
      <c r="H41" s="29">
        <f t="shared" si="16"/>
        <v>902.43999999999994</v>
      </c>
      <c r="I41" s="29">
        <f t="shared" si="16"/>
        <v>902.43999999999994</v>
      </c>
      <c r="J41" s="29">
        <f t="shared" si="16"/>
        <v>902.43999999999994</v>
      </c>
      <c r="K41" s="29">
        <f t="shared" si="16"/>
        <v>902.43999999999994</v>
      </c>
      <c r="L41" s="29">
        <f t="shared" si="16"/>
        <v>902.43999999999994</v>
      </c>
      <c r="M41" s="29">
        <f t="shared" si="16"/>
        <v>902.43999999999994</v>
      </c>
      <c r="N41" s="29">
        <f t="shared" si="16"/>
        <v>902.43999999999994</v>
      </c>
      <c r="O41" s="29">
        <f t="shared" si="16"/>
        <v>902.43999999999994</v>
      </c>
      <c r="P41" s="29">
        <f t="shared" si="16"/>
        <v>902.43999999999994</v>
      </c>
    </row>
    <row r="42" spans="2:16">
      <c r="B42" s="44" t="s">
        <v>47</v>
      </c>
      <c r="C42" s="202" t="s">
        <v>125</v>
      </c>
      <c r="D42" s="100">
        <v>263.82</v>
      </c>
      <c r="E42" s="101">
        <v>1</v>
      </c>
      <c r="F42" s="61"/>
      <c r="G42" s="29">
        <f t="shared" si="17"/>
        <v>1846.74</v>
      </c>
      <c r="H42" s="29">
        <f t="shared" si="16"/>
        <v>1846.74</v>
      </c>
      <c r="I42" s="29">
        <f t="shared" si="16"/>
        <v>1846.74</v>
      </c>
      <c r="J42" s="29">
        <f t="shared" si="16"/>
        <v>1846.74</v>
      </c>
      <c r="K42" s="29">
        <f t="shared" si="16"/>
        <v>1846.74</v>
      </c>
      <c r="L42" s="29">
        <f t="shared" si="16"/>
        <v>1846.74</v>
      </c>
      <c r="M42" s="29">
        <f t="shared" si="16"/>
        <v>1846.74</v>
      </c>
      <c r="N42" s="29">
        <f t="shared" si="16"/>
        <v>1846.74</v>
      </c>
      <c r="O42" s="29">
        <f t="shared" si="16"/>
        <v>1846.74</v>
      </c>
      <c r="P42" s="29">
        <f t="shared" si="16"/>
        <v>1846.74</v>
      </c>
    </row>
    <row r="43" spans="2:16">
      <c r="B43" s="44" t="s">
        <v>47</v>
      </c>
      <c r="C43" s="202" t="s">
        <v>125</v>
      </c>
      <c r="D43" s="100">
        <v>96.92</v>
      </c>
      <c r="E43" s="101">
        <v>1</v>
      </c>
      <c r="F43" s="61"/>
      <c r="G43" s="29">
        <f t="shared" si="17"/>
        <v>678.44</v>
      </c>
      <c r="H43" s="29">
        <f t="shared" si="16"/>
        <v>678.44</v>
      </c>
      <c r="I43" s="29">
        <f t="shared" si="16"/>
        <v>678.44</v>
      </c>
      <c r="J43" s="29">
        <f t="shared" si="16"/>
        <v>678.44</v>
      </c>
      <c r="K43" s="29">
        <f t="shared" si="16"/>
        <v>678.44</v>
      </c>
      <c r="L43" s="29">
        <f t="shared" si="16"/>
        <v>678.44</v>
      </c>
      <c r="M43" s="29">
        <f t="shared" si="16"/>
        <v>678.44</v>
      </c>
      <c r="N43" s="29">
        <f t="shared" si="16"/>
        <v>678.44</v>
      </c>
      <c r="O43" s="29">
        <f t="shared" si="16"/>
        <v>678.44</v>
      </c>
      <c r="P43" s="29">
        <f t="shared" si="16"/>
        <v>678.44</v>
      </c>
    </row>
    <row r="44" spans="2:16">
      <c r="B44" s="44" t="s">
        <v>49</v>
      </c>
      <c r="C44" s="202" t="s">
        <v>126</v>
      </c>
      <c r="D44" s="100">
        <v>3.98</v>
      </c>
      <c r="E44" s="101">
        <v>158</v>
      </c>
      <c r="F44" s="61"/>
      <c r="G44" s="29">
        <f t="shared" si="17"/>
        <v>4401.88</v>
      </c>
      <c r="H44" s="29">
        <f t="shared" si="16"/>
        <v>4401.88</v>
      </c>
      <c r="I44" s="29">
        <f t="shared" si="16"/>
        <v>4401.88</v>
      </c>
      <c r="J44" s="29">
        <f t="shared" si="16"/>
        <v>4401.88</v>
      </c>
      <c r="K44" s="29">
        <f t="shared" si="16"/>
        <v>4401.88</v>
      </c>
      <c r="L44" s="29">
        <f t="shared" si="16"/>
        <v>4401.88</v>
      </c>
      <c r="M44" s="29">
        <f t="shared" si="16"/>
        <v>4401.88</v>
      </c>
      <c r="N44" s="29">
        <f t="shared" si="16"/>
        <v>4401.88</v>
      </c>
      <c r="O44" s="29">
        <f t="shared" si="16"/>
        <v>4401.88</v>
      </c>
      <c r="P44" s="29">
        <f t="shared" si="16"/>
        <v>4401.88</v>
      </c>
    </row>
    <row r="45" spans="2:16">
      <c r="B45" s="44" t="s">
        <v>50</v>
      </c>
      <c r="C45" s="202" t="s">
        <v>127</v>
      </c>
      <c r="D45" s="100">
        <v>6</v>
      </c>
      <c r="E45" s="101">
        <v>180</v>
      </c>
      <c r="F45" s="61"/>
      <c r="G45" s="29">
        <f t="shared" si="17"/>
        <v>7560</v>
      </c>
      <c r="H45" s="29">
        <f t="shared" si="16"/>
        <v>7560</v>
      </c>
      <c r="I45" s="29">
        <f t="shared" si="16"/>
        <v>7560</v>
      </c>
      <c r="J45" s="29">
        <f t="shared" si="16"/>
        <v>7560</v>
      </c>
      <c r="K45" s="29">
        <f t="shared" si="16"/>
        <v>7560</v>
      </c>
      <c r="L45" s="29">
        <f t="shared" si="16"/>
        <v>7560</v>
      </c>
      <c r="M45" s="29">
        <f t="shared" si="16"/>
        <v>7560</v>
      </c>
      <c r="N45" s="29">
        <f t="shared" si="16"/>
        <v>7560</v>
      </c>
      <c r="O45" s="29">
        <f t="shared" si="16"/>
        <v>7560</v>
      </c>
      <c r="P45" s="29">
        <f t="shared" si="16"/>
        <v>7560</v>
      </c>
    </row>
    <row r="46" spans="2:16">
      <c r="B46" s="45" t="s">
        <v>36</v>
      </c>
      <c r="C46" s="98"/>
      <c r="D46" s="99"/>
      <c r="E46" s="33">
        <f>VLOOKUP($B46,$B$14:$C$19,2,FALSE)</f>
        <v>1000</v>
      </c>
      <c r="F46" s="90">
        <f>VLOOKUP($B46,$B$14:$E$19,4,FALSE)</f>
        <v>4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</row>
    <row r="47" spans="2:16">
      <c r="B47" s="44" t="s">
        <v>47</v>
      </c>
      <c r="C47" s="202" t="s">
        <v>125</v>
      </c>
      <c r="D47" s="100">
        <v>49.42</v>
      </c>
      <c r="E47" s="101">
        <v>4</v>
      </c>
      <c r="F47" s="61"/>
      <c r="G47" s="29">
        <f>IF(G$17=0,0,G$17/$D$17*$E47*$D47)</f>
        <v>790.72</v>
      </c>
      <c r="H47" s="29">
        <f t="shared" ref="H47:P60" si="18">IF(H$17=0,0,H$17/$D$17*$E47*$D47)</f>
        <v>790.72</v>
      </c>
      <c r="I47" s="29">
        <f t="shared" si="18"/>
        <v>790.72</v>
      </c>
      <c r="J47" s="29">
        <f t="shared" si="18"/>
        <v>790.72</v>
      </c>
      <c r="K47" s="29">
        <f t="shared" si="18"/>
        <v>790.72</v>
      </c>
      <c r="L47" s="29">
        <f t="shared" si="18"/>
        <v>790.72</v>
      </c>
      <c r="M47" s="29">
        <f t="shared" si="18"/>
        <v>790.72</v>
      </c>
      <c r="N47" s="29">
        <f t="shared" si="18"/>
        <v>790.72</v>
      </c>
      <c r="O47" s="29">
        <f t="shared" si="18"/>
        <v>790.72</v>
      </c>
      <c r="P47" s="29">
        <f t="shared" si="18"/>
        <v>790.72</v>
      </c>
    </row>
    <row r="48" spans="2:16">
      <c r="B48" s="44" t="s">
        <v>47</v>
      </c>
      <c r="C48" s="202" t="s">
        <v>125</v>
      </c>
      <c r="D48" s="100">
        <v>64.88</v>
      </c>
      <c r="E48" s="101">
        <v>1</v>
      </c>
      <c r="F48" s="61"/>
      <c r="G48" s="29">
        <f t="shared" ref="G48:P60" si="19">IF(G$17=0,0,G$17/$D$17*$E48*$D48)</f>
        <v>259.52</v>
      </c>
      <c r="H48" s="29">
        <f t="shared" si="19"/>
        <v>259.52</v>
      </c>
      <c r="I48" s="29">
        <f t="shared" si="19"/>
        <v>259.52</v>
      </c>
      <c r="J48" s="29">
        <f t="shared" si="19"/>
        <v>259.52</v>
      </c>
      <c r="K48" s="29">
        <f t="shared" si="19"/>
        <v>259.52</v>
      </c>
      <c r="L48" s="29">
        <f t="shared" si="19"/>
        <v>259.52</v>
      </c>
      <c r="M48" s="29">
        <f t="shared" si="19"/>
        <v>259.52</v>
      </c>
      <c r="N48" s="29">
        <f t="shared" si="19"/>
        <v>259.52</v>
      </c>
      <c r="O48" s="29">
        <f t="shared" si="19"/>
        <v>259.52</v>
      </c>
      <c r="P48" s="29">
        <f t="shared" si="19"/>
        <v>259.52</v>
      </c>
    </row>
    <row r="49" spans="2:16">
      <c r="B49" s="44" t="s">
        <v>47</v>
      </c>
      <c r="C49" s="202" t="s">
        <v>125</v>
      </c>
      <c r="D49" s="100">
        <v>349.37</v>
      </c>
      <c r="E49" s="101">
        <v>1</v>
      </c>
      <c r="F49" s="61"/>
      <c r="G49" s="29">
        <f t="shared" si="19"/>
        <v>1397.48</v>
      </c>
      <c r="H49" s="29">
        <f t="shared" si="18"/>
        <v>1397.48</v>
      </c>
      <c r="I49" s="29">
        <f t="shared" si="18"/>
        <v>1397.48</v>
      </c>
      <c r="J49" s="29">
        <f t="shared" si="18"/>
        <v>1397.48</v>
      </c>
      <c r="K49" s="29">
        <f t="shared" si="18"/>
        <v>1397.48</v>
      </c>
      <c r="L49" s="29">
        <f t="shared" si="18"/>
        <v>1397.48</v>
      </c>
      <c r="M49" s="29">
        <f t="shared" si="18"/>
        <v>1397.48</v>
      </c>
      <c r="N49" s="29">
        <f t="shared" si="18"/>
        <v>1397.48</v>
      </c>
      <c r="O49" s="29">
        <f t="shared" si="18"/>
        <v>1397.48</v>
      </c>
      <c r="P49" s="29">
        <f t="shared" si="18"/>
        <v>1397.48</v>
      </c>
    </row>
    <row r="50" spans="2:16">
      <c r="B50" s="44" t="s">
        <v>47</v>
      </c>
      <c r="C50" s="202" t="s">
        <v>125</v>
      </c>
      <c r="D50" s="100">
        <v>28.57</v>
      </c>
      <c r="E50" s="101">
        <v>1</v>
      </c>
      <c r="F50" s="61"/>
      <c r="G50" s="29">
        <f t="shared" si="19"/>
        <v>114.28</v>
      </c>
      <c r="H50" s="29">
        <f t="shared" si="18"/>
        <v>114.28</v>
      </c>
      <c r="I50" s="29">
        <f t="shared" si="18"/>
        <v>114.28</v>
      </c>
      <c r="J50" s="29">
        <f t="shared" si="18"/>
        <v>114.28</v>
      </c>
      <c r="K50" s="29">
        <f t="shared" si="18"/>
        <v>114.28</v>
      </c>
      <c r="L50" s="29">
        <f t="shared" si="18"/>
        <v>114.28</v>
      </c>
      <c r="M50" s="29">
        <f t="shared" si="18"/>
        <v>114.28</v>
      </c>
      <c r="N50" s="29">
        <f t="shared" si="18"/>
        <v>114.28</v>
      </c>
      <c r="O50" s="29">
        <f t="shared" si="18"/>
        <v>114.28</v>
      </c>
      <c r="P50" s="29">
        <f t="shared" si="18"/>
        <v>114.28</v>
      </c>
    </row>
    <row r="51" spans="2:16">
      <c r="B51" s="44" t="s">
        <v>47</v>
      </c>
      <c r="C51" s="202" t="s">
        <v>125</v>
      </c>
      <c r="D51" s="100">
        <v>119.36</v>
      </c>
      <c r="E51" s="101">
        <v>4</v>
      </c>
      <c r="F51" s="61"/>
      <c r="G51" s="29">
        <f t="shared" si="19"/>
        <v>1909.76</v>
      </c>
      <c r="H51" s="29">
        <f t="shared" si="18"/>
        <v>1909.76</v>
      </c>
      <c r="I51" s="29">
        <f t="shared" si="18"/>
        <v>1909.76</v>
      </c>
      <c r="J51" s="29">
        <f t="shared" si="18"/>
        <v>1909.76</v>
      </c>
      <c r="K51" s="29">
        <f t="shared" si="18"/>
        <v>1909.76</v>
      </c>
      <c r="L51" s="29">
        <f t="shared" si="18"/>
        <v>1909.76</v>
      </c>
      <c r="M51" s="29">
        <f t="shared" si="18"/>
        <v>1909.76</v>
      </c>
      <c r="N51" s="29">
        <f t="shared" si="18"/>
        <v>1909.76</v>
      </c>
      <c r="O51" s="29">
        <f t="shared" si="18"/>
        <v>1909.76</v>
      </c>
      <c r="P51" s="29">
        <f t="shared" si="18"/>
        <v>1909.76</v>
      </c>
    </row>
    <row r="52" spans="2:16">
      <c r="B52" s="44" t="s">
        <v>47</v>
      </c>
      <c r="C52" s="202" t="s">
        <v>125</v>
      </c>
      <c r="D52" s="100">
        <v>128.91999999999999</v>
      </c>
      <c r="E52" s="101">
        <v>1</v>
      </c>
      <c r="F52" s="61"/>
      <c r="G52" s="29">
        <f t="shared" si="19"/>
        <v>515.67999999999995</v>
      </c>
      <c r="H52" s="29">
        <f t="shared" si="18"/>
        <v>515.67999999999995</v>
      </c>
      <c r="I52" s="29">
        <f t="shared" si="18"/>
        <v>515.67999999999995</v>
      </c>
      <c r="J52" s="29">
        <f t="shared" si="18"/>
        <v>515.67999999999995</v>
      </c>
      <c r="K52" s="29">
        <f t="shared" si="18"/>
        <v>515.67999999999995</v>
      </c>
      <c r="L52" s="29">
        <f t="shared" si="18"/>
        <v>515.67999999999995</v>
      </c>
      <c r="M52" s="29">
        <f t="shared" si="18"/>
        <v>515.67999999999995</v>
      </c>
      <c r="N52" s="29">
        <f t="shared" si="18"/>
        <v>515.67999999999995</v>
      </c>
      <c r="O52" s="29">
        <f t="shared" si="18"/>
        <v>515.67999999999995</v>
      </c>
      <c r="P52" s="29">
        <f t="shared" si="18"/>
        <v>515.67999999999995</v>
      </c>
    </row>
    <row r="53" spans="2:16">
      <c r="B53" s="44" t="s">
        <v>47</v>
      </c>
      <c r="C53" s="202" t="s">
        <v>125</v>
      </c>
      <c r="D53" s="100">
        <v>172.25</v>
      </c>
      <c r="E53" s="101">
        <v>2</v>
      </c>
      <c r="F53" s="61"/>
      <c r="G53" s="29">
        <f t="shared" si="19"/>
        <v>1378</v>
      </c>
      <c r="H53" s="29">
        <f t="shared" si="18"/>
        <v>1378</v>
      </c>
      <c r="I53" s="29">
        <f t="shared" si="18"/>
        <v>1378</v>
      </c>
      <c r="J53" s="29">
        <f t="shared" si="18"/>
        <v>1378</v>
      </c>
      <c r="K53" s="29">
        <f t="shared" si="18"/>
        <v>1378</v>
      </c>
      <c r="L53" s="29">
        <f t="shared" si="18"/>
        <v>1378</v>
      </c>
      <c r="M53" s="29">
        <f t="shared" si="18"/>
        <v>1378</v>
      </c>
      <c r="N53" s="29">
        <f t="shared" si="18"/>
        <v>1378</v>
      </c>
      <c r="O53" s="29">
        <f t="shared" si="18"/>
        <v>1378</v>
      </c>
      <c r="P53" s="29">
        <f t="shared" si="18"/>
        <v>1378</v>
      </c>
    </row>
    <row r="54" spans="2:16">
      <c r="B54" s="44" t="s">
        <v>47</v>
      </c>
      <c r="C54" s="202" t="s">
        <v>125</v>
      </c>
      <c r="D54" s="100">
        <v>57.56</v>
      </c>
      <c r="E54" s="101">
        <v>1</v>
      </c>
      <c r="F54" s="61"/>
      <c r="G54" s="29">
        <f t="shared" si="19"/>
        <v>230.24</v>
      </c>
      <c r="H54" s="29">
        <f t="shared" si="18"/>
        <v>230.24</v>
      </c>
      <c r="I54" s="29">
        <f t="shared" si="18"/>
        <v>230.24</v>
      </c>
      <c r="J54" s="29">
        <f t="shared" si="18"/>
        <v>230.24</v>
      </c>
      <c r="K54" s="29">
        <f t="shared" si="18"/>
        <v>230.24</v>
      </c>
      <c r="L54" s="29">
        <f t="shared" si="18"/>
        <v>230.24</v>
      </c>
      <c r="M54" s="29">
        <f t="shared" si="18"/>
        <v>230.24</v>
      </c>
      <c r="N54" s="29">
        <f t="shared" si="18"/>
        <v>230.24</v>
      </c>
      <c r="O54" s="29">
        <f t="shared" si="18"/>
        <v>230.24</v>
      </c>
      <c r="P54" s="29">
        <f t="shared" si="18"/>
        <v>230.24</v>
      </c>
    </row>
    <row r="55" spans="2:16">
      <c r="B55" s="44" t="s">
        <v>47</v>
      </c>
      <c r="C55" s="202" t="s">
        <v>125</v>
      </c>
      <c r="D55" s="100">
        <v>221.58</v>
      </c>
      <c r="E55" s="101">
        <v>2</v>
      </c>
      <c r="F55" s="61"/>
      <c r="G55" s="29">
        <f t="shared" si="19"/>
        <v>1772.64</v>
      </c>
      <c r="H55" s="29">
        <f t="shared" si="18"/>
        <v>1772.64</v>
      </c>
      <c r="I55" s="29">
        <f t="shared" si="18"/>
        <v>1772.64</v>
      </c>
      <c r="J55" s="29">
        <f t="shared" si="18"/>
        <v>1772.64</v>
      </c>
      <c r="K55" s="29">
        <f t="shared" si="18"/>
        <v>1772.64</v>
      </c>
      <c r="L55" s="29">
        <f t="shared" si="18"/>
        <v>1772.64</v>
      </c>
      <c r="M55" s="29">
        <f t="shared" si="18"/>
        <v>1772.64</v>
      </c>
      <c r="N55" s="29">
        <f t="shared" si="18"/>
        <v>1772.64</v>
      </c>
      <c r="O55" s="29">
        <f t="shared" si="18"/>
        <v>1772.64</v>
      </c>
      <c r="P55" s="29">
        <f t="shared" si="18"/>
        <v>1772.64</v>
      </c>
    </row>
    <row r="56" spans="2:16">
      <c r="B56" s="44" t="s">
        <v>47</v>
      </c>
      <c r="C56" s="202" t="s">
        <v>125</v>
      </c>
      <c r="D56" s="100">
        <v>263.82</v>
      </c>
      <c r="E56" s="101">
        <v>1</v>
      </c>
      <c r="F56" s="61"/>
      <c r="G56" s="29">
        <f t="shared" si="19"/>
        <v>1055.28</v>
      </c>
      <c r="H56" s="29">
        <f t="shared" si="18"/>
        <v>1055.28</v>
      </c>
      <c r="I56" s="29">
        <f t="shared" si="18"/>
        <v>1055.28</v>
      </c>
      <c r="J56" s="29">
        <f t="shared" si="18"/>
        <v>1055.28</v>
      </c>
      <c r="K56" s="29">
        <f t="shared" si="18"/>
        <v>1055.28</v>
      </c>
      <c r="L56" s="29">
        <f t="shared" ref="L56:P56" si="20">IF(L$17=0,0,L$17/$D$17*$E56*$D56)</f>
        <v>1055.28</v>
      </c>
      <c r="M56" s="29">
        <f t="shared" si="20"/>
        <v>1055.28</v>
      </c>
      <c r="N56" s="29">
        <f t="shared" si="20"/>
        <v>1055.28</v>
      </c>
      <c r="O56" s="29">
        <f t="shared" si="20"/>
        <v>1055.28</v>
      </c>
      <c r="P56" s="29">
        <f t="shared" si="20"/>
        <v>1055.28</v>
      </c>
    </row>
    <row r="57" spans="2:16">
      <c r="B57" s="44" t="s">
        <v>47</v>
      </c>
      <c r="C57" s="202" t="s">
        <v>125</v>
      </c>
      <c r="D57" s="100">
        <v>96.92</v>
      </c>
      <c r="E57" s="101">
        <v>1</v>
      </c>
      <c r="F57" s="61"/>
      <c r="G57" s="29">
        <f t="shared" si="19"/>
        <v>387.68</v>
      </c>
      <c r="H57" s="29">
        <f t="shared" si="18"/>
        <v>387.68</v>
      </c>
      <c r="I57" s="29">
        <f t="shared" si="18"/>
        <v>387.68</v>
      </c>
      <c r="J57" s="29">
        <f t="shared" si="18"/>
        <v>387.68</v>
      </c>
      <c r="K57" s="29">
        <f t="shared" si="18"/>
        <v>387.68</v>
      </c>
      <c r="L57" s="29">
        <f t="shared" si="18"/>
        <v>387.68</v>
      </c>
      <c r="M57" s="29">
        <f t="shared" si="18"/>
        <v>387.68</v>
      </c>
      <c r="N57" s="29">
        <f t="shared" si="18"/>
        <v>387.68</v>
      </c>
      <c r="O57" s="29">
        <f t="shared" si="18"/>
        <v>387.68</v>
      </c>
      <c r="P57" s="29">
        <f t="shared" si="18"/>
        <v>387.68</v>
      </c>
    </row>
    <row r="58" spans="2:16">
      <c r="B58" s="44" t="s">
        <v>49</v>
      </c>
      <c r="C58" s="202" t="s">
        <v>126</v>
      </c>
      <c r="D58" s="100">
        <v>3.98</v>
      </c>
      <c r="E58" s="101">
        <v>158</v>
      </c>
      <c r="F58" s="61"/>
      <c r="G58" s="29">
        <f t="shared" si="19"/>
        <v>2515.36</v>
      </c>
      <c r="H58" s="29">
        <f t="shared" si="18"/>
        <v>2515.36</v>
      </c>
      <c r="I58" s="29">
        <f t="shared" si="18"/>
        <v>2515.36</v>
      </c>
      <c r="J58" s="29">
        <f t="shared" si="18"/>
        <v>2515.36</v>
      </c>
      <c r="K58" s="29">
        <f t="shared" si="18"/>
        <v>2515.36</v>
      </c>
      <c r="L58" s="29">
        <f t="shared" si="18"/>
        <v>2515.36</v>
      </c>
      <c r="M58" s="29">
        <f t="shared" si="18"/>
        <v>2515.36</v>
      </c>
      <c r="N58" s="29">
        <f t="shared" si="18"/>
        <v>2515.36</v>
      </c>
      <c r="O58" s="29">
        <f t="shared" si="18"/>
        <v>2515.36</v>
      </c>
      <c r="P58" s="29">
        <f t="shared" si="18"/>
        <v>2515.36</v>
      </c>
    </row>
    <row r="59" spans="2:16">
      <c r="B59" s="44" t="s">
        <v>49</v>
      </c>
      <c r="C59" s="202" t="s">
        <v>126</v>
      </c>
      <c r="D59" s="100">
        <v>3.6</v>
      </c>
      <c r="E59" s="101">
        <v>200</v>
      </c>
      <c r="F59" s="61"/>
      <c r="G59" s="29">
        <f t="shared" si="19"/>
        <v>2880</v>
      </c>
      <c r="H59" s="29">
        <f t="shared" si="18"/>
        <v>2880</v>
      </c>
      <c r="I59" s="29">
        <f t="shared" si="18"/>
        <v>2880</v>
      </c>
      <c r="J59" s="29">
        <f t="shared" si="18"/>
        <v>2880</v>
      </c>
      <c r="K59" s="29">
        <f t="shared" si="18"/>
        <v>2880</v>
      </c>
      <c r="L59" s="29">
        <f t="shared" si="18"/>
        <v>2880</v>
      </c>
      <c r="M59" s="29">
        <f t="shared" si="18"/>
        <v>2880</v>
      </c>
      <c r="N59" s="29">
        <f t="shared" si="18"/>
        <v>2880</v>
      </c>
      <c r="O59" s="29">
        <f t="shared" si="18"/>
        <v>2880</v>
      </c>
      <c r="P59" s="29">
        <f t="shared" si="18"/>
        <v>2880</v>
      </c>
    </row>
    <row r="60" spans="2:16">
      <c r="B60" s="44" t="s">
        <v>50</v>
      </c>
      <c r="C60" s="202" t="s">
        <v>127</v>
      </c>
      <c r="D60" s="100">
        <v>6</v>
      </c>
      <c r="E60" s="101">
        <v>180</v>
      </c>
      <c r="F60" s="61"/>
      <c r="G60" s="29">
        <f t="shared" si="19"/>
        <v>4320</v>
      </c>
      <c r="H60" s="29">
        <f t="shared" si="18"/>
        <v>4320</v>
      </c>
      <c r="I60" s="29">
        <f t="shared" si="18"/>
        <v>4320</v>
      </c>
      <c r="J60" s="29">
        <f t="shared" si="18"/>
        <v>4320</v>
      </c>
      <c r="K60" s="29">
        <f t="shared" si="18"/>
        <v>4320</v>
      </c>
      <c r="L60" s="29">
        <f t="shared" si="18"/>
        <v>4320</v>
      </c>
      <c r="M60" s="29">
        <f t="shared" si="18"/>
        <v>4320</v>
      </c>
      <c r="N60" s="29">
        <f t="shared" si="18"/>
        <v>4320</v>
      </c>
      <c r="O60" s="29">
        <f t="shared" si="18"/>
        <v>4320</v>
      </c>
      <c r="P60" s="29">
        <f t="shared" si="18"/>
        <v>4320</v>
      </c>
    </row>
    <row r="61" spans="2:16">
      <c r="B61" s="45" t="s">
        <v>37</v>
      </c>
      <c r="C61" s="98"/>
      <c r="D61" s="99"/>
      <c r="E61" s="33">
        <f>VLOOKUP($B61,$B$14:$C$19,2,FALSE)</f>
        <v>2000</v>
      </c>
      <c r="F61" s="90">
        <f>VLOOKUP($B61,$B$14:$E$19,4,FALSE)</f>
        <v>2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</row>
    <row r="62" spans="2:16">
      <c r="B62" s="44" t="s">
        <v>47</v>
      </c>
      <c r="C62" s="202" t="s">
        <v>125</v>
      </c>
      <c r="D62" s="100">
        <v>49.42</v>
      </c>
      <c r="E62" s="101">
        <v>4</v>
      </c>
      <c r="F62" s="61"/>
      <c r="G62" s="29">
        <f>IF(G$18=0,0,G$18/$D$18*$E62*$D62)</f>
        <v>395.36</v>
      </c>
      <c r="H62" s="29">
        <f t="shared" ref="H62:P80" si="21">IF(H$18=0,0,H$18/$D$18*$E62*$D62)</f>
        <v>395.36</v>
      </c>
      <c r="I62" s="29">
        <f t="shared" si="21"/>
        <v>395.36</v>
      </c>
      <c r="J62" s="29">
        <f t="shared" si="21"/>
        <v>395.36</v>
      </c>
      <c r="K62" s="29">
        <f t="shared" si="21"/>
        <v>395.36</v>
      </c>
      <c r="L62" s="29">
        <f t="shared" si="21"/>
        <v>395.36</v>
      </c>
      <c r="M62" s="29">
        <f t="shared" si="21"/>
        <v>395.36</v>
      </c>
      <c r="N62" s="29">
        <f t="shared" si="21"/>
        <v>395.36</v>
      </c>
      <c r="O62" s="29">
        <f t="shared" si="21"/>
        <v>395.36</v>
      </c>
      <c r="P62" s="29">
        <f t="shared" si="21"/>
        <v>395.36</v>
      </c>
    </row>
    <row r="63" spans="2:16">
      <c r="B63" s="44" t="s">
        <v>47</v>
      </c>
      <c r="C63" s="202" t="s">
        <v>125</v>
      </c>
      <c r="D63" s="100">
        <v>64.88</v>
      </c>
      <c r="E63" s="101">
        <v>1</v>
      </c>
      <c r="F63" s="61"/>
      <c r="G63" s="29">
        <f t="shared" ref="G63:P80" si="22">IF(G$18=0,0,G$18/$D$18*$E63*$D63)</f>
        <v>129.76</v>
      </c>
      <c r="H63" s="29">
        <f t="shared" si="22"/>
        <v>129.76</v>
      </c>
      <c r="I63" s="29">
        <f t="shared" si="22"/>
        <v>129.76</v>
      </c>
      <c r="J63" s="29">
        <f t="shared" si="22"/>
        <v>129.76</v>
      </c>
      <c r="K63" s="29">
        <f t="shared" si="22"/>
        <v>129.76</v>
      </c>
      <c r="L63" s="29">
        <f t="shared" si="22"/>
        <v>129.76</v>
      </c>
      <c r="M63" s="29">
        <f t="shared" si="22"/>
        <v>129.76</v>
      </c>
      <c r="N63" s="29">
        <f t="shared" si="22"/>
        <v>129.76</v>
      </c>
      <c r="O63" s="29">
        <f t="shared" si="22"/>
        <v>129.76</v>
      </c>
      <c r="P63" s="29">
        <f t="shared" si="22"/>
        <v>129.76</v>
      </c>
    </row>
    <row r="64" spans="2:16">
      <c r="B64" s="44" t="s">
        <v>47</v>
      </c>
      <c r="C64" s="202" t="s">
        <v>125</v>
      </c>
      <c r="D64" s="100">
        <v>349.37</v>
      </c>
      <c r="E64" s="101">
        <v>1</v>
      </c>
      <c r="F64" s="61"/>
      <c r="G64" s="29">
        <f t="shared" si="22"/>
        <v>698.74</v>
      </c>
      <c r="H64" s="29">
        <f t="shared" si="22"/>
        <v>698.74</v>
      </c>
      <c r="I64" s="29">
        <f t="shared" si="22"/>
        <v>698.74</v>
      </c>
      <c r="J64" s="29">
        <f t="shared" si="22"/>
        <v>698.74</v>
      </c>
      <c r="K64" s="29">
        <f t="shared" si="22"/>
        <v>698.74</v>
      </c>
      <c r="L64" s="29">
        <f t="shared" si="22"/>
        <v>698.74</v>
      </c>
      <c r="M64" s="29">
        <f t="shared" si="22"/>
        <v>698.74</v>
      </c>
      <c r="N64" s="29">
        <f t="shared" si="22"/>
        <v>698.74</v>
      </c>
      <c r="O64" s="29">
        <f t="shared" si="22"/>
        <v>698.74</v>
      </c>
      <c r="P64" s="29">
        <f t="shared" si="22"/>
        <v>698.74</v>
      </c>
    </row>
    <row r="65" spans="2:16">
      <c r="B65" s="44" t="s">
        <v>47</v>
      </c>
      <c r="C65" s="202" t="s">
        <v>125</v>
      </c>
      <c r="D65" s="100">
        <v>28.57</v>
      </c>
      <c r="E65" s="101">
        <v>1</v>
      </c>
      <c r="F65" s="61"/>
      <c r="G65" s="29">
        <f t="shared" si="22"/>
        <v>57.14</v>
      </c>
      <c r="H65" s="29">
        <f t="shared" si="22"/>
        <v>57.14</v>
      </c>
      <c r="I65" s="29">
        <f t="shared" si="22"/>
        <v>57.14</v>
      </c>
      <c r="J65" s="29">
        <f t="shared" si="22"/>
        <v>57.14</v>
      </c>
      <c r="K65" s="29">
        <f t="shared" si="22"/>
        <v>57.14</v>
      </c>
      <c r="L65" s="29">
        <f t="shared" si="22"/>
        <v>57.14</v>
      </c>
      <c r="M65" s="29">
        <f t="shared" si="22"/>
        <v>57.14</v>
      </c>
      <c r="N65" s="29">
        <f t="shared" si="22"/>
        <v>57.14</v>
      </c>
      <c r="O65" s="29">
        <f t="shared" si="22"/>
        <v>57.14</v>
      </c>
      <c r="P65" s="29">
        <f t="shared" si="22"/>
        <v>57.14</v>
      </c>
    </row>
    <row r="66" spans="2:16">
      <c r="B66" s="44" t="s">
        <v>47</v>
      </c>
      <c r="C66" s="202" t="s">
        <v>125</v>
      </c>
      <c r="D66" s="100">
        <v>119.36</v>
      </c>
      <c r="E66" s="101">
        <v>4</v>
      </c>
      <c r="F66" s="61"/>
      <c r="G66" s="29">
        <f t="shared" si="22"/>
        <v>954.88</v>
      </c>
      <c r="H66" s="29">
        <f t="shared" si="22"/>
        <v>954.88</v>
      </c>
      <c r="I66" s="29">
        <f t="shared" si="22"/>
        <v>954.88</v>
      </c>
      <c r="J66" s="29">
        <f t="shared" si="22"/>
        <v>954.88</v>
      </c>
      <c r="K66" s="29">
        <f t="shared" si="22"/>
        <v>954.88</v>
      </c>
      <c r="L66" s="29">
        <f t="shared" si="22"/>
        <v>954.88</v>
      </c>
      <c r="M66" s="29">
        <f t="shared" si="22"/>
        <v>954.88</v>
      </c>
      <c r="N66" s="29">
        <f t="shared" si="22"/>
        <v>954.88</v>
      </c>
      <c r="O66" s="29">
        <f t="shared" si="22"/>
        <v>954.88</v>
      </c>
      <c r="P66" s="29">
        <f t="shared" si="22"/>
        <v>954.88</v>
      </c>
    </row>
    <row r="67" spans="2:16">
      <c r="B67" s="44" t="s">
        <v>47</v>
      </c>
      <c r="C67" s="202" t="s">
        <v>125</v>
      </c>
      <c r="D67" s="100">
        <v>128.91999999999999</v>
      </c>
      <c r="E67" s="101">
        <v>1</v>
      </c>
      <c r="F67" s="61"/>
      <c r="G67" s="29">
        <f t="shared" si="22"/>
        <v>257.83999999999997</v>
      </c>
      <c r="H67" s="29">
        <f t="shared" si="22"/>
        <v>257.83999999999997</v>
      </c>
      <c r="I67" s="29">
        <f t="shared" si="22"/>
        <v>257.83999999999997</v>
      </c>
      <c r="J67" s="29">
        <f t="shared" si="22"/>
        <v>257.83999999999997</v>
      </c>
      <c r="K67" s="29">
        <f t="shared" si="22"/>
        <v>257.83999999999997</v>
      </c>
      <c r="L67" s="29">
        <f t="shared" si="22"/>
        <v>257.83999999999997</v>
      </c>
      <c r="M67" s="29">
        <f t="shared" si="22"/>
        <v>257.83999999999997</v>
      </c>
      <c r="N67" s="29">
        <f t="shared" si="22"/>
        <v>257.83999999999997</v>
      </c>
      <c r="O67" s="29">
        <f t="shared" si="22"/>
        <v>257.83999999999997</v>
      </c>
      <c r="P67" s="29">
        <f t="shared" si="22"/>
        <v>257.83999999999997</v>
      </c>
    </row>
    <row r="68" spans="2:16">
      <c r="B68" s="44" t="s">
        <v>47</v>
      </c>
      <c r="C68" s="202" t="s">
        <v>125</v>
      </c>
      <c r="D68" s="100">
        <v>172.25</v>
      </c>
      <c r="E68" s="101">
        <v>2</v>
      </c>
      <c r="F68" s="61"/>
      <c r="G68" s="29">
        <f t="shared" si="22"/>
        <v>689</v>
      </c>
      <c r="H68" s="29">
        <f t="shared" si="22"/>
        <v>689</v>
      </c>
      <c r="I68" s="29">
        <f t="shared" si="22"/>
        <v>689</v>
      </c>
      <c r="J68" s="29">
        <f t="shared" si="22"/>
        <v>689</v>
      </c>
      <c r="K68" s="29">
        <f t="shared" si="22"/>
        <v>689</v>
      </c>
      <c r="L68" s="29">
        <f t="shared" si="22"/>
        <v>689</v>
      </c>
      <c r="M68" s="29">
        <f t="shared" si="22"/>
        <v>689</v>
      </c>
      <c r="N68" s="29">
        <f t="shared" si="22"/>
        <v>689</v>
      </c>
      <c r="O68" s="29">
        <f t="shared" si="22"/>
        <v>689</v>
      </c>
      <c r="P68" s="29">
        <f t="shared" si="22"/>
        <v>689</v>
      </c>
    </row>
    <row r="69" spans="2:16">
      <c r="B69" s="44" t="s">
        <v>47</v>
      </c>
      <c r="C69" s="202" t="s">
        <v>125</v>
      </c>
      <c r="D69" s="100">
        <v>57.56</v>
      </c>
      <c r="E69" s="101">
        <v>1</v>
      </c>
      <c r="F69" s="61"/>
      <c r="G69" s="29">
        <f t="shared" si="22"/>
        <v>115.12</v>
      </c>
      <c r="H69" s="29">
        <f t="shared" si="22"/>
        <v>115.12</v>
      </c>
      <c r="I69" s="29">
        <f t="shared" si="22"/>
        <v>115.12</v>
      </c>
      <c r="J69" s="29">
        <f t="shared" si="22"/>
        <v>115.12</v>
      </c>
      <c r="K69" s="29">
        <f t="shared" si="22"/>
        <v>115.12</v>
      </c>
      <c r="L69" s="29">
        <f t="shared" si="22"/>
        <v>115.12</v>
      </c>
      <c r="M69" s="29">
        <f t="shared" si="22"/>
        <v>115.12</v>
      </c>
      <c r="N69" s="29">
        <f t="shared" si="22"/>
        <v>115.12</v>
      </c>
      <c r="O69" s="29">
        <f t="shared" si="22"/>
        <v>115.12</v>
      </c>
      <c r="P69" s="29">
        <f t="shared" si="22"/>
        <v>115.12</v>
      </c>
    </row>
    <row r="70" spans="2:16">
      <c r="B70" s="44" t="s">
        <v>47</v>
      </c>
      <c r="C70" s="202" t="s">
        <v>125</v>
      </c>
      <c r="D70" s="100">
        <v>221.58</v>
      </c>
      <c r="E70" s="101">
        <v>2</v>
      </c>
      <c r="F70" s="61"/>
      <c r="G70" s="29">
        <f t="shared" si="22"/>
        <v>886.32</v>
      </c>
      <c r="H70" s="29">
        <f t="shared" si="22"/>
        <v>886.32</v>
      </c>
      <c r="I70" s="29">
        <f t="shared" si="22"/>
        <v>886.32</v>
      </c>
      <c r="J70" s="29">
        <f t="shared" si="22"/>
        <v>886.32</v>
      </c>
      <c r="K70" s="29">
        <f t="shared" si="22"/>
        <v>886.32</v>
      </c>
      <c r="L70" s="29">
        <f t="shared" si="22"/>
        <v>886.32</v>
      </c>
      <c r="M70" s="29">
        <f t="shared" si="22"/>
        <v>886.32</v>
      </c>
      <c r="N70" s="29">
        <f t="shared" si="22"/>
        <v>886.32</v>
      </c>
      <c r="O70" s="29">
        <f t="shared" si="22"/>
        <v>886.32</v>
      </c>
      <c r="P70" s="29">
        <f t="shared" si="22"/>
        <v>886.32</v>
      </c>
    </row>
    <row r="71" spans="2:16">
      <c r="B71" s="44" t="s">
        <v>47</v>
      </c>
      <c r="C71" s="202" t="s">
        <v>125</v>
      </c>
      <c r="D71" s="100">
        <v>114.82</v>
      </c>
      <c r="E71" s="101">
        <v>2</v>
      </c>
      <c r="F71" s="61"/>
      <c r="G71" s="29">
        <f t="shared" si="22"/>
        <v>459.28</v>
      </c>
      <c r="H71" s="29">
        <f t="shared" si="22"/>
        <v>459.28</v>
      </c>
      <c r="I71" s="29">
        <f t="shared" si="22"/>
        <v>459.28</v>
      </c>
      <c r="J71" s="29">
        <f t="shared" si="22"/>
        <v>459.28</v>
      </c>
      <c r="K71" s="29">
        <f t="shared" si="22"/>
        <v>459.28</v>
      </c>
      <c r="L71" s="29">
        <f t="shared" si="22"/>
        <v>459.28</v>
      </c>
      <c r="M71" s="29">
        <f t="shared" si="22"/>
        <v>459.28</v>
      </c>
      <c r="N71" s="29">
        <f t="shared" si="22"/>
        <v>459.28</v>
      </c>
      <c r="O71" s="29">
        <f t="shared" si="22"/>
        <v>459.28</v>
      </c>
      <c r="P71" s="29">
        <f t="shared" si="22"/>
        <v>459.28</v>
      </c>
    </row>
    <row r="72" spans="2:16">
      <c r="B72" s="44" t="s">
        <v>47</v>
      </c>
      <c r="C72" s="202" t="s">
        <v>125</v>
      </c>
      <c r="D72" s="100">
        <v>263.82</v>
      </c>
      <c r="E72" s="101">
        <v>1</v>
      </c>
      <c r="F72" s="61"/>
      <c r="G72" s="29">
        <f t="shared" si="22"/>
        <v>527.64</v>
      </c>
      <c r="H72" s="29">
        <f t="shared" si="22"/>
        <v>527.64</v>
      </c>
      <c r="I72" s="29">
        <f t="shared" si="22"/>
        <v>527.64</v>
      </c>
      <c r="J72" s="29">
        <f t="shared" si="22"/>
        <v>527.64</v>
      </c>
      <c r="K72" s="29">
        <f t="shared" si="22"/>
        <v>527.64</v>
      </c>
      <c r="L72" s="29">
        <f t="shared" si="22"/>
        <v>527.64</v>
      </c>
      <c r="M72" s="29">
        <f t="shared" si="22"/>
        <v>527.64</v>
      </c>
      <c r="N72" s="29">
        <f t="shared" si="22"/>
        <v>527.64</v>
      </c>
      <c r="O72" s="29">
        <f t="shared" si="22"/>
        <v>527.64</v>
      </c>
      <c r="P72" s="29">
        <f t="shared" si="22"/>
        <v>527.64</v>
      </c>
    </row>
    <row r="73" spans="2:16">
      <c r="B73" s="44" t="s">
        <v>47</v>
      </c>
      <c r="C73" s="202" t="s">
        <v>125</v>
      </c>
      <c r="D73" s="100">
        <v>96.92</v>
      </c>
      <c r="E73" s="101">
        <v>1</v>
      </c>
      <c r="F73" s="61"/>
      <c r="G73" s="29">
        <f t="shared" si="22"/>
        <v>193.84</v>
      </c>
      <c r="H73" s="29">
        <f t="shared" si="22"/>
        <v>193.84</v>
      </c>
      <c r="I73" s="29">
        <f t="shared" si="22"/>
        <v>193.84</v>
      </c>
      <c r="J73" s="29">
        <f t="shared" si="22"/>
        <v>193.84</v>
      </c>
      <c r="K73" s="29">
        <f t="shared" si="22"/>
        <v>193.84</v>
      </c>
      <c r="L73" s="29">
        <f t="shared" si="22"/>
        <v>193.84</v>
      </c>
      <c r="M73" s="29">
        <f t="shared" si="22"/>
        <v>193.84</v>
      </c>
      <c r="N73" s="29">
        <f t="shared" si="22"/>
        <v>193.84</v>
      </c>
      <c r="O73" s="29">
        <f t="shared" si="22"/>
        <v>193.84</v>
      </c>
      <c r="P73" s="29">
        <f t="shared" si="22"/>
        <v>193.84</v>
      </c>
    </row>
    <row r="74" spans="2:16">
      <c r="B74" s="44" t="s">
        <v>47</v>
      </c>
      <c r="C74" s="202" t="s">
        <v>125</v>
      </c>
      <c r="D74" s="100">
        <v>66.63</v>
      </c>
      <c r="E74" s="101">
        <v>3</v>
      </c>
      <c r="F74" s="61"/>
      <c r="G74" s="29">
        <f t="shared" si="22"/>
        <v>399.78</v>
      </c>
      <c r="H74" s="29">
        <f t="shared" si="22"/>
        <v>399.78</v>
      </c>
      <c r="I74" s="29">
        <f t="shared" si="22"/>
        <v>399.78</v>
      </c>
      <c r="J74" s="29">
        <f t="shared" si="22"/>
        <v>399.78</v>
      </c>
      <c r="K74" s="29">
        <f t="shared" si="22"/>
        <v>399.78</v>
      </c>
      <c r="L74" s="29">
        <f t="shared" si="22"/>
        <v>399.78</v>
      </c>
      <c r="M74" s="29">
        <f t="shared" si="22"/>
        <v>399.78</v>
      </c>
      <c r="N74" s="29">
        <f t="shared" si="22"/>
        <v>399.78</v>
      </c>
      <c r="O74" s="29">
        <f t="shared" si="22"/>
        <v>399.78</v>
      </c>
      <c r="P74" s="29">
        <f t="shared" si="22"/>
        <v>399.78</v>
      </c>
    </row>
    <row r="75" spans="2:16">
      <c r="B75" s="44" t="s">
        <v>47</v>
      </c>
      <c r="C75" s="202" t="s">
        <v>125</v>
      </c>
      <c r="D75" s="100">
        <v>51.43</v>
      </c>
      <c r="E75" s="101">
        <v>3</v>
      </c>
      <c r="F75" s="61"/>
      <c r="G75" s="29">
        <f t="shared" si="22"/>
        <v>308.58</v>
      </c>
      <c r="H75" s="29">
        <f t="shared" si="22"/>
        <v>308.58</v>
      </c>
      <c r="I75" s="29">
        <f t="shared" si="22"/>
        <v>308.58</v>
      </c>
      <c r="J75" s="29">
        <f t="shared" si="22"/>
        <v>308.58</v>
      </c>
      <c r="K75" s="29">
        <f t="shared" si="22"/>
        <v>308.58</v>
      </c>
      <c r="L75" s="29">
        <f t="shared" si="22"/>
        <v>308.58</v>
      </c>
      <c r="M75" s="29">
        <f t="shared" si="22"/>
        <v>308.58</v>
      </c>
      <c r="N75" s="29">
        <f t="shared" si="22"/>
        <v>308.58</v>
      </c>
      <c r="O75" s="29">
        <f t="shared" si="22"/>
        <v>308.58</v>
      </c>
      <c r="P75" s="29">
        <f t="shared" si="22"/>
        <v>308.58</v>
      </c>
    </row>
    <row r="76" spans="2:16">
      <c r="B76" s="44" t="s">
        <v>47</v>
      </c>
      <c r="C76" s="202" t="s">
        <v>125</v>
      </c>
      <c r="D76" s="100">
        <v>106.33</v>
      </c>
      <c r="E76" s="101">
        <v>1</v>
      </c>
      <c r="F76" s="61"/>
      <c r="G76" s="29">
        <f t="shared" si="22"/>
        <v>212.66</v>
      </c>
      <c r="H76" s="29">
        <f t="shared" si="21"/>
        <v>212.66</v>
      </c>
      <c r="I76" s="29">
        <f t="shared" si="21"/>
        <v>212.66</v>
      </c>
      <c r="J76" s="29">
        <f t="shared" si="21"/>
        <v>212.66</v>
      </c>
      <c r="K76" s="29">
        <f t="shared" si="21"/>
        <v>212.66</v>
      </c>
      <c r="L76" s="29">
        <f t="shared" si="21"/>
        <v>212.66</v>
      </c>
      <c r="M76" s="29">
        <f t="shared" si="21"/>
        <v>212.66</v>
      </c>
      <c r="N76" s="29">
        <f t="shared" si="21"/>
        <v>212.66</v>
      </c>
      <c r="O76" s="29">
        <f t="shared" si="21"/>
        <v>212.66</v>
      </c>
      <c r="P76" s="29">
        <f t="shared" si="21"/>
        <v>212.66</v>
      </c>
    </row>
    <row r="77" spans="2:16">
      <c r="B77" s="44" t="s">
        <v>47</v>
      </c>
      <c r="C77" s="202" t="s">
        <v>125</v>
      </c>
      <c r="D77" s="100">
        <v>122.05</v>
      </c>
      <c r="E77" s="101">
        <v>1</v>
      </c>
      <c r="F77" s="61"/>
      <c r="G77" s="29">
        <f t="shared" si="22"/>
        <v>244.1</v>
      </c>
      <c r="H77" s="29">
        <f t="shared" si="21"/>
        <v>244.1</v>
      </c>
      <c r="I77" s="29">
        <f t="shared" si="21"/>
        <v>244.1</v>
      </c>
      <c r="J77" s="29">
        <f t="shared" si="21"/>
        <v>244.1</v>
      </c>
      <c r="K77" s="29">
        <f t="shared" si="21"/>
        <v>244.1</v>
      </c>
      <c r="L77" s="29">
        <f t="shared" si="21"/>
        <v>244.1</v>
      </c>
      <c r="M77" s="29">
        <f t="shared" si="21"/>
        <v>244.1</v>
      </c>
      <c r="N77" s="29">
        <f t="shared" si="21"/>
        <v>244.1</v>
      </c>
      <c r="O77" s="29">
        <f t="shared" si="21"/>
        <v>244.1</v>
      </c>
      <c r="P77" s="29">
        <f t="shared" si="21"/>
        <v>244.1</v>
      </c>
    </row>
    <row r="78" spans="2:16">
      <c r="B78" s="44" t="s">
        <v>49</v>
      </c>
      <c r="C78" s="202" t="s">
        <v>126</v>
      </c>
      <c r="D78" s="100">
        <v>3.98</v>
      </c>
      <c r="E78" s="101">
        <v>158</v>
      </c>
      <c r="F78" s="61"/>
      <c r="G78" s="29">
        <f t="shared" si="22"/>
        <v>1257.68</v>
      </c>
      <c r="H78" s="29">
        <f t="shared" si="21"/>
        <v>1257.68</v>
      </c>
      <c r="I78" s="29">
        <f t="shared" si="21"/>
        <v>1257.68</v>
      </c>
      <c r="J78" s="29">
        <f t="shared" si="21"/>
        <v>1257.68</v>
      </c>
      <c r="K78" s="29">
        <f t="shared" si="21"/>
        <v>1257.68</v>
      </c>
      <c r="L78" s="29">
        <f t="shared" si="21"/>
        <v>1257.68</v>
      </c>
      <c r="M78" s="29">
        <f t="shared" si="21"/>
        <v>1257.68</v>
      </c>
      <c r="N78" s="29">
        <f t="shared" si="21"/>
        <v>1257.68</v>
      </c>
      <c r="O78" s="29">
        <f t="shared" si="21"/>
        <v>1257.68</v>
      </c>
      <c r="P78" s="29">
        <f t="shared" si="21"/>
        <v>1257.68</v>
      </c>
    </row>
    <row r="79" spans="2:16">
      <c r="B79" s="44" t="s">
        <v>49</v>
      </c>
      <c r="C79" s="202" t="s">
        <v>126</v>
      </c>
      <c r="D79" s="100">
        <v>3.6</v>
      </c>
      <c r="E79" s="101">
        <v>340</v>
      </c>
      <c r="F79" s="61"/>
      <c r="G79" s="29">
        <f t="shared" si="22"/>
        <v>2448</v>
      </c>
      <c r="H79" s="29">
        <f t="shared" si="21"/>
        <v>2448</v>
      </c>
      <c r="I79" s="29">
        <f t="shared" si="21"/>
        <v>2448</v>
      </c>
      <c r="J79" s="29">
        <f t="shared" si="21"/>
        <v>2448</v>
      </c>
      <c r="K79" s="29">
        <f t="shared" si="21"/>
        <v>2448</v>
      </c>
      <c r="L79" s="29">
        <f t="shared" si="21"/>
        <v>2448</v>
      </c>
      <c r="M79" s="29">
        <f t="shared" si="21"/>
        <v>2448</v>
      </c>
      <c r="N79" s="29">
        <f t="shared" si="21"/>
        <v>2448</v>
      </c>
      <c r="O79" s="29">
        <f t="shared" si="21"/>
        <v>2448</v>
      </c>
      <c r="P79" s="29">
        <f t="shared" si="21"/>
        <v>2448</v>
      </c>
    </row>
    <row r="80" spans="2:16">
      <c r="B80" s="44" t="s">
        <v>50</v>
      </c>
      <c r="C80" s="202" t="s">
        <v>127</v>
      </c>
      <c r="D80" s="100">
        <v>6</v>
      </c>
      <c r="E80" s="101">
        <v>360</v>
      </c>
      <c r="F80" s="61"/>
      <c r="G80" s="29">
        <f t="shared" si="22"/>
        <v>4320</v>
      </c>
      <c r="H80" s="29">
        <f t="shared" si="21"/>
        <v>4320</v>
      </c>
      <c r="I80" s="29">
        <f t="shared" si="21"/>
        <v>4320</v>
      </c>
      <c r="J80" s="29">
        <f t="shared" si="21"/>
        <v>4320</v>
      </c>
      <c r="K80" s="29">
        <f t="shared" si="21"/>
        <v>4320</v>
      </c>
      <c r="L80" s="29">
        <f t="shared" si="21"/>
        <v>4320</v>
      </c>
      <c r="M80" s="29">
        <f t="shared" si="21"/>
        <v>4320</v>
      </c>
      <c r="N80" s="29">
        <f t="shared" si="21"/>
        <v>4320</v>
      </c>
      <c r="O80" s="29">
        <f t="shared" si="21"/>
        <v>4320</v>
      </c>
      <c r="P80" s="29">
        <f t="shared" si="21"/>
        <v>4320</v>
      </c>
    </row>
    <row r="81" spans="2:16">
      <c r="B81" s="45" t="s">
        <v>38</v>
      </c>
      <c r="C81" s="98"/>
      <c r="D81" s="99"/>
      <c r="E81" s="33">
        <f>VLOOKUP($B81,$B$14:$C$19,2,FALSE)</f>
        <v>4000</v>
      </c>
      <c r="F81" s="61"/>
      <c r="G81" s="34"/>
      <c r="H81" s="34"/>
      <c r="I81" s="20"/>
      <c r="J81" s="34"/>
      <c r="K81" s="20"/>
      <c r="L81" s="34"/>
      <c r="M81" s="20"/>
      <c r="N81" s="34"/>
      <c r="O81" s="20"/>
      <c r="P81" s="34"/>
    </row>
    <row r="82" spans="2:16">
      <c r="B82" s="44" t="s">
        <v>47</v>
      </c>
      <c r="C82" s="202" t="s">
        <v>125</v>
      </c>
      <c r="D82" s="100">
        <v>49.42</v>
      </c>
      <c r="E82" s="101">
        <v>4</v>
      </c>
      <c r="F82" s="62"/>
      <c r="G82" s="29">
        <f>IF(G$19=0,0,G$19/$D$19*$E82*$D82)</f>
        <v>197.68</v>
      </c>
      <c r="H82" s="29">
        <f t="shared" ref="H82:P105" si="23">IF(H$19=0,0,H$19/$D$19*$E82*$D82)</f>
        <v>197.68</v>
      </c>
      <c r="I82" s="29">
        <f t="shared" si="23"/>
        <v>197.68</v>
      </c>
      <c r="J82" s="29">
        <f t="shared" si="23"/>
        <v>197.68</v>
      </c>
      <c r="K82" s="29">
        <f t="shared" si="23"/>
        <v>197.68</v>
      </c>
      <c r="L82" s="29">
        <f t="shared" si="23"/>
        <v>197.68</v>
      </c>
      <c r="M82" s="29">
        <f t="shared" si="23"/>
        <v>197.68</v>
      </c>
      <c r="N82" s="29">
        <f t="shared" si="23"/>
        <v>197.68</v>
      </c>
      <c r="O82" s="29">
        <f t="shared" si="23"/>
        <v>197.68</v>
      </c>
      <c r="P82" s="29">
        <f t="shared" si="23"/>
        <v>197.68</v>
      </c>
    </row>
    <row r="83" spans="2:16">
      <c r="B83" s="44" t="s">
        <v>47</v>
      </c>
      <c r="C83" s="202" t="s">
        <v>125</v>
      </c>
      <c r="D83" s="100">
        <v>64.88</v>
      </c>
      <c r="E83" s="101">
        <v>1</v>
      </c>
      <c r="F83" s="62"/>
      <c r="G83" s="29">
        <f t="shared" ref="G83:P98" si="24">IF(G$19=0,0,G$19/$D$19*$E83*$D83)</f>
        <v>64.88</v>
      </c>
      <c r="H83" s="29">
        <f t="shared" si="24"/>
        <v>64.88</v>
      </c>
      <c r="I83" s="29">
        <f t="shared" si="24"/>
        <v>64.88</v>
      </c>
      <c r="J83" s="29">
        <f t="shared" si="24"/>
        <v>64.88</v>
      </c>
      <c r="K83" s="29">
        <f t="shared" si="24"/>
        <v>64.88</v>
      </c>
      <c r="L83" s="29">
        <f t="shared" si="24"/>
        <v>64.88</v>
      </c>
      <c r="M83" s="29">
        <f t="shared" si="24"/>
        <v>64.88</v>
      </c>
      <c r="N83" s="29">
        <f t="shared" si="24"/>
        <v>64.88</v>
      </c>
      <c r="O83" s="29">
        <f t="shared" si="24"/>
        <v>64.88</v>
      </c>
      <c r="P83" s="29">
        <f t="shared" si="24"/>
        <v>64.88</v>
      </c>
    </row>
    <row r="84" spans="2:16">
      <c r="B84" s="44" t="s">
        <v>47</v>
      </c>
      <c r="C84" s="202" t="s">
        <v>125</v>
      </c>
      <c r="D84" s="100">
        <v>349.37</v>
      </c>
      <c r="E84" s="101">
        <v>1</v>
      </c>
      <c r="F84" s="62"/>
      <c r="G84" s="29">
        <f t="shared" si="24"/>
        <v>349.37</v>
      </c>
      <c r="H84" s="29">
        <f t="shared" si="24"/>
        <v>349.37</v>
      </c>
      <c r="I84" s="29">
        <f t="shared" si="24"/>
        <v>349.37</v>
      </c>
      <c r="J84" s="29">
        <f t="shared" si="24"/>
        <v>349.37</v>
      </c>
      <c r="K84" s="29">
        <f t="shared" si="24"/>
        <v>349.37</v>
      </c>
      <c r="L84" s="29">
        <f t="shared" si="24"/>
        <v>349.37</v>
      </c>
      <c r="M84" s="29">
        <f t="shared" si="24"/>
        <v>349.37</v>
      </c>
      <c r="N84" s="29">
        <f t="shared" si="24"/>
        <v>349.37</v>
      </c>
      <c r="O84" s="29">
        <f t="shared" si="24"/>
        <v>349.37</v>
      </c>
      <c r="P84" s="29">
        <f t="shared" si="24"/>
        <v>349.37</v>
      </c>
    </row>
    <row r="85" spans="2:16">
      <c r="B85" s="44" t="s">
        <v>47</v>
      </c>
      <c r="C85" s="202" t="s">
        <v>125</v>
      </c>
      <c r="D85" s="100">
        <v>28.57</v>
      </c>
      <c r="E85" s="101">
        <v>1</v>
      </c>
      <c r="F85" s="62"/>
      <c r="G85" s="29">
        <f t="shared" si="24"/>
        <v>28.57</v>
      </c>
      <c r="H85" s="29">
        <f t="shared" si="24"/>
        <v>28.57</v>
      </c>
      <c r="I85" s="29">
        <f t="shared" si="24"/>
        <v>28.57</v>
      </c>
      <c r="J85" s="29">
        <f t="shared" si="24"/>
        <v>28.57</v>
      </c>
      <c r="K85" s="29">
        <f t="shared" si="24"/>
        <v>28.57</v>
      </c>
      <c r="L85" s="29">
        <f t="shared" si="24"/>
        <v>28.57</v>
      </c>
      <c r="M85" s="29">
        <f t="shared" si="24"/>
        <v>28.57</v>
      </c>
      <c r="N85" s="29">
        <f t="shared" si="24"/>
        <v>28.57</v>
      </c>
      <c r="O85" s="29">
        <f t="shared" si="24"/>
        <v>28.57</v>
      </c>
      <c r="P85" s="29">
        <f t="shared" si="24"/>
        <v>28.57</v>
      </c>
    </row>
    <row r="86" spans="2:16">
      <c r="B86" s="44" t="s">
        <v>47</v>
      </c>
      <c r="C86" s="202" t="s">
        <v>125</v>
      </c>
      <c r="D86" s="100">
        <v>119.36</v>
      </c>
      <c r="E86" s="101">
        <v>4</v>
      </c>
      <c r="F86" s="62"/>
      <c r="G86" s="29">
        <f t="shared" si="24"/>
        <v>477.44</v>
      </c>
      <c r="H86" s="29">
        <f t="shared" si="24"/>
        <v>477.44</v>
      </c>
      <c r="I86" s="29">
        <f t="shared" si="24"/>
        <v>477.44</v>
      </c>
      <c r="J86" s="29">
        <f t="shared" si="24"/>
        <v>477.44</v>
      </c>
      <c r="K86" s="29">
        <f t="shared" si="24"/>
        <v>477.44</v>
      </c>
      <c r="L86" s="29">
        <f t="shared" si="24"/>
        <v>477.44</v>
      </c>
      <c r="M86" s="29">
        <f t="shared" si="24"/>
        <v>477.44</v>
      </c>
      <c r="N86" s="29">
        <f t="shared" si="24"/>
        <v>477.44</v>
      </c>
      <c r="O86" s="29">
        <f t="shared" si="24"/>
        <v>477.44</v>
      </c>
      <c r="P86" s="29">
        <f t="shared" si="24"/>
        <v>477.44</v>
      </c>
    </row>
    <row r="87" spans="2:16">
      <c r="B87" s="44" t="s">
        <v>47</v>
      </c>
      <c r="C87" s="202" t="s">
        <v>125</v>
      </c>
      <c r="D87" s="100">
        <v>128.91999999999999</v>
      </c>
      <c r="E87" s="101">
        <v>1</v>
      </c>
      <c r="F87" s="62"/>
      <c r="G87" s="29">
        <f t="shared" si="24"/>
        <v>128.91999999999999</v>
      </c>
      <c r="H87" s="29">
        <f t="shared" si="24"/>
        <v>128.91999999999999</v>
      </c>
      <c r="I87" s="29">
        <f t="shared" si="24"/>
        <v>128.91999999999999</v>
      </c>
      <c r="J87" s="29">
        <f t="shared" si="24"/>
        <v>128.91999999999999</v>
      </c>
      <c r="K87" s="29">
        <f t="shared" si="24"/>
        <v>128.91999999999999</v>
      </c>
      <c r="L87" s="29">
        <f t="shared" si="24"/>
        <v>128.91999999999999</v>
      </c>
      <c r="M87" s="29">
        <f t="shared" si="24"/>
        <v>128.91999999999999</v>
      </c>
      <c r="N87" s="29">
        <f t="shared" si="24"/>
        <v>128.91999999999999</v>
      </c>
      <c r="O87" s="29">
        <f t="shared" si="24"/>
        <v>128.91999999999999</v>
      </c>
      <c r="P87" s="29">
        <f t="shared" si="24"/>
        <v>128.91999999999999</v>
      </c>
    </row>
    <row r="88" spans="2:16">
      <c r="B88" s="44" t="s">
        <v>47</v>
      </c>
      <c r="C88" s="202" t="s">
        <v>125</v>
      </c>
      <c r="D88" s="100">
        <v>172.25</v>
      </c>
      <c r="E88" s="101">
        <v>2</v>
      </c>
      <c r="F88" s="62"/>
      <c r="G88" s="29">
        <f t="shared" si="24"/>
        <v>344.5</v>
      </c>
      <c r="H88" s="29">
        <f t="shared" si="24"/>
        <v>344.5</v>
      </c>
      <c r="I88" s="29">
        <f t="shared" si="24"/>
        <v>344.5</v>
      </c>
      <c r="J88" s="29">
        <f t="shared" si="24"/>
        <v>344.5</v>
      </c>
      <c r="K88" s="29">
        <f t="shared" si="24"/>
        <v>344.5</v>
      </c>
      <c r="L88" s="29">
        <f t="shared" si="24"/>
        <v>344.5</v>
      </c>
      <c r="M88" s="29">
        <f t="shared" si="24"/>
        <v>344.5</v>
      </c>
      <c r="N88" s="29">
        <f t="shared" si="24"/>
        <v>344.5</v>
      </c>
      <c r="O88" s="29">
        <f t="shared" si="24"/>
        <v>344.5</v>
      </c>
      <c r="P88" s="29">
        <f t="shared" si="24"/>
        <v>344.5</v>
      </c>
    </row>
    <row r="89" spans="2:16">
      <c r="B89" s="44" t="s">
        <v>47</v>
      </c>
      <c r="C89" s="202" t="s">
        <v>125</v>
      </c>
      <c r="D89" s="100">
        <v>57.56</v>
      </c>
      <c r="E89" s="101">
        <v>1</v>
      </c>
      <c r="F89" s="62"/>
      <c r="G89" s="29">
        <f t="shared" si="24"/>
        <v>57.56</v>
      </c>
      <c r="H89" s="29">
        <f t="shared" si="24"/>
        <v>57.56</v>
      </c>
      <c r="I89" s="29">
        <f t="shared" si="24"/>
        <v>57.56</v>
      </c>
      <c r="J89" s="29">
        <f t="shared" si="24"/>
        <v>57.56</v>
      </c>
      <c r="K89" s="29">
        <f t="shared" si="24"/>
        <v>57.56</v>
      </c>
      <c r="L89" s="29">
        <f t="shared" si="24"/>
        <v>57.56</v>
      </c>
      <c r="M89" s="29">
        <f t="shared" si="24"/>
        <v>57.56</v>
      </c>
      <c r="N89" s="29">
        <f t="shared" si="24"/>
        <v>57.56</v>
      </c>
      <c r="O89" s="29">
        <f t="shared" si="24"/>
        <v>57.56</v>
      </c>
      <c r="P89" s="29">
        <f t="shared" si="24"/>
        <v>57.56</v>
      </c>
    </row>
    <row r="90" spans="2:16">
      <c r="B90" s="44" t="s">
        <v>47</v>
      </c>
      <c r="C90" s="202" t="s">
        <v>125</v>
      </c>
      <c r="D90" s="100">
        <v>221.58</v>
      </c>
      <c r="E90" s="101">
        <v>2</v>
      </c>
      <c r="F90" s="62"/>
      <c r="G90" s="29">
        <f t="shared" si="24"/>
        <v>443.16</v>
      </c>
      <c r="H90" s="29">
        <f t="shared" si="24"/>
        <v>443.16</v>
      </c>
      <c r="I90" s="29">
        <f t="shared" si="24"/>
        <v>443.16</v>
      </c>
      <c r="J90" s="29">
        <f t="shared" si="24"/>
        <v>443.16</v>
      </c>
      <c r="K90" s="29">
        <f t="shared" si="24"/>
        <v>443.16</v>
      </c>
      <c r="L90" s="29">
        <f t="shared" si="24"/>
        <v>443.16</v>
      </c>
      <c r="M90" s="29">
        <f t="shared" si="24"/>
        <v>443.16</v>
      </c>
      <c r="N90" s="29">
        <f t="shared" si="24"/>
        <v>443.16</v>
      </c>
      <c r="O90" s="29">
        <f t="shared" si="24"/>
        <v>443.16</v>
      </c>
      <c r="P90" s="29">
        <f t="shared" si="24"/>
        <v>443.16</v>
      </c>
    </row>
    <row r="91" spans="2:16">
      <c r="B91" s="44" t="s">
        <v>47</v>
      </c>
      <c r="C91" s="202" t="s">
        <v>125</v>
      </c>
      <c r="D91" s="100">
        <v>114.82</v>
      </c>
      <c r="E91" s="101">
        <v>2</v>
      </c>
      <c r="F91" s="62"/>
      <c r="G91" s="29">
        <f t="shared" si="24"/>
        <v>229.64</v>
      </c>
      <c r="H91" s="29">
        <f t="shared" si="24"/>
        <v>229.64</v>
      </c>
      <c r="I91" s="29">
        <f t="shared" si="24"/>
        <v>229.64</v>
      </c>
      <c r="J91" s="29">
        <f t="shared" si="24"/>
        <v>229.64</v>
      </c>
      <c r="K91" s="29">
        <f t="shared" si="24"/>
        <v>229.64</v>
      </c>
      <c r="L91" s="29">
        <f t="shared" si="24"/>
        <v>229.64</v>
      </c>
      <c r="M91" s="29">
        <f t="shared" si="24"/>
        <v>229.64</v>
      </c>
      <c r="N91" s="29">
        <f t="shared" si="24"/>
        <v>229.64</v>
      </c>
      <c r="O91" s="29">
        <f t="shared" si="24"/>
        <v>229.64</v>
      </c>
      <c r="P91" s="29">
        <f t="shared" si="24"/>
        <v>229.64</v>
      </c>
    </row>
    <row r="92" spans="2:16">
      <c r="B92" s="44" t="s">
        <v>47</v>
      </c>
      <c r="C92" s="202" t="s">
        <v>125</v>
      </c>
      <c r="D92" s="100">
        <v>263.82</v>
      </c>
      <c r="E92" s="101">
        <v>1</v>
      </c>
      <c r="F92" s="62"/>
      <c r="G92" s="29">
        <f t="shared" si="24"/>
        <v>263.82</v>
      </c>
      <c r="H92" s="29">
        <f t="shared" si="24"/>
        <v>263.82</v>
      </c>
      <c r="I92" s="29">
        <f t="shared" si="24"/>
        <v>263.82</v>
      </c>
      <c r="J92" s="29">
        <f t="shared" si="24"/>
        <v>263.82</v>
      </c>
      <c r="K92" s="29">
        <f t="shared" si="24"/>
        <v>263.82</v>
      </c>
      <c r="L92" s="29">
        <f t="shared" si="24"/>
        <v>263.82</v>
      </c>
      <c r="M92" s="29">
        <f t="shared" si="24"/>
        <v>263.82</v>
      </c>
      <c r="N92" s="29">
        <f t="shared" si="24"/>
        <v>263.82</v>
      </c>
      <c r="O92" s="29">
        <f t="shared" si="24"/>
        <v>263.82</v>
      </c>
      <c r="P92" s="29">
        <f t="shared" si="24"/>
        <v>263.82</v>
      </c>
    </row>
    <row r="93" spans="2:16">
      <c r="B93" s="44" t="s">
        <v>47</v>
      </c>
      <c r="C93" s="202" t="s">
        <v>125</v>
      </c>
      <c r="D93" s="100">
        <v>96.92</v>
      </c>
      <c r="E93" s="101">
        <v>1</v>
      </c>
      <c r="F93" s="62"/>
      <c r="G93" s="29">
        <f t="shared" si="24"/>
        <v>96.92</v>
      </c>
      <c r="H93" s="29">
        <f t="shared" si="24"/>
        <v>96.92</v>
      </c>
      <c r="I93" s="29">
        <f t="shared" si="24"/>
        <v>96.92</v>
      </c>
      <c r="J93" s="29">
        <f t="shared" si="24"/>
        <v>96.92</v>
      </c>
      <c r="K93" s="29">
        <f t="shared" si="24"/>
        <v>96.92</v>
      </c>
      <c r="L93" s="29">
        <f t="shared" si="24"/>
        <v>96.92</v>
      </c>
      <c r="M93" s="29">
        <f t="shared" si="24"/>
        <v>96.92</v>
      </c>
      <c r="N93" s="29">
        <f t="shared" si="24"/>
        <v>96.92</v>
      </c>
      <c r="O93" s="29">
        <f t="shared" si="24"/>
        <v>96.92</v>
      </c>
      <c r="P93" s="29">
        <f t="shared" si="24"/>
        <v>96.92</v>
      </c>
    </row>
    <row r="94" spans="2:16">
      <c r="B94" s="44" t="s">
        <v>47</v>
      </c>
      <c r="C94" s="202" t="s">
        <v>125</v>
      </c>
      <c r="D94" s="100">
        <v>66.63</v>
      </c>
      <c r="E94" s="101">
        <v>3</v>
      </c>
      <c r="F94" s="62"/>
      <c r="G94" s="29">
        <f t="shared" si="24"/>
        <v>199.89</v>
      </c>
      <c r="H94" s="29">
        <f t="shared" si="24"/>
        <v>199.89</v>
      </c>
      <c r="I94" s="29">
        <f t="shared" si="24"/>
        <v>199.89</v>
      </c>
      <c r="J94" s="29">
        <f t="shared" si="24"/>
        <v>199.89</v>
      </c>
      <c r="K94" s="29">
        <f t="shared" si="24"/>
        <v>199.89</v>
      </c>
      <c r="L94" s="29">
        <f t="shared" si="24"/>
        <v>199.89</v>
      </c>
      <c r="M94" s="29">
        <f t="shared" si="24"/>
        <v>199.89</v>
      </c>
      <c r="N94" s="29">
        <f t="shared" si="24"/>
        <v>199.89</v>
      </c>
      <c r="O94" s="29">
        <f t="shared" si="24"/>
        <v>199.89</v>
      </c>
      <c r="P94" s="29">
        <f t="shared" si="24"/>
        <v>199.89</v>
      </c>
    </row>
    <row r="95" spans="2:16">
      <c r="B95" s="44" t="s">
        <v>47</v>
      </c>
      <c r="C95" s="202" t="s">
        <v>125</v>
      </c>
      <c r="D95" s="100">
        <v>51.43</v>
      </c>
      <c r="E95" s="101">
        <v>3</v>
      </c>
      <c r="F95" s="62"/>
      <c r="G95" s="29">
        <f t="shared" si="24"/>
        <v>154.29</v>
      </c>
      <c r="H95" s="29">
        <f t="shared" si="24"/>
        <v>154.29</v>
      </c>
      <c r="I95" s="29">
        <f t="shared" si="24"/>
        <v>154.29</v>
      </c>
      <c r="J95" s="29">
        <f t="shared" si="24"/>
        <v>154.29</v>
      </c>
      <c r="K95" s="29">
        <f t="shared" si="24"/>
        <v>154.29</v>
      </c>
      <c r="L95" s="29">
        <f t="shared" si="24"/>
        <v>154.29</v>
      </c>
      <c r="M95" s="29">
        <f t="shared" si="24"/>
        <v>154.29</v>
      </c>
      <c r="N95" s="29">
        <f t="shared" si="24"/>
        <v>154.29</v>
      </c>
      <c r="O95" s="29">
        <f t="shared" si="24"/>
        <v>154.29</v>
      </c>
      <c r="P95" s="29">
        <f t="shared" si="24"/>
        <v>154.29</v>
      </c>
    </row>
    <row r="96" spans="2:16">
      <c r="B96" s="44" t="s">
        <v>47</v>
      </c>
      <c r="C96" s="202" t="s">
        <v>125</v>
      </c>
      <c r="D96" s="100">
        <v>260.68</v>
      </c>
      <c r="E96" s="101">
        <v>1</v>
      </c>
      <c r="F96" s="62"/>
      <c r="G96" s="29">
        <f t="shared" si="24"/>
        <v>260.68</v>
      </c>
      <c r="H96" s="29">
        <f t="shared" si="24"/>
        <v>260.68</v>
      </c>
      <c r="I96" s="29">
        <f t="shared" si="24"/>
        <v>260.68</v>
      </c>
      <c r="J96" s="29">
        <f t="shared" si="24"/>
        <v>260.68</v>
      </c>
      <c r="K96" s="29">
        <f t="shared" si="24"/>
        <v>260.68</v>
      </c>
      <c r="L96" s="29">
        <f t="shared" si="24"/>
        <v>260.68</v>
      </c>
      <c r="M96" s="29">
        <f t="shared" si="24"/>
        <v>260.68</v>
      </c>
      <c r="N96" s="29">
        <f t="shared" si="24"/>
        <v>260.68</v>
      </c>
      <c r="O96" s="29">
        <f t="shared" si="24"/>
        <v>260.68</v>
      </c>
      <c r="P96" s="29">
        <f t="shared" si="24"/>
        <v>260.68</v>
      </c>
    </row>
    <row r="97" spans="2:16">
      <c r="B97" s="44" t="s">
        <v>47</v>
      </c>
      <c r="C97" s="202" t="s">
        <v>125</v>
      </c>
      <c r="D97" s="100">
        <v>93.76</v>
      </c>
      <c r="E97" s="101">
        <v>2</v>
      </c>
      <c r="F97" s="62"/>
      <c r="G97" s="29">
        <f t="shared" si="24"/>
        <v>187.52</v>
      </c>
      <c r="H97" s="29">
        <f t="shared" si="24"/>
        <v>187.52</v>
      </c>
      <c r="I97" s="29">
        <f t="shared" si="24"/>
        <v>187.52</v>
      </c>
      <c r="J97" s="29">
        <f t="shared" si="24"/>
        <v>187.52</v>
      </c>
      <c r="K97" s="29">
        <f t="shared" si="24"/>
        <v>187.52</v>
      </c>
      <c r="L97" s="29">
        <f t="shared" si="24"/>
        <v>187.52</v>
      </c>
      <c r="M97" s="29">
        <f t="shared" si="24"/>
        <v>187.52</v>
      </c>
      <c r="N97" s="29">
        <f t="shared" si="24"/>
        <v>187.52</v>
      </c>
      <c r="O97" s="29">
        <f t="shared" si="24"/>
        <v>187.52</v>
      </c>
      <c r="P97" s="29">
        <f t="shared" si="24"/>
        <v>187.52</v>
      </c>
    </row>
    <row r="98" spans="2:16">
      <c r="B98" s="44" t="s">
        <v>47</v>
      </c>
      <c r="C98" s="202" t="s">
        <v>125</v>
      </c>
      <c r="D98" s="100">
        <v>106.33</v>
      </c>
      <c r="E98" s="101">
        <v>1</v>
      </c>
      <c r="F98" s="62"/>
      <c r="G98" s="29">
        <f t="shared" si="24"/>
        <v>106.33</v>
      </c>
      <c r="H98" s="29">
        <f t="shared" si="24"/>
        <v>106.33</v>
      </c>
      <c r="I98" s="29">
        <f t="shared" si="24"/>
        <v>106.33</v>
      </c>
      <c r="J98" s="29">
        <f t="shared" si="24"/>
        <v>106.33</v>
      </c>
      <c r="K98" s="29">
        <f t="shared" si="24"/>
        <v>106.33</v>
      </c>
      <c r="L98" s="29">
        <f t="shared" si="24"/>
        <v>106.33</v>
      </c>
      <c r="M98" s="29">
        <f t="shared" si="24"/>
        <v>106.33</v>
      </c>
      <c r="N98" s="29">
        <f t="shared" si="24"/>
        <v>106.33</v>
      </c>
      <c r="O98" s="29">
        <f t="shared" si="24"/>
        <v>106.33</v>
      </c>
      <c r="P98" s="29">
        <f t="shared" si="24"/>
        <v>106.33</v>
      </c>
    </row>
    <row r="99" spans="2:16">
      <c r="B99" s="44" t="s">
        <v>47</v>
      </c>
      <c r="C99" s="202" t="s">
        <v>125</v>
      </c>
      <c r="D99" s="100">
        <v>122.05</v>
      </c>
      <c r="E99" s="101">
        <v>1</v>
      </c>
      <c r="F99" s="62"/>
      <c r="G99" s="29">
        <f t="shared" ref="G99:P105" si="25">IF(G$19=0,0,G$19/$D$19*$E99*$D99)</f>
        <v>122.05</v>
      </c>
      <c r="H99" s="29">
        <f t="shared" si="25"/>
        <v>122.05</v>
      </c>
      <c r="I99" s="29">
        <f t="shared" si="25"/>
        <v>122.05</v>
      </c>
      <c r="J99" s="29">
        <f t="shared" si="25"/>
        <v>122.05</v>
      </c>
      <c r="K99" s="29">
        <f t="shared" si="25"/>
        <v>122.05</v>
      </c>
      <c r="L99" s="29">
        <f t="shared" si="25"/>
        <v>122.05</v>
      </c>
      <c r="M99" s="29">
        <f t="shared" si="25"/>
        <v>122.05</v>
      </c>
      <c r="N99" s="29">
        <f t="shared" si="25"/>
        <v>122.05</v>
      </c>
      <c r="O99" s="29">
        <f t="shared" si="25"/>
        <v>122.05</v>
      </c>
      <c r="P99" s="29">
        <f t="shared" si="25"/>
        <v>122.05</v>
      </c>
    </row>
    <row r="100" spans="2:16">
      <c r="B100" s="44" t="s">
        <v>47</v>
      </c>
      <c r="C100" s="202" t="s">
        <v>125</v>
      </c>
      <c r="D100" s="100">
        <v>240.35</v>
      </c>
      <c r="E100" s="101">
        <v>3</v>
      </c>
      <c r="F100" s="62"/>
      <c r="G100" s="29">
        <f t="shared" si="25"/>
        <v>721.05</v>
      </c>
      <c r="H100" s="29">
        <f t="shared" si="25"/>
        <v>721.05</v>
      </c>
      <c r="I100" s="29">
        <f t="shared" si="25"/>
        <v>721.05</v>
      </c>
      <c r="J100" s="29">
        <f t="shared" si="25"/>
        <v>721.05</v>
      </c>
      <c r="K100" s="29">
        <f t="shared" si="25"/>
        <v>721.05</v>
      </c>
      <c r="L100" s="29">
        <f t="shared" si="25"/>
        <v>721.05</v>
      </c>
      <c r="M100" s="29">
        <f t="shared" si="25"/>
        <v>721.05</v>
      </c>
      <c r="N100" s="29">
        <f t="shared" si="25"/>
        <v>721.05</v>
      </c>
      <c r="O100" s="29">
        <f t="shared" si="25"/>
        <v>721.05</v>
      </c>
      <c r="P100" s="29">
        <f t="shared" si="25"/>
        <v>721.05</v>
      </c>
    </row>
    <row r="101" spans="2:16">
      <c r="B101" s="44" t="s">
        <v>49</v>
      </c>
      <c r="C101" s="202" t="s">
        <v>126</v>
      </c>
      <c r="D101" s="100">
        <v>3.98</v>
      </c>
      <c r="E101" s="101">
        <v>158</v>
      </c>
      <c r="F101" s="62"/>
      <c r="G101" s="29">
        <f t="shared" si="25"/>
        <v>628.84</v>
      </c>
      <c r="H101" s="29">
        <f t="shared" si="23"/>
        <v>628.84</v>
      </c>
      <c r="I101" s="29">
        <f t="shared" si="23"/>
        <v>628.84</v>
      </c>
      <c r="J101" s="29">
        <f t="shared" si="23"/>
        <v>628.84</v>
      </c>
      <c r="K101" s="29">
        <f t="shared" si="23"/>
        <v>628.84</v>
      </c>
      <c r="L101" s="29">
        <f t="shared" si="23"/>
        <v>628.84</v>
      </c>
      <c r="M101" s="29">
        <f t="shared" si="23"/>
        <v>628.84</v>
      </c>
      <c r="N101" s="29">
        <f t="shared" si="23"/>
        <v>628.84</v>
      </c>
      <c r="O101" s="29">
        <f t="shared" si="23"/>
        <v>628.84</v>
      </c>
      <c r="P101" s="29">
        <f t="shared" si="23"/>
        <v>628.84</v>
      </c>
    </row>
    <row r="102" spans="2:16">
      <c r="B102" s="44" t="s">
        <v>49</v>
      </c>
      <c r="C102" s="202" t="s">
        <v>126</v>
      </c>
      <c r="D102" s="100">
        <v>3.6</v>
      </c>
      <c r="E102" s="101">
        <v>340</v>
      </c>
      <c r="F102" s="62"/>
      <c r="G102" s="29">
        <f t="shared" si="25"/>
        <v>1224</v>
      </c>
      <c r="H102" s="29">
        <f t="shared" si="23"/>
        <v>1224</v>
      </c>
      <c r="I102" s="29">
        <f t="shared" si="23"/>
        <v>1224</v>
      </c>
      <c r="J102" s="29">
        <f t="shared" si="23"/>
        <v>1224</v>
      </c>
      <c r="K102" s="29">
        <f t="shared" si="23"/>
        <v>1224</v>
      </c>
      <c r="L102" s="29">
        <f t="shared" si="23"/>
        <v>1224</v>
      </c>
      <c r="M102" s="29">
        <f t="shared" si="23"/>
        <v>1224</v>
      </c>
      <c r="N102" s="29">
        <f t="shared" si="23"/>
        <v>1224</v>
      </c>
      <c r="O102" s="29">
        <f t="shared" si="23"/>
        <v>1224</v>
      </c>
      <c r="P102" s="29">
        <f t="shared" si="23"/>
        <v>1224</v>
      </c>
    </row>
    <row r="103" spans="2:16">
      <c r="B103" s="44" t="s">
        <v>49</v>
      </c>
      <c r="C103" s="202" t="s">
        <v>126</v>
      </c>
      <c r="D103" s="100">
        <v>6.2</v>
      </c>
      <c r="E103" s="101">
        <v>2200</v>
      </c>
      <c r="F103" s="62"/>
      <c r="G103" s="29">
        <f t="shared" si="25"/>
        <v>13640</v>
      </c>
      <c r="H103" s="29">
        <f t="shared" si="23"/>
        <v>13640</v>
      </c>
      <c r="I103" s="29">
        <f t="shared" si="23"/>
        <v>13640</v>
      </c>
      <c r="J103" s="29">
        <f t="shared" si="23"/>
        <v>13640</v>
      </c>
      <c r="K103" s="29">
        <f t="shared" si="23"/>
        <v>13640</v>
      </c>
      <c r="L103" s="29">
        <f t="shared" si="23"/>
        <v>13640</v>
      </c>
      <c r="M103" s="29">
        <f t="shared" si="23"/>
        <v>13640</v>
      </c>
      <c r="N103" s="29">
        <f t="shared" si="23"/>
        <v>13640</v>
      </c>
      <c r="O103" s="29">
        <f t="shared" si="23"/>
        <v>13640</v>
      </c>
      <c r="P103" s="29">
        <f t="shared" si="23"/>
        <v>13640</v>
      </c>
    </row>
    <row r="104" spans="2:16">
      <c r="B104" s="44" t="s">
        <v>96</v>
      </c>
      <c r="C104" s="202" t="s">
        <v>126</v>
      </c>
      <c r="D104" s="100">
        <v>1.9</v>
      </c>
      <c r="E104" s="101">
        <v>395</v>
      </c>
      <c r="F104" s="62"/>
      <c r="G104" s="29">
        <f t="shared" si="25"/>
        <v>750.5</v>
      </c>
      <c r="H104" s="29">
        <f t="shared" si="25"/>
        <v>750.5</v>
      </c>
      <c r="I104" s="29">
        <f t="shared" si="25"/>
        <v>750.5</v>
      </c>
      <c r="J104" s="29">
        <f t="shared" si="25"/>
        <v>750.5</v>
      </c>
      <c r="K104" s="29">
        <f t="shared" si="25"/>
        <v>750.5</v>
      </c>
      <c r="L104" s="29">
        <f t="shared" si="25"/>
        <v>750.5</v>
      </c>
      <c r="M104" s="29">
        <f t="shared" si="25"/>
        <v>750.5</v>
      </c>
      <c r="N104" s="29">
        <f t="shared" si="25"/>
        <v>750.5</v>
      </c>
      <c r="O104" s="29">
        <f t="shared" si="25"/>
        <v>750.5</v>
      </c>
      <c r="P104" s="29">
        <f t="shared" si="25"/>
        <v>750.5</v>
      </c>
    </row>
    <row r="105" spans="2:16">
      <c r="B105" s="44" t="s">
        <v>49</v>
      </c>
      <c r="C105" s="202" t="s">
        <v>127</v>
      </c>
      <c r="D105" s="100">
        <v>6</v>
      </c>
      <c r="E105" s="101">
        <v>360</v>
      </c>
      <c r="F105" s="62"/>
      <c r="G105" s="29">
        <f t="shared" si="25"/>
        <v>2160</v>
      </c>
      <c r="H105" s="29">
        <f t="shared" si="23"/>
        <v>2160</v>
      </c>
      <c r="I105" s="29">
        <f t="shared" si="23"/>
        <v>2160</v>
      </c>
      <c r="J105" s="29">
        <f t="shared" si="23"/>
        <v>2160</v>
      </c>
      <c r="K105" s="29">
        <f t="shared" si="23"/>
        <v>2160</v>
      </c>
      <c r="L105" s="29">
        <f t="shared" si="23"/>
        <v>2160</v>
      </c>
      <c r="M105" s="29">
        <f t="shared" si="23"/>
        <v>2160</v>
      </c>
      <c r="N105" s="29">
        <f t="shared" si="23"/>
        <v>2160</v>
      </c>
      <c r="O105" s="29">
        <f t="shared" si="23"/>
        <v>2160</v>
      </c>
      <c r="P105" s="29">
        <f t="shared" si="23"/>
        <v>2160</v>
      </c>
    </row>
  </sheetData>
  <mergeCells count="2">
    <mergeCell ref="B20:P20"/>
    <mergeCell ref="B11:P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78"/>
  <sheetViews>
    <sheetView view="pageBreakPreview" zoomScale="85" zoomScaleNormal="80" zoomScaleSheetLayoutView="85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N29" sqref="N29"/>
    </sheetView>
  </sheetViews>
  <sheetFormatPr defaultRowHeight="14.5"/>
  <cols>
    <col min="1" max="1" width="5.453125" customWidth="1"/>
    <col min="2" max="2" width="34.7265625" customWidth="1"/>
    <col min="3" max="3" width="14.26953125" customWidth="1"/>
    <col min="4" max="4" width="14.1796875" customWidth="1"/>
    <col min="5" max="5" width="11.453125" customWidth="1"/>
    <col min="6" max="11" width="9.26953125" bestFit="1" customWidth="1"/>
    <col min="12" max="12" width="11.26953125" customWidth="1"/>
    <col min="13" max="14" width="9.26953125" bestFit="1" customWidth="1"/>
    <col min="15" max="15" width="10.7265625" bestFit="1" customWidth="1"/>
    <col min="16" max="16" width="6.81640625" customWidth="1"/>
  </cols>
  <sheetData>
    <row r="2" spans="2:15">
      <c r="B2" s="84" t="s">
        <v>79</v>
      </c>
    </row>
    <row r="3" spans="2:15" ht="15" thickBot="1">
      <c r="B3" t="s">
        <v>93</v>
      </c>
      <c r="F3" s="179">
        <f>Данные_Экскаватор!E7</f>
        <v>0.94292237442922378</v>
      </c>
      <c r="G3" s="179">
        <f>Данные_Экскаватор!F7</f>
        <v>0.93315575849822419</v>
      </c>
      <c r="H3" s="179">
        <f>Данные_Экскаватор!G7</f>
        <v>0.90651953323186207</v>
      </c>
      <c r="I3" s="179">
        <f>Данные_Экскаватор!H7</f>
        <v>0.89564307458143066</v>
      </c>
      <c r="J3" s="179">
        <f>Данные_Экскаватор!I7</f>
        <v>0.94381024860476914</v>
      </c>
      <c r="K3" s="179">
        <f>Данные_Экскаватор!J7</f>
        <v>0.87167047184170465</v>
      </c>
      <c r="L3" s="179">
        <f>Данные_Экскаватор!K7</f>
        <v>0.89564307458143066</v>
      </c>
      <c r="M3" s="179">
        <f>Данные_Экскаватор!L7</f>
        <v>0.90651953323186207</v>
      </c>
      <c r="N3" s="179">
        <f>Данные_Экскаватор!M7</f>
        <v>0.92916032470826992</v>
      </c>
      <c r="O3" s="179">
        <f>Данные_Экскаватор!N7</f>
        <v>0.92827245053272456</v>
      </c>
    </row>
    <row r="4" spans="2:15" s="109" customFormat="1" ht="22.9" customHeight="1">
      <c r="B4" s="159" t="s">
        <v>81</v>
      </c>
      <c r="C4" s="175" t="s">
        <v>87</v>
      </c>
      <c r="D4" s="158"/>
      <c r="E4" s="158"/>
      <c r="F4" s="155">
        <v>1</v>
      </c>
      <c r="G4" s="155">
        <f>F4+1</f>
        <v>2</v>
      </c>
      <c r="H4" s="155">
        <f t="shared" ref="H4:O4" si="0">G4+1</f>
        <v>3</v>
      </c>
      <c r="I4" s="155">
        <f t="shared" si="0"/>
        <v>4</v>
      </c>
      <c r="J4" s="155">
        <f t="shared" si="0"/>
        <v>5</v>
      </c>
      <c r="K4" s="155">
        <f t="shared" si="0"/>
        <v>6</v>
      </c>
      <c r="L4" s="155">
        <f t="shared" si="0"/>
        <v>7</v>
      </c>
      <c r="M4" s="155">
        <f t="shared" si="0"/>
        <v>8</v>
      </c>
      <c r="N4" s="155">
        <f t="shared" si="0"/>
        <v>9</v>
      </c>
      <c r="O4" s="155">
        <f t="shared" si="0"/>
        <v>10</v>
      </c>
    </row>
    <row r="5" spans="2:15">
      <c r="B5" s="40" t="s">
        <v>59</v>
      </c>
      <c r="C5" s="36" t="s">
        <v>61</v>
      </c>
      <c r="D5" s="20"/>
      <c r="E5" s="102"/>
      <c r="F5" s="34">
        <v>0</v>
      </c>
      <c r="G5" s="34">
        <f>F6+1</f>
        <v>7001</v>
      </c>
      <c r="H5" s="34">
        <f t="shared" ref="H5:O5" si="1">G6+1</f>
        <v>14001</v>
      </c>
      <c r="I5" s="34">
        <f t="shared" si="1"/>
        <v>21001</v>
      </c>
      <c r="J5" s="34">
        <f t="shared" si="1"/>
        <v>28001</v>
      </c>
      <c r="K5" s="34">
        <f t="shared" si="1"/>
        <v>35001</v>
      </c>
      <c r="L5" s="34">
        <f t="shared" si="1"/>
        <v>42001</v>
      </c>
      <c r="M5" s="34">
        <f t="shared" si="1"/>
        <v>49001</v>
      </c>
      <c r="N5" s="34">
        <f t="shared" si="1"/>
        <v>56001</v>
      </c>
      <c r="O5" s="34">
        <f t="shared" si="1"/>
        <v>63001</v>
      </c>
    </row>
    <row r="6" spans="2:15" ht="15" thickBot="1">
      <c r="B6" s="63" t="s">
        <v>60</v>
      </c>
      <c r="C6" s="65" t="s">
        <v>61</v>
      </c>
      <c r="D6" s="105"/>
      <c r="E6" s="103">
        <f>ТО!F6</f>
        <v>7000</v>
      </c>
      <c r="F6" s="104">
        <f>E6</f>
        <v>7000</v>
      </c>
      <c r="G6" s="104">
        <f t="shared" ref="G6:O6" si="2">F6+$E6</f>
        <v>14000</v>
      </c>
      <c r="H6" s="104">
        <f t="shared" si="2"/>
        <v>21000</v>
      </c>
      <c r="I6" s="104">
        <f t="shared" si="2"/>
        <v>28000</v>
      </c>
      <c r="J6" s="104">
        <f t="shared" si="2"/>
        <v>35000</v>
      </c>
      <c r="K6" s="104">
        <f t="shared" si="2"/>
        <v>42000</v>
      </c>
      <c r="L6" s="104">
        <f t="shared" si="2"/>
        <v>49000</v>
      </c>
      <c r="M6" s="104">
        <f t="shared" si="2"/>
        <v>56000</v>
      </c>
      <c r="N6" s="104">
        <f t="shared" si="2"/>
        <v>63000</v>
      </c>
      <c r="O6" s="104">
        <f t="shared" si="2"/>
        <v>70000</v>
      </c>
    </row>
    <row r="7" spans="2:15" ht="15" thickBot="1">
      <c r="B7" s="133"/>
    </row>
    <row r="8" spans="2:15" ht="21.75" customHeight="1">
      <c r="B8" s="64" t="s">
        <v>63</v>
      </c>
      <c r="C8" s="81" t="s">
        <v>42</v>
      </c>
      <c r="D8" s="106"/>
      <c r="E8" s="107"/>
      <c r="F8" s="77">
        <f>F16</f>
        <v>140</v>
      </c>
      <c r="G8" s="77">
        <f t="shared" ref="G8:O8" si="3">G16</f>
        <v>236</v>
      </c>
      <c r="H8" s="77">
        <f t="shared" si="3"/>
        <v>476</v>
      </c>
      <c r="I8" s="77">
        <f t="shared" si="3"/>
        <v>574</v>
      </c>
      <c r="J8" s="77">
        <f t="shared" si="3"/>
        <v>140</v>
      </c>
      <c r="K8" s="77">
        <f t="shared" si="3"/>
        <v>790</v>
      </c>
      <c r="L8" s="77">
        <f t="shared" si="3"/>
        <v>574</v>
      </c>
      <c r="M8" s="77">
        <f t="shared" si="3"/>
        <v>476</v>
      </c>
      <c r="N8" s="77">
        <f t="shared" si="3"/>
        <v>272</v>
      </c>
      <c r="O8" s="77">
        <f t="shared" si="3"/>
        <v>280</v>
      </c>
    </row>
    <row r="9" spans="2:15" ht="21" customHeight="1">
      <c r="B9" s="42" t="s">
        <v>25</v>
      </c>
      <c r="C9" s="60" t="s">
        <v>77</v>
      </c>
      <c r="D9" s="11"/>
      <c r="E9" s="54"/>
      <c r="F9" s="78">
        <f>SUM(F10:F12)</f>
        <v>5600</v>
      </c>
      <c r="G9" s="19">
        <f t="shared" ref="G9:O9" si="4">SUM(G10:G12)</f>
        <v>103957.3</v>
      </c>
      <c r="H9" s="19">
        <f t="shared" si="4"/>
        <v>321762</v>
      </c>
      <c r="I9" s="19">
        <f t="shared" si="4"/>
        <v>665839.84</v>
      </c>
      <c r="J9" s="19">
        <f t="shared" si="4"/>
        <v>5600</v>
      </c>
      <c r="K9" s="19">
        <f t="shared" si="4"/>
        <v>1732916.06</v>
      </c>
      <c r="L9" s="19">
        <f t="shared" si="4"/>
        <v>665839.84</v>
      </c>
      <c r="M9" s="19">
        <f t="shared" si="4"/>
        <v>321762</v>
      </c>
      <c r="N9" s="19">
        <f t="shared" si="4"/>
        <v>106357.3</v>
      </c>
      <c r="O9" s="19">
        <f t="shared" si="4"/>
        <v>11200</v>
      </c>
    </row>
    <row r="10" spans="2:15" ht="23.25" customHeight="1">
      <c r="B10" s="43" t="s">
        <v>27</v>
      </c>
      <c r="C10" s="55" t="s">
        <v>77</v>
      </c>
      <c r="D10" s="13"/>
      <c r="E10" s="57"/>
      <c r="F10" s="79">
        <f>F34</f>
        <v>0</v>
      </c>
      <c r="G10" s="25">
        <f t="shared" ref="G10:O10" si="5">G34</f>
        <v>0</v>
      </c>
      <c r="H10" s="25">
        <f t="shared" si="5"/>
        <v>0</v>
      </c>
      <c r="I10" s="25">
        <f t="shared" si="5"/>
        <v>0</v>
      </c>
      <c r="J10" s="25">
        <f t="shared" si="5"/>
        <v>0</v>
      </c>
      <c r="K10" s="25">
        <f t="shared" si="5"/>
        <v>0</v>
      </c>
      <c r="L10" s="25">
        <f t="shared" si="5"/>
        <v>0</v>
      </c>
      <c r="M10" s="25">
        <f t="shared" si="5"/>
        <v>0</v>
      </c>
      <c r="N10" s="25">
        <f t="shared" si="5"/>
        <v>0</v>
      </c>
      <c r="O10" s="25">
        <f t="shared" si="5"/>
        <v>0</v>
      </c>
    </row>
    <row r="11" spans="2:15" ht="27.75" customHeight="1">
      <c r="B11" s="43" t="s">
        <v>28</v>
      </c>
      <c r="C11" s="55" t="s">
        <v>77</v>
      </c>
      <c r="D11" s="13"/>
      <c r="E11" s="57"/>
      <c r="F11" s="79">
        <f>F40</f>
        <v>0</v>
      </c>
      <c r="G11" s="25">
        <f t="shared" ref="G11:O11" si="6">G40</f>
        <v>90357.3</v>
      </c>
      <c r="H11" s="25">
        <f t="shared" si="6"/>
        <v>299882</v>
      </c>
      <c r="I11" s="25">
        <f t="shared" si="6"/>
        <v>628239.84</v>
      </c>
      <c r="J11" s="25">
        <f t="shared" si="6"/>
        <v>0</v>
      </c>
      <c r="K11" s="25">
        <f t="shared" si="6"/>
        <v>1639836.06</v>
      </c>
      <c r="L11" s="25">
        <f t="shared" si="6"/>
        <v>628239.84</v>
      </c>
      <c r="M11" s="25">
        <f t="shared" si="6"/>
        <v>299882</v>
      </c>
      <c r="N11" s="25">
        <f t="shared" si="6"/>
        <v>90357.3</v>
      </c>
      <c r="O11" s="25">
        <f t="shared" si="6"/>
        <v>0</v>
      </c>
    </row>
    <row r="12" spans="2:15" ht="23.25" customHeight="1" thickBot="1">
      <c r="B12" s="46" t="s">
        <v>29</v>
      </c>
      <c r="C12" s="82" t="s">
        <v>77</v>
      </c>
      <c r="D12" s="108"/>
      <c r="E12" s="59"/>
      <c r="F12" s="80">
        <f>SUMPRODUCT($D26:$D30,F$26:F$30)</f>
        <v>5600</v>
      </c>
      <c r="G12" s="80">
        <f>SUMPRODUCT($D26:$D30,G$26:G$30)</f>
        <v>13600</v>
      </c>
      <c r="H12" s="80">
        <f>SUMPRODUCT($D26:$D30,H$26:H$30)</f>
        <v>21880</v>
      </c>
      <c r="I12" s="80">
        <f>SUMPRODUCT($D26:$D30,I$26:I$30)</f>
        <v>37600</v>
      </c>
      <c r="J12" s="80">
        <f>SUMPRODUCT($D26:$D30,J$26:J$30)</f>
        <v>5600</v>
      </c>
      <c r="K12" s="80">
        <f t="shared" ref="K12:O12" si="7">SUMPRODUCT($D26:$D30,K$26:K$30)</f>
        <v>93080</v>
      </c>
      <c r="L12" s="80">
        <f t="shared" si="7"/>
        <v>37600</v>
      </c>
      <c r="M12" s="80">
        <f t="shared" si="7"/>
        <v>21880</v>
      </c>
      <c r="N12" s="80">
        <f t="shared" si="7"/>
        <v>16000</v>
      </c>
      <c r="O12" s="80">
        <f t="shared" si="7"/>
        <v>11200</v>
      </c>
    </row>
    <row r="13" spans="2:15" ht="18" customHeight="1">
      <c r="B13" s="21"/>
      <c r="C13" s="164"/>
      <c r="D13" s="164"/>
      <c r="E13" s="164"/>
      <c r="F13" s="165"/>
      <c r="G13" s="165"/>
      <c r="H13" s="165"/>
      <c r="I13" s="165"/>
      <c r="J13" s="165"/>
      <c r="K13" s="165"/>
      <c r="L13" s="165"/>
      <c r="M13" s="165"/>
      <c r="N13" s="165"/>
      <c r="O13" s="165"/>
    </row>
    <row r="14" spans="2:15" ht="23.25" customHeight="1" thickBot="1">
      <c r="B14" s="75" t="s">
        <v>82</v>
      </c>
      <c r="C14" s="164"/>
      <c r="D14" s="164"/>
      <c r="E14" s="164"/>
      <c r="F14" s="165"/>
      <c r="G14" s="165"/>
      <c r="H14" s="165"/>
      <c r="I14" s="165"/>
      <c r="J14" s="165"/>
      <c r="K14" s="165"/>
      <c r="L14" s="165"/>
      <c r="M14" s="165"/>
      <c r="N14" s="165"/>
      <c r="O14" s="165"/>
    </row>
    <row r="15" spans="2:15" ht="16.5" customHeight="1" thickBot="1">
      <c r="B15" s="143" t="s">
        <v>86</v>
      </c>
      <c r="C15" s="175" t="s">
        <v>87</v>
      </c>
      <c r="D15" s="181"/>
      <c r="E15" s="181"/>
      <c r="F15" s="182">
        <f>F4</f>
        <v>1</v>
      </c>
      <c r="G15" s="182">
        <f t="shared" ref="G15:O15" si="8">G4</f>
        <v>2</v>
      </c>
      <c r="H15" s="182">
        <f t="shared" si="8"/>
        <v>3</v>
      </c>
      <c r="I15" s="182">
        <f t="shared" si="8"/>
        <v>4</v>
      </c>
      <c r="J15" s="182">
        <f t="shared" si="8"/>
        <v>5</v>
      </c>
      <c r="K15" s="182">
        <f t="shared" si="8"/>
        <v>6</v>
      </c>
      <c r="L15" s="182">
        <f t="shared" si="8"/>
        <v>7</v>
      </c>
      <c r="M15" s="182">
        <f t="shared" si="8"/>
        <v>8</v>
      </c>
      <c r="N15" s="182">
        <f t="shared" si="8"/>
        <v>9</v>
      </c>
      <c r="O15" s="182">
        <f t="shared" si="8"/>
        <v>10</v>
      </c>
    </row>
    <row r="16" spans="2:15" ht="16.5" customHeight="1" thickBot="1">
      <c r="B16" s="166" t="s">
        <v>88</v>
      </c>
      <c r="C16" s="167"/>
      <c r="D16" s="13"/>
      <c r="E16" s="13"/>
      <c r="F16" s="178">
        <f>SUM(F17:F21)</f>
        <v>140</v>
      </c>
      <c r="G16" s="178">
        <f t="shared" ref="G16:O16" si="9">SUM(G17:G21)</f>
        <v>236</v>
      </c>
      <c r="H16" s="178">
        <f t="shared" si="9"/>
        <v>476</v>
      </c>
      <c r="I16" s="178">
        <f t="shared" si="9"/>
        <v>574</v>
      </c>
      <c r="J16" s="178">
        <f t="shared" si="9"/>
        <v>140</v>
      </c>
      <c r="K16" s="178">
        <f t="shared" si="9"/>
        <v>790</v>
      </c>
      <c r="L16" s="178">
        <f t="shared" si="9"/>
        <v>574</v>
      </c>
      <c r="M16" s="178">
        <f t="shared" si="9"/>
        <v>476</v>
      </c>
      <c r="N16" s="178">
        <f t="shared" si="9"/>
        <v>272</v>
      </c>
      <c r="O16" s="178">
        <f t="shared" si="9"/>
        <v>280</v>
      </c>
    </row>
    <row r="17" spans="2:15" ht="16.5" customHeight="1">
      <c r="B17" s="134" t="s">
        <v>97</v>
      </c>
      <c r="C17" s="176" t="s">
        <v>42</v>
      </c>
      <c r="D17" s="13"/>
      <c r="E17" s="13"/>
      <c r="F17" s="180"/>
      <c r="G17" s="180">
        <v>96</v>
      </c>
      <c r="H17" s="180"/>
      <c r="I17" s="180">
        <v>72</v>
      </c>
      <c r="J17" s="180"/>
      <c r="K17" s="180">
        <v>72</v>
      </c>
      <c r="L17" s="180">
        <v>72</v>
      </c>
      <c r="M17" s="180"/>
      <c r="N17" s="180">
        <v>72</v>
      </c>
      <c r="O17" s="180"/>
    </row>
    <row r="18" spans="2:15" ht="16.5" customHeight="1">
      <c r="B18" s="134" t="s">
        <v>107</v>
      </c>
      <c r="C18" s="176" t="s">
        <v>42</v>
      </c>
      <c r="D18" s="13"/>
      <c r="E18" s="13"/>
      <c r="F18" s="180"/>
      <c r="G18" s="180"/>
      <c r="H18" s="180">
        <v>336</v>
      </c>
      <c r="I18" s="180"/>
      <c r="J18" s="180"/>
      <c r="K18" s="180">
        <v>336</v>
      </c>
      <c r="L18" s="180"/>
      <c r="M18" s="180">
        <v>336</v>
      </c>
      <c r="N18" s="180"/>
      <c r="O18" s="180"/>
    </row>
    <row r="19" spans="2:15" ht="16.5" customHeight="1">
      <c r="B19" s="134" t="s">
        <v>112</v>
      </c>
      <c r="C19" s="176" t="s">
        <v>42</v>
      </c>
      <c r="D19" s="13"/>
      <c r="E19" s="13"/>
      <c r="F19" s="180"/>
      <c r="G19" s="180"/>
      <c r="H19" s="180"/>
      <c r="I19" s="180">
        <v>432</v>
      </c>
      <c r="J19" s="180"/>
      <c r="K19" s="180"/>
      <c r="L19" s="180">
        <v>432</v>
      </c>
      <c r="M19" s="180"/>
      <c r="N19" s="180"/>
      <c r="O19" s="180"/>
    </row>
    <row r="20" spans="2:15" ht="16.5" customHeight="1">
      <c r="B20" s="134" t="s">
        <v>116</v>
      </c>
      <c r="C20" s="176" t="s">
        <v>42</v>
      </c>
      <c r="D20" s="13"/>
      <c r="E20" s="13"/>
      <c r="F20" s="180"/>
      <c r="G20" s="180"/>
      <c r="H20" s="180"/>
      <c r="I20" s="180"/>
      <c r="J20" s="180"/>
      <c r="K20" s="180">
        <v>312</v>
      </c>
      <c r="L20" s="180"/>
      <c r="M20" s="180"/>
      <c r="N20" s="180"/>
      <c r="O20" s="180"/>
    </row>
    <row r="21" spans="2:15" ht="16.5" customHeight="1" thickBot="1">
      <c r="B21" s="169" t="s">
        <v>128</v>
      </c>
      <c r="C21" s="177" t="s">
        <v>42</v>
      </c>
      <c r="D21" s="108"/>
      <c r="E21" s="108"/>
      <c r="F21" s="184">
        <v>140</v>
      </c>
      <c r="G21" s="184">
        <v>140</v>
      </c>
      <c r="H21" s="184">
        <v>140</v>
      </c>
      <c r="I21" s="184">
        <v>70</v>
      </c>
      <c r="J21" s="184">
        <v>140</v>
      </c>
      <c r="K21" s="184">
        <v>70</v>
      </c>
      <c r="L21" s="184">
        <v>70</v>
      </c>
      <c r="M21" s="184">
        <v>140</v>
      </c>
      <c r="N21" s="184">
        <v>200</v>
      </c>
      <c r="O21" s="184">
        <v>280</v>
      </c>
    </row>
    <row r="22" spans="2:15" ht="16.5" customHeight="1">
      <c r="B22" s="21"/>
      <c r="C22" s="171"/>
      <c r="D22" s="164"/>
      <c r="E22" s="164"/>
      <c r="F22" s="165"/>
      <c r="G22" s="165"/>
      <c r="H22" s="165"/>
      <c r="I22" s="165"/>
      <c r="J22" s="165"/>
      <c r="K22" s="165"/>
      <c r="L22" s="165"/>
      <c r="M22" s="165"/>
      <c r="N22" s="165"/>
      <c r="O22" s="165"/>
    </row>
    <row r="23" spans="2:15" ht="16.5" customHeight="1" thickBot="1">
      <c r="B23" s="172" t="s">
        <v>89</v>
      </c>
      <c r="C23" s="171"/>
      <c r="D23" s="26">
        <f>ТО!F10</f>
        <v>40</v>
      </c>
      <c r="E23" s="164"/>
      <c r="F23" s="165"/>
      <c r="G23" s="165"/>
      <c r="H23" s="165"/>
      <c r="I23" s="165"/>
      <c r="J23" s="165"/>
      <c r="K23" s="165"/>
      <c r="L23" s="165"/>
      <c r="M23" s="165"/>
      <c r="N23" s="165"/>
      <c r="O23" s="165"/>
    </row>
    <row r="24" spans="2:15" ht="24.75" customHeight="1" thickBot="1">
      <c r="B24" s="143" t="s">
        <v>86</v>
      </c>
      <c r="C24" s="175" t="s">
        <v>87</v>
      </c>
      <c r="D24" s="185" t="s">
        <v>92</v>
      </c>
      <c r="E24" s="181"/>
      <c r="F24" s="182">
        <f>F15</f>
        <v>1</v>
      </c>
      <c r="G24" s="182">
        <f t="shared" ref="G24:O24" si="10">G15</f>
        <v>2</v>
      </c>
      <c r="H24" s="182">
        <f t="shared" si="10"/>
        <v>3</v>
      </c>
      <c r="I24" s="182">
        <f t="shared" si="10"/>
        <v>4</v>
      </c>
      <c r="J24" s="182">
        <f t="shared" si="10"/>
        <v>5</v>
      </c>
      <c r="K24" s="182">
        <f t="shared" si="10"/>
        <v>6</v>
      </c>
      <c r="L24" s="182">
        <f t="shared" si="10"/>
        <v>7</v>
      </c>
      <c r="M24" s="182">
        <f t="shared" si="10"/>
        <v>8</v>
      </c>
      <c r="N24" s="182">
        <f t="shared" si="10"/>
        <v>9</v>
      </c>
      <c r="O24" s="182">
        <f t="shared" si="10"/>
        <v>10</v>
      </c>
    </row>
    <row r="25" spans="2:15" ht="15" customHeight="1" thickBot="1">
      <c r="B25" s="166" t="s">
        <v>91</v>
      </c>
      <c r="C25" s="19" t="s">
        <v>90</v>
      </c>
      <c r="D25" s="13"/>
      <c r="E25" s="13"/>
      <c r="F25" s="178">
        <f>SUM(F26:F30)</f>
        <v>140</v>
      </c>
      <c r="G25" s="178">
        <f t="shared" ref="G25:O25" si="11">SUM(G26:G30)</f>
        <v>340</v>
      </c>
      <c r="H25" s="178">
        <f t="shared" si="11"/>
        <v>547</v>
      </c>
      <c r="I25" s="178">
        <f t="shared" si="11"/>
        <v>940</v>
      </c>
      <c r="J25" s="178">
        <f t="shared" si="11"/>
        <v>140</v>
      </c>
      <c r="K25" s="178">
        <f t="shared" si="11"/>
        <v>2327</v>
      </c>
      <c r="L25" s="178">
        <f t="shared" si="11"/>
        <v>940</v>
      </c>
      <c r="M25" s="178">
        <f t="shared" si="11"/>
        <v>547</v>
      </c>
      <c r="N25" s="178">
        <f t="shared" si="11"/>
        <v>400</v>
      </c>
      <c r="O25" s="178">
        <f t="shared" si="11"/>
        <v>280</v>
      </c>
    </row>
    <row r="26" spans="2:15" ht="16.5" customHeight="1">
      <c r="B26" s="173" t="s">
        <v>97</v>
      </c>
      <c r="C26" s="168" t="s">
        <v>90</v>
      </c>
      <c r="D26" s="26">
        <f>$D$23</f>
        <v>40</v>
      </c>
      <c r="E26" s="13"/>
      <c r="F26" s="180"/>
      <c r="G26" s="180">
        <v>200</v>
      </c>
      <c r="H26" s="180"/>
      <c r="I26" s="180">
        <v>200</v>
      </c>
      <c r="J26" s="180"/>
      <c r="K26" s="180">
        <v>200</v>
      </c>
      <c r="L26" s="180">
        <v>200</v>
      </c>
      <c r="M26" s="180"/>
      <c r="N26" s="180">
        <v>200</v>
      </c>
      <c r="O26" s="180"/>
    </row>
    <row r="27" spans="2:15" ht="16.5" customHeight="1">
      <c r="B27" s="173" t="s">
        <v>107</v>
      </c>
      <c r="C27" s="168" t="s">
        <v>90</v>
      </c>
      <c r="D27" s="26">
        <f t="shared" ref="D27:D30" si="12">$D$23</f>
        <v>40</v>
      </c>
      <c r="E27" s="13"/>
      <c r="F27" s="180"/>
      <c r="G27" s="180"/>
      <c r="H27" s="180">
        <v>407</v>
      </c>
      <c r="I27" s="180"/>
      <c r="J27" s="180"/>
      <c r="K27" s="180">
        <v>407</v>
      </c>
      <c r="L27" s="180"/>
      <c r="M27" s="180">
        <v>407</v>
      </c>
      <c r="N27" s="180"/>
      <c r="O27" s="180"/>
    </row>
    <row r="28" spans="2:15" ht="16.5" customHeight="1">
      <c r="B28" s="173" t="s">
        <v>112</v>
      </c>
      <c r="C28" s="168" t="s">
        <v>90</v>
      </c>
      <c r="D28" s="26">
        <f t="shared" si="12"/>
        <v>40</v>
      </c>
      <c r="E28" s="13"/>
      <c r="F28" s="180"/>
      <c r="G28" s="180"/>
      <c r="H28" s="180"/>
      <c r="I28" s="180">
        <v>670</v>
      </c>
      <c r="J28" s="180"/>
      <c r="K28" s="180"/>
      <c r="L28" s="180">
        <v>670</v>
      </c>
      <c r="M28" s="180"/>
      <c r="N28" s="180"/>
      <c r="O28" s="180"/>
    </row>
    <row r="29" spans="2:15" ht="16.5" customHeight="1">
      <c r="B29" s="173" t="s">
        <v>116</v>
      </c>
      <c r="C29" s="168" t="s">
        <v>90</v>
      </c>
      <c r="D29" s="26">
        <f t="shared" si="12"/>
        <v>40</v>
      </c>
      <c r="E29" s="13"/>
      <c r="F29" s="180"/>
      <c r="G29" s="180"/>
      <c r="H29" s="180"/>
      <c r="I29" s="180"/>
      <c r="J29" s="180"/>
      <c r="K29" s="180">
        <v>1650</v>
      </c>
      <c r="L29" s="180"/>
      <c r="M29" s="180"/>
      <c r="N29" s="180"/>
      <c r="O29" s="180"/>
    </row>
    <row r="30" spans="2:15" ht="16.5" customHeight="1" thickBot="1">
      <c r="B30" s="174" t="s">
        <v>129</v>
      </c>
      <c r="C30" s="170" t="s">
        <v>90</v>
      </c>
      <c r="D30" s="183">
        <f t="shared" si="12"/>
        <v>40</v>
      </c>
      <c r="E30" s="108"/>
      <c r="F30" s="184">
        <v>140</v>
      </c>
      <c r="G30" s="184">
        <v>140</v>
      </c>
      <c r="H30" s="184">
        <v>140</v>
      </c>
      <c r="I30" s="184">
        <v>70</v>
      </c>
      <c r="J30" s="184">
        <v>140</v>
      </c>
      <c r="K30" s="184">
        <v>70</v>
      </c>
      <c r="L30" s="184">
        <v>70</v>
      </c>
      <c r="M30" s="184">
        <v>140</v>
      </c>
      <c r="N30" s="184">
        <v>200</v>
      </c>
      <c r="O30" s="184">
        <v>280</v>
      </c>
    </row>
    <row r="31" spans="2:15">
      <c r="B31" s="21"/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thickBot="1">
      <c r="B32" s="75" t="s">
        <v>83</v>
      </c>
      <c r="F32" s="22"/>
    </row>
    <row r="33" spans="2:15" ht="39.5" thickBot="1">
      <c r="B33" s="160" t="s">
        <v>32</v>
      </c>
      <c r="C33" s="161" t="s">
        <v>78</v>
      </c>
      <c r="D33" s="162" t="s">
        <v>75</v>
      </c>
      <c r="E33" s="162" t="s">
        <v>76</v>
      </c>
      <c r="F33" s="163" t="s">
        <v>39</v>
      </c>
      <c r="G33" s="163" t="s">
        <v>39</v>
      </c>
      <c r="H33" s="163" t="s">
        <v>39</v>
      </c>
      <c r="I33" s="163" t="s">
        <v>39</v>
      </c>
      <c r="J33" s="163" t="s">
        <v>39</v>
      </c>
      <c r="K33" s="163" t="s">
        <v>39</v>
      </c>
      <c r="L33" s="163" t="s">
        <v>39</v>
      </c>
      <c r="M33" s="163" t="s">
        <v>39</v>
      </c>
      <c r="N33" s="163" t="s">
        <v>39</v>
      </c>
      <c r="O33" s="163" t="s">
        <v>39</v>
      </c>
    </row>
    <row r="34" spans="2:15" ht="28.5" customHeight="1" thickBot="1">
      <c r="B34" s="68" t="s">
        <v>66</v>
      </c>
      <c r="C34" s="67"/>
      <c r="D34" s="66"/>
      <c r="E34" s="66"/>
      <c r="F34" s="69">
        <f>SUM(F35:F39)</f>
        <v>0</v>
      </c>
      <c r="G34" s="69">
        <f t="shared" ref="G34" si="13">SUM(G35:G39)</f>
        <v>0</v>
      </c>
      <c r="H34" s="69">
        <f t="shared" ref="H34" si="14">SUM(H35:H39)</f>
        <v>0</v>
      </c>
      <c r="I34" s="69">
        <f t="shared" ref="I34" si="15">SUM(I35:I39)</f>
        <v>0</v>
      </c>
      <c r="J34" s="69">
        <f t="shared" ref="J34" si="16">SUM(J35:J39)</f>
        <v>0</v>
      </c>
      <c r="K34" s="69">
        <f t="shared" ref="K34" si="17">SUM(K35:K39)</f>
        <v>0</v>
      </c>
      <c r="L34" s="69">
        <f t="shared" ref="L34" si="18">SUM(L35:L39)</f>
        <v>0</v>
      </c>
      <c r="M34" s="69">
        <f t="shared" ref="M34" si="19">SUM(M35:M39)</f>
        <v>0</v>
      </c>
      <c r="N34" s="69">
        <f t="shared" ref="N34" si="20">SUM(N35:N39)</f>
        <v>0</v>
      </c>
      <c r="O34" s="69">
        <f t="shared" ref="O34" si="21">SUM(O35:O39)</f>
        <v>0</v>
      </c>
    </row>
    <row r="35" spans="2:15">
      <c r="B35" s="70" t="s">
        <v>43</v>
      </c>
      <c r="C35" s="124"/>
      <c r="D35" s="125"/>
      <c r="E35" s="126"/>
      <c r="F35" s="72">
        <f>$E35*$C35</f>
        <v>0</v>
      </c>
      <c r="G35" s="72">
        <f t="shared" ref="F35:O39" si="22">$E35*$C35</f>
        <v>0</v>
      </c>
      <c r="H35" s="72">
        <f t="shared" si="22"/>
        <v>0</v>
      </c>
      <c r="I35" s="72">
        <f t="shared" si="22"/>
        <v>0</v>
      </c>
      <c r="J35" s="72">
        <f t="shared" si="22"/>
        <v>0</v>
      </c>
      <c r="K35" s="72">
        <f t="shared" si="22"/>
        <v>0</v>
      </c>
      <c r="L35" s="72">
        <f t="shared" si="22"/>
        <v>0</v>
      </c>
      <c r="M35" s="72">
        <f t="shared" si="22"/>
        <v>0</v>
      </c>
      <c r="N35" s="72">
        <f t="shared" si="22"/>
        <v>0</v>
      </c>
      <c r="O35" s="72">
        <f t="shared" si="22"/>
        <v>0</v>
      </c>
    </row>
    <row r="36" spans="2:15" ht="29">
      <c r="B36" s="71" t="s">
        <v>44</v>
      </c>
      <c r="C36" s="127"/>
      <c r="D36" s="128"/>
      <c r="E36" s="129"/>
      <c r="F36" s="34">
        <f t="shared" si="22"/>
        <v>0</v>
      </c>
      <c r="G36" s="34">
        <f t="shared" si="22"/>
        <v>0</v>
      </c>
      <c r="H36" s="34">
        <f t="shared" si="22"/>
        <v>0</v>
      </c>
      <c r="I36" s="34">
        <f t="shared" si="22"/>
        <v>0</v>
      </c>
      <c r="J36" s="34">
        <f t="shared" si="22"/>
        <v>0</v>
      </c>
      <c r="K36" s="34">
        <f t="shared" si="22"/>
        <v>0</v>
      </c>
      <c r="L36" s="34">
        <f t="shared" si="22"/>
        <v>0</v>
      </c>
      <c r="M36" s="34">
        <f t="shared" si="22"/>
        <v>0</v>
      </c>
      <c r="N36" s="34">
        <f t="shared" si="22"/>
        <v>0</v>
      </c>
      <c r="O36" s="34">
        <f t="shared" si="22"/>
        <v>0</v>
      </c>
    </row>
    <row r="37" spans="2:15">
      <c r="B37" s="45" t="s">
        <v>45</v>
      </c>
      <c r="C37" s="127"/>
      <c r="D37" s="128"/>
      <c r="E37" s="129"/>
      <c r="F37" s="34">
        <f t="shared" si="22"/>
        <v>0</v>
      </c>
      <c r="G37" s="34">
        <f t="shared" si="22"/>
        <v>0</v>
      </c>
      <c r="H37" s="34">
        <f t="shared" si="22"/>
        <v>0</v>
      </c>
      <c r="I37" s="34">
        <f t="shared" si="22"/>
        <v>0</v>
      </c>
      <c r="J37" s="34">
        <f t="shared" si="22"/>
        <v>0</v>
      </c>
      <c r="K37" s="34">
        <f t="shared" si="22"/>
        <v>0</v>
      </c>
      <c r="L37" s="34">
        <f t="shared" si="22"/>
        <v>0</v>
      </c>
      <c r="M37" s="34">
        <f t="shared" si="22"/>
        <v>0</v>
      </c>
      <c r="N37" s="34">
        <f t="shared" si="22"/>
        <v>0</v>
      </c>
      <c r="O37" s="34">
        <f t="shared" si="22"/>
        <v>0</v>
      </c>
    </row>
    <row r="38" spans="2:15">
      <c r="B38" s="45" t="s">
        <v>45</v>
      </c>
      <c r="C38" s="127"/>
      <c r="D38" s="128"/>
      <c r="E38" s="129"/>
      <c r="F38" s="34">
        <f t="shared" si="22"/>
        <v>0</v>
      </c>
      <c r="G38" s="34">
        <f t="shared" si="22"/>
        <v>0</v>
      </c>
      <c r="H38" s="34">
        <f t="shared" si="22"/>
        <v>0</v>
      </c>
      <c r="I38" s="34">
        <f t="shared" si="22"/>
        <v>0</v>
      </c>
      <c r="J38" s="34">
        <f t="shared" si="22"/>
        <v>0</v>
      </c>
      <c r="K38" s="34">
        <f t="shared" si="22"/>
        <v>0</v>
      </c>
      <c r="L38" s="34">
        <f t="shared" si="22"/>
        <v>0</v>
      </c>
      <c r="M38" s="34">
        <f t="shared" si="22"/>
        <v>0</v>
      </c>
      <c r="N38" s="34">
        <f t="shared" si="22"/>
        <v>0</v>
      </c>
      <c r="O38" s="34">
        <f t="shared" si="22"/>
        <v>0</v>
      </c>
    </row>
    <row r="39" spans="2:15" ht="15" thickBot="1">
      <c r="B39" s="73" t="s">
        <v>45</v>
      </c>
      <c r="C39" s="130"/>
      <c r="D39" s="131"/>
      <c r="E39" s="132"/>
      <c r="F39" s="74">
        <f t="shared" si="22"/>
        <v>0</v>
      </c>
      <c r="G39" s="74">
        <f t="shared" si="22"/>
        <v>0</v>
      </c>
      <c r="H39" s="74">
        <f t="shared" si="22"/>
        <v>0</v>
      </c>
      <c r="I39" s="74">
        <f t="shared" si="22"/>
        <v>0</v>
      </c>
      <c r="J39" s="74">
        <f t="shared" si="22"/>
        <v>0</v>
      </c>
      <c r="K39" s="74">
        <f t="shared" si="22"/>
        <v>0</v>
      </c>
      <c r="L39" s="74">
        <f t="shared" si="22"/>
        <v>0</v>
      </c>
      <c r="M39" s="74">
        <f t="shared" si="22"/>
        <v>0</v>
      </c>
      <c r="N39" s="74">
        <f t="shared" si="22"/>
        <v>0</v>
      </c>
      <c r="O39" s="74">
        <f t="shared" si="22"/>
        <v>0</v>
      </c>
    </row>
    <row r="40" spans="2:15" ht="36" customHeight="1" thickBot="1">
      <c r="B40" s="68" t="s">
        <v>28</v>
      </c>
      <c r="C40" s="67"/>
      <c r="D40" s="66"/>
      <c r="E40" s="66"/>
      <c r="F40" s="69">
        <f t="shared" ref="F40:O40" si="23">SUM(F41:F72)</f>
        <v>0</v>
      </c>
      <c r="G40" s="69">
        <f t="shared" si="23"/>
        <v>90357.3</v>
      </c>
      <c r="H40" s="69">
        <f t="shared" si="23"/>
        <v>299882</v>
      </c>
      <c r="I40" s="69">
        <f t="shared" si="23"/>
        <v>628239.84</v>
      </c>
      <c r="J40" s="69">
        <f t="shared" si="23"/>
        <v>0</v>
      </c>
      <c r="K40" s="69">
        <f t="shared" si="23"/>
        <v>1639836.06</v>
      </c>
      <c r="L40" s="69">
        <f t="shared" si="23"/>
        <v>628239.84</v>
      </c>
      <c r="M40" s="69">
        <f t="shared" si="23"/>
        <v>299882</v>
      </c>
      <c r="N40" s="69">
        <f t="shared" si="23"/>
        <v>90357.3</v>
      </c>
      <c r="O40" s="69">
        <f t="shared" si="23"/>
        <v>0</v>
      </c>
    </row>
    <row r="41" spans="2:15">
      <c r="B41" s="110" t="s">
        <v>97</v>
      </c>
      <c r="C41" s="111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spans="2:15">
      <c r="B42" s="76" t="s">
        <v>98</v>
      </c>
      <c r="C42" s="127">
        <v>13827.3</v>
      </c>
      <c r="D42" s="135">
        <v>12000</v>
      </c>
      <c r="E42" s="116">
        <v>1</v>
      </c>
      <c r="F42" s="136"/>
      <c r="G42" s="136">
        <f>$C42*$E42</f>
        <v>13827.3</v>
      </c>
      <c r="H42" s="136"/>
      <c r="I42" s="136">
        <f>$C42*$E42</f>
        <v>13827.3</v>
      </c>
      <c r="J42" s="136"/>
      <c r="K42" s="136">
        <f t="shared" ref="K42:L45" si="24">$C42*$E42</f>
        <v>13827.3</v>
      </c>
      <c r="L42" s="136">
        <f t="shared" si="24"/>
        <v>13827.3</v>
      </c>
      <c r="M42" s="136"/>
      <c r="N42" s="136">
        <f>$C42*$E42</f>
        <v>13827.3</v>
      </c>
      <c r="O42" s="136"/>
    </row>
    <row r="43" spans="2:15">
      <c r="B43" s="76" t="s">
        <v>105</v>
      </c>
      <c r="C43" s="127">
        <v>58770</v>
      </c>
      <c r="D43" s="135">
        <v>12000</v>
      </c>
      <c r="E43" s="116">
        <v>1</v>
      </c>
      <c r="F43" s="136"/>
      <c r="G43" s="136">
        <f>$C43*$E43</f>
        <v>58770</v>
      </c>
      <c r="H43" s="136"/>
      <c r="I43" s="136">
        <f>$C43*$E43</f>
        <v>58770</v>
      </c>
      <c r="J43" s="136"/>
      <c r="K43" s="136">
        <f t="shared" si="24"/>
        <v>58770</v>
      </c>
      <c r="L43" s="136">
        <f t="shared" si="24"/>
        <v>58770</v>
      </c>
      <c r="M43" s="136"/>
      <c r="N43" s="136">
        <f>$C43*$E43</f>
        <v>58770</v>
      </c>
      <c r="O43" s="136"/>
    </row>
    <row r="44" spans="2:15">
      <c r="B44" s="76" t="s">
        <v>106</v>
      </c>
      <c r="C44" s="127">
        <v>1400</v>
      </c>
      <c r="D44" s="135">
        <v>12000</v>
      </c>
      <c r="E44" s="116">
        <v>4</v>
      </c>
      <c r="F44" s="136"/>
      <c r="G44" s="136">
        <f>$C44*$E44</f>
        <v>5600</v>
      </c>
      <c r="H44" s="136"/>
      <c r="I44" s="136">
        <f>$C44*$E44</f>
        <v>5600</v>
      </c>
      <c r="J44" s="136"/>
      <c r="K44" s="136">
        <f t="shared" si="24"/>
        <v>5600</v>
      </c>
      <c r="L44" s="136">
        <f t="shared" si="24"/>
        <v>5600</v>
      </c>
      <c r="M44" s="136"/>
      <c r="N44" s="136">
        <f>$C44*$E44</f>
        <v>5600</v>
      </c>
      <c r="O44" s="136"/>
    </row>
    <row r="45" spans="2:15">
      <c r="B45" s="76" t="s">
        <v>103</v>
      </c>
      <c r="C45" s="127">
        <v>6080</v>
      </c>
      <c r="D45" s="135">
        <v>12000</v>
      </c>
      <c r="E45" s="116">
        <v>2</v>
      </c>
      <c r="F45" s="136"/>
      <c r="G45" s="136">
        <f>$C45*$E45</f>
        <v>12160</v>
      </c>
      <c r="H45" s="136"/>
      <c r="I45" s="136">
        <f>$C45*$E45</f>
        <v>12160</v>
      </c>
      <c r="J45" s="136"/>
      <c r="K45" s="136">
        <f t="shared" si="24"/>
        <v>12160</v>
      </c>
      <c r="L45" s="136">
        <f t="shared" si="24"/>
        <v>12160</v>
      </c>
      <c r="M45" s="136"/>
      <c r="N45" s="136">
        <f>$C45*$E45</f>
        <v>12160</v>
      </c>
      <c r="O45" s="136"/>
    </row>
    <row r="46" spans="2:15">
      <c r="B46" s="45" t="s">
        <v>107</v>
      </c>
      <c r="C46" s="62"/>
      <c r="D46" s="20"/>
      <c r="E46" s="102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2:15">
      <c r="B47" s="76" t="s">
        <v>108</v>
      </c>
      <c r="C47" s="127">
        <v>58752</v>
      </c>
      <c r="D47" s="135">
        <v>18000</v>
      </c>
      <c r="E47" s="116">
        <v>1</v>
      </c>
      <c r="F47" s="136"/>
      <c r="G47" s="136"/>
      <c r="H47" s="136">
        <f>$C47*$E47</f>
        <v>58752</v>
      </c>
      <c r="I47" s="136"/>
      <c r="J47" s="136"/>
      <c r="K47" s="136">
        <f>$C47*$E47</f>
        <v>58752</v>
      </c>
      <c r="L47" s="136"/>
      <c r="M47" s="136">
        <f>$C47*$E47</f>
        <v>58752</v>
      </c>
      <c r="N47" s="136"/>
      <c r="O47" s="136"/>
    </row>
    <row r="48" spans="2:15">
      <c r="B48" s="76" t="s">
        <v>109</v>
      </c>
      <c r="C48" s="127">
        <v>154968</v>
      </c>
      <c r="D48" s="135">
        <v>18000</v>
      </c>
      <c r="E48" s="116">
        <v>1</v>
      </c>
      <c r="F48" s="136"/>
      <c r="G48" s="136"/>
      <c r="H48" s="136">
        <f>$C48*$E48</f>
        <v>154968</v>
      </c>
      <c r="I48" s="136"/>
      <c r="J48" s="136"/>
      <c r="K48" s="136">
        <f>$C48*$E48</f>
        <v>154968</v>
      </c>
      <c r="L48" s="136"/>
      <c r="M48" s="136">
        <f>$C48*$E48</f>
        <v>154968</v>
      </c>
      <c r="N48" s="136"/>
      <c r="O48" s="136"/>
    </row>
    <row r="49" spans="2:15">
      <c r="B49" s="76" t="s">
        <v>110</v>
      </c>
      <c r="C49" s="127">
        <v>55864</v>
      </c>
      <c r="D49" s="135">
        <v>18000</v>
      </c>
      <c r="E49" s="116">
        <v>1</v>
      </c>
      <c r="F49" s="136"/>
      <c r="G49" s="136"/>
      <c r="H49" s="136">
        <f>$C49</f>
        <v>55864</v>
      </c>
      <c r="I49" s="136"/>
      <c r="J49" s="136"/>
      <c r="K49" s="136">
        <f>$C49</f>
        <v>55864</v>
      </c>
      <c r="L49" s="136"/>
      <c r="M49" s="136">
        <f>$C49</f>
        <v>55864</v>
      </c>
      <c r="N49" s="136"/>
      <c r="O49" s="136"/>
    </row>
    <row r="50" spans="2:15">
      <c r="B50" s="76" t="s">
        <v>100</v>
      </c>
      <c r="C50" s="127">
        <v>2035</v>
      </c>
      <c r="D50" s="135">
        <v>18000</v>
      </c>
      <c r="E50" s="116">
        <v>1</v>
      </c>
      <c r="F50" s="136"/>
      <c r="G50" s="136"/>
      <c r="H50" s="136">
        <f>$C50*$E50</f>
        <v>2035</v>
      </c>
      <c r="I50" s="136"/>
      <c r="J50" s="136"/>
      <c r="K50" s="136">
        <f>$C50*$E50</f>
        <v>2035</v>
      </c>
      <c r="L50" s="136"/>
      <c r="M50" s="136">
        <f>$C50*$E50</f>
        <v>2035</v>
      </c>
      <c r="N50" s="136"/>
      <c r="O50" s="136"/>
    </row>
    <row r="51" spans="2:15">
      <c r="B51" s="76" t="s">
        <v>111</v>
      </c>
      <c r="C51" s="127">
        <v>28263</v>
      </c>
      <c r="D51" s="135">
        <v>18000</v>
      </c>
      <c r="E51" s="116">
        <v>1</v>
      </c>
      <c r="F51" s="136"/>
      <c r="G51" s="136"/>
      <c r="H51" s="136">
        <f>$C51*$E51</f>
        <v>28263</v>
      </c>
      <c r="I51" s="136"/>
      <c r="J51" s="136"/>
      <c r="K51" s="136">
        <f>$C51*$E51</f>
        <v>28263</v>
      </c>
      <c r="L51" s="136"/>
      <c r="M51" s="136">
        <f>$C51*$E51</f>
        <v>28263</v>
      </c>
      <c r="N51" s="136"/>
      <c r="O51" s="136"/>
    </row>
    <row r="52" spans="2:15">
      <c r="B52" s="45" t="s">
        <v>112</v>
      </c>
      <c r="C52" s="62"/>
      <c r="D52" s="20"/>
      <c r="E52" s="102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>
      <c r="B53" s="76" t="s">
        <v>40</v>
      </c>
      <c r="C53" s="127">
        <v>200000</v>
      </c>
      <c r="D53" s="135">
        <v>24000</v>
      </c>
      <c r="E53" s="116">
        <v>1</v>
      </c>
      <c r="F53" s="136"/>
      <c r="G53" s="136"/>
      <c r="H53" s="136"/>
      <c r="I53" s="136">
        <f t="shared" ref="I53:I60" si="25">$C53*$E53</f>
        <v>200000</v>
      </c>
      <c r="J53" s="136"/>
      <c r="K53" s="136"/>
      <c r="L53" s="136">
        <f t="shared" ref="L53:L60" si="26">$C53*$E53</f>
        <v>200000</v>
      </c>
      <c r="M53" s="136"/>
      <c r="N53" s="136"/>
      <c r="O53" s="136"/>
    </row>
    <row r="54" spans="2:15">
      <c r="B54" s="76" t="s">
        <v>113</v>
      </c>
      <c r="C54" s="127">
        <v>30378</v>
      </c>
      <c r="D54" s="135">
        <v>24000</v>
      </c>
      <c r="E54" s="116">
        <v>1</v>
      </c>
      <c r="F54" s="136"/>
      <c r="G54" s="136"/>
      <c r="H54" s="136"/>
      <c r="I54" s="136">
        <f t="shared" si="25"/>
        <v>30378</v>
      </c>
      <c r="J54" s="136"/>
      <c r="K54" s="136"/>
      <c r="L54" s="136">
        <f t="shared" si="26"/>
        <v>30378</v>
      </c>
      <c r="M54" s="136"/>
      <c r="N54" s="136"/>
      <c r="O54" s="136"/>
    </row>
    <row r="55" spans="2:15">
      <c r="B55" s="45" t="s">
        <v>114</v>
      </c>
      <c r="C55" s="127">
        <v>88608</v>
      </c>
      <c r="D55" s="135">
        <v>24000</v>
      </c>
      <c r="E55" s="116">
        <v>1</v>
      </c>
      <c r="F55" s="136"/>
      <c r="G55" s="136"/>
      <c r="H55" s="136"/>
      <c r="I55" s="136">
        <f t="shared" si="25"/>
        <v>88608</v>
      </c>
      <c r="J55" s="136"/>
      <c r="K55" s="136"/>
      <c r="L55" s="136">
        <f t="shared" si="26"/>
        <v>88608</v>
      </c>
      <c r="M55" s="136"/>
      <c r="N55" s="136"/>
      <c r="O55" s="136"/>
    </row>
    <row r="56" spans="2:15">
      <c r="B56" s="45" t="s">
        <v>115</v>
      </c>
      <c r="C56" s="127">
        <v>68187</v>
      </c>
      <c r="D56" s="135">
        <v>24000</v>
      </c>
      <c r="E56" s="116">
        <v>1</v>
      </c>
      <c r="F56" s="136"/>
      <c r="G56" s="136"/>
      <c r="H56" s="136"/>
      <c r="I56" s="136">
        <f t="shared" si="25"/>
        <v>68187</v>
      </c>
      <c r="J56" s="136"/>
      <c r="K56" s="136"/>
      <c r="L56" s="136">
        <f t="shared" si="26"/>
        <v>68187</v>
      </c>
      <c r="M56" s="136"/>
      <c r="N56" s="136"/>
      <c r="O56" s="136"/>
    </row>
    <row r="57" spans="2:15">
      <c r="B57" s="76" t="s">
        <v>120</v>
      </c>
      <c r="C57" s="127">
        <v>6222.98</v>
      </c>
      <c r="D57" s="135">
        <v>24000</v>
      </c>
      <c r="E57" s="116">
        <v>16</v>
      </c>
      <c r="F57" s="136"/>
      <c r="G57" s="136"/>
      <c r="H57" s="136"/>
      <c r="I57" s="136">
        <f t="shared" si="25"/>
        <v>99567.679999999993</v>
      </c>
      <c r="J57" s="136"/>
      <c r="K57" s="136"/>
      <c r="L57" s="136">
        <f t="shared" si="26"/>
        <v>99567.679999999993</v>
      </c>
      <c r="M57" s="136"/>
      <c r="N57" s="136"/>
      <c r="O57" s="136"/>
    </row>
    <row r="58" spans="2:15">
      <c r="B58" s="76" t="s">
        <v>121</v>
      </c>
      <c r="C58" s="127">
        <v>1250.82</v>
      </c>
      <c r="D58" s="135">
        <v>24000</v>
      </c>
      <c r="E58" s="116">
        <v>6</v>
      </c>
      <c r="F58" s="136"/>
      <c r="G58" s="136"/>
      <c r="H58" s="136"/>
      <c r="I58" s="136">
        <f t="shared" si="25"/>
        <v>7504.92</v>
      </c>
      <c r="J58" s="136"/>
      <c r="K58" s="136"/>
      <c r="L58" s="136">
        <f t="shared" si="26"/>
        <v>7504.92</v>
      </c>
      <c r="M58" s="136"/>
      <c r="N58" s="136"/>
      <c r="O58" s="136"/>
    </row>
    <row r="59" spans="2:15">
      <c r="B59" s="76" t="s">
        <v>104</v>
      </c>
      <c r="C59" s="127">
        <v>15965</v>
      </c>
      <c r="D59" s="135">
        <v>24000</v>
      </c>
      <c r="E59" s="116">
        <v>2</v>
      </c>
      <c r="F59" s="136"/>
      <c r="G59" s="136"/>
      <c r="H59" s="136"/>
      <c r="I59" s="136">
        <f t="shared" si="25"/>
        <v>31930</v>
      </c>
      <c r="J59" s="136"/>
      <c r="K59" s="136"/>
      <c r="L59" s="136">
        <f t="shared" si="26"/>
        <v>31930</v>
      </c>
      <c r="M59" s="136"/>
      <c r="N59" s="136"/>
      <c r="O59" s="136"/>
    </row>
    <row r="60" spans="2:15">
      <c r="B60" s="76" t="s">
        <v>122</v>
      </c>
      <c r="C60" s="127">
        <v>5853.47</v>
      </c>
      <c r="D60" s="135">
        <v>24000</v>
      </c>
      <c r="E60" s="116">
        <v>2</v>
      </c>
      <c r="F60" s="136"/>
      <c r="G60" s="136"/>
      <c r="H60" s="136"/>
      <c r="I60" s="136">
        <f t="shared" si="25"/>
        <v>11706.94</v>
      </c>
      <c r="J60" s="136"/>
      <c r="K60" s="136"/>
      <c r="L60" s="136">
        <f t="shared" si="26"/>
        <v>11706.94</v>
      </c>
      <c r="M60" s="136"/>
      <c r="N60" s="136"/>
      <c r="O60" s="136"/>
    </row>
    <row r="61" spans="2:15">
      <c r="B61" s="45" t="s">
        <v>116</v>
      </c>
      <c r="C61" s="62"/>
      <c r="D61" s="20"/>
      <c r="E61" s="102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>
      <c r="B62" s="76" t="s">
        <v>117</v>
      </c>
      <c r="C62" s="127">
        <v>28096</v>
      </c>
      <c r="D62" s="135">
        <v>36000</v>
      </c>
      <c r="E62" s="116">
        <v>1</v>
      </c>
      <c r="F62" s="136"/>
      <c r="G62" s="136"/>
      <c r="H62" s="136"/>
      <c r="I62" s="136"/>
      <c r="J62" s="136"/>
      <c r="K62" s="136">
        <f t="shared" ref="K62:K72" si="27">$C62*$E62</f>
        <v>28096</v>
      </c>
      <c r="L62" s="136"/>
      <c r="M62" s="136"/>
      <c r="N62" s="136"/>
      <c r="O62" s="136"/>
    </row>
    <row r="63" spans="2:15">
      <c r="B63" s="76" t="s">
        <v>108</v>
      </c>
      <c r="C63" s="127">
        <v>179860</v>
      </c>
      <c r="D63" s="135">
        <v>36000</v>
      </c>
      <c r="E63" s="116">
        <v>1</v>
      </c>
      <c r="F63" s="136"/>
      <c r="G63" s="136"/>
      <c r="H63" s="136"/>
      <c r="I63" s="136"/>
      <c r="J63" s="136"/>
      <c r="K63" s="136">
        <f t="shared" si="27"/>
        <v>179860</v>
      </c>
      <c r="L63" s="136"/>
      <c r="M63" s="136"/>
      <c r="N63" s="136"/>
      <c r="O63" s="136"/>
    </row>
    <row r="64" spans="2:15">
      <c r="B64" s="76" t="s">
        <v>118</v>
      </c>
      <c r="C64" s="127">
        <v>26655</v>
      </c>
      <c r="D64" s="135">
        <v>36000</v>
      </c>
      <c r="E64" s="116">
        <v>2</v>
      </c>
      <c r="F64" s="136"/>
      <c r="G64" s="136"/>
      <c r="H64" s="136"/>
      <c r="I64" s="136"/>
      <c r="J64" s="136"/>
      <c r="K64" s="136">
        <f t="shared" si="27"/>
        <v>53310</v>
      </c>
      <c r="L64" s="136"/>
      <c r="M64" s="136"/>
      <c r="N64" s="136"/>
      <c r="O64" s="136"/>
    </row>
    <row r="65" spans="2:15">
      <c r="B65" s="76" t="s">
        <v>119</v>
      </c>
      <c r="C65" s="127">
        <v>25461</v>
      </c>
      <c r="D65" s="135">
        <v>36000</v>
      </c>
      <c r="E65" s="116">
        <v>1</v>
      </c>
      <c r="F65" s="136"/>
      <c r="G65" s="136"/>
      <c r="H65" s="136"/>
      <c r="I65" s="136"/>
      <c r="J65" s="136"/>
      <c r="K65" s="136">
        <f t="shared" si="27"/>
        <v>25461</v>
      </c>
      <c r="L65" s="136"/>
      <c r="M65" s="136"/>
      <c r="N65" s="136"/>
      <c r="O65" s="136"/>
    </row>
    <row r="66" spans="2:15">
      <c r="B66" s="76" t="s">
        <v>123</v>
      </c>
      <c r="C66" s="127">
        <v>111965</v>
      </c>
      <c r="D66" s="135">
        <v>36000</v>
      </c>
      <c r="E66" s="116">
        <v>2</v>
      </c>
      <c r="F66" s="136"/>
      <c r="G66" s="136"/>
      <c r="H66" s="136"/>
      <c r="I66" s="136"/>
      <c r="J66" s="136"/>
      <c r="K66" s="136">
        <f t="shared" si="27"/>
        <v>223930</v>
      </c>
      <c r="L66" s="136"/>
      <c r="M66" s="136"/>
      <c r="N66" s="136"/>
      <c r="O66" s="136"/>
    </row>
    <row r="67" spans="2:15">
      <c r="B67" s="76" t="s">
        <v>99</v>
      </c>
      <c r="C67" s="127">
        <v>154562.01999999999</v>
      </c>
      <c r="D67" s="135">
        <v>36000</v>
      </c>
      <c r="E67" s="116">
        <v>1</v>
      </c>
      <c r="F67" s="136"/>
      <c r="G67" s="136"/>
      <c r="H67" s="136"/>
      <c r="I67" s="136"/>
      <c r="J67" s="136"/>
      <c r="K67" s="136">
        <f t="shared" si="27"/>
        <v>154562.01999999999</v>
      </c>
      <c r="L67" s="136"/>
      <c r="M67" s="136"/>
      <c r="N67" s="136"/>
      <c r="O67" s="136"/>
    </row>
    <row r="68" spans="2:15">
      <c r="B68" s="76" t="s">
        <v>101</v>
      </c>
      <c r="C68" s="127">
        <v>46640.579999999994</v>
      </c>
      <c r="D68" s="135">
        <v>36000</v>
      </c>
      <c r="E68" s="116">
        <v>3</v>
      </c>
      <c r="F68" s="136"/>
      <c r="G68" s="136"/>
      <c r="H68" s="136"/>
      <c r="I68" s="136"/>
      <c r="J68" s="136"/>
      <c r="K68" s="136">
        <f t="shared" si="27"/>
        <v>139921.74</v>
      </c>
      <c r="L68" s="136"/>
      <c r="M68" s="136"/>
      <c r="N68" s="136"/>
      <c r="O68" s="136"/>
    </row>
    <row r="69" spans="2:15">
      <c r="B69" s="76" t="s">
        <v>102</v>
      </c>
      <c r="C69" s="127">
        <v>70044</v>
      </c>
      <c r="D69" s="135">
        <v>36000</v>
      </c>
      <c r="E69" s="116">
        <v>1</v>
      </c>
      <c r="F69" s="136"/>
      <c r="G69" s="136"/>
      <c r="H69" s="136"/>
      <c r="I69" s="136"/>
      <c r="J69" s="136"/>
      <c r="K69" s="136">
        <f t="shared" si="27"/>
        <v>70044</v>
      </c>
      <c r="L69" s="136"/>
      <c r="M69" s="136"/>
      <c r="N69" s="136"/>
      <c r="O69" s="136"/>
    </row>
    <row r="70" spans="2:15">
      <c r="B70" s="76" t="s">
        <v>31</v>
      </c>
      <c r="C70" s="127">
        <v>151171</v>
      </c>
      <c r="D70" s="135">
        <v>36000</v>
      </c>
      <c r="E70" s="116">
        <v>2</v>
      </c>
      <c r="F70" s="136"/>
      <c r="G70" s="136"/>
      <c r="H70" s="136"/>
      <c r="I70" s="136"/>
      <c r="J70" s="136"/>
      <c r="K70" s="136">
        <f t="shared" si="27"/>
        <v>302342</v>
      </c>
      <c r="L70" s="136"/>
      <c r="M70" s="136"/>
      <c r="N70" s="136"/>
      <c r="O70" s="136"/>
    </row>
    <row r="71" spans="2:15">
      <c r="B71" s="76" t="s">
        <v>124</v>
      </c>
      <c r="C71" s="127">
        <v>10000</v>
      </c>
      <c r="D71" s="135">
        <v>36000</v>
      </c>
      <c r="E71" s="116">
        <v>1</v>
      </c>
      <c r="F71" s="136"/>
      <c r="G71" s="136"/>
      <c r="H71" s="136"/>
      <c r="I71" s="136"/>
      <c r="J71" s="136"/>
      <c r="K71" s="136">
        <f t="shared" si="27"/>
        <v>10000</v>
      </c>
      <c r="L71" s="136"/>
      <c r="M71" s="136"/>
      <c r="N71" s="136"/>
      <c r="O71" s="136"/>
    </row>
    <row r="72" spans="2:15">
      <c r="B72" s="201" t="s">
        <v>100</v>
      </c>
      <c r="C72" s="127">
        <v>62070</v>
      </c>
      <c r="D72" s="135">
        <v>36000</v>
      </c>
      <c r="E72" s="116">
        <v>1</v>
      </c>
      <c r="F72" s="136"/>
      <c r="G72" s="136"/>
      <c r="H72" s="136"/>
      <c r="I72" s="136"/>
      <c r="J72" s="136"/>
      <c r="K72" s="136">
        <f t="shared" si="27"/>
        <v>62070</v>
      </c>
      <c r="L72" s="136"/>
      <c r="M72" s="136"/>
      <c r="N72" s="136"/>
      <c r="O72" s="136"/>
    </row>
    <row r="73" spans="2:15">
      <c r="B73" s="112" t="s">
        <v>64</v>
      </c>
      <c r="C73" s="62"/>
      <c r="D73" s="20"/>
      <c r="E73" s="102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>
      <c r="B74" s="76"/>
      <c r="C74" s="127"/>
      <c r="D74" s="135"/>
      <c r="E74" s="116"/>
      <c r="F74" s="136"/>
      <c r="G74" s="136"/>
      <c r="H74" s="136"/>
      <c r="I74" s="136"/>
      <c r="J74" s="136"/>
      <c r="K74" s="136"/>
      <c r="L74" s="136"/>
      <c r="M74" s="136"/>
      <c r="N74" s="136"/>
      <c r="O74" s="136"/>
    </row>
    <row r="75" spans="2:15">
      <c r="B75" s="76"/>
      <c r="C75" s="127"/>
      <c r="D75" s="135"/>
      <c r="E75" s="116"/>
      <c r="F75" s="136"/>
      <c r="G75" s="136"/>
      <c r="H75" s="136"/>
      <c r="I75" s="136"/>
      <c r="J75" s="136"/>
      <c r="K75" s="136"/>
      <c r="L75" s="136"/>
      <c r="M75" s="136"/>
      <c r="N75" s="136"/>
      <c r="O75" s="136"/>
    </row>
    <row r="76" spans="2:15">
      <c r="B76" s="76"/>
      <c r="C76" s="127"/>
      <c r="D76" s="135"/>
      <c r="E76" s="116"/>
      <c r="F76" s="136"/>
      <c r="G76" s="136"/>
      <c r="H76" s="136"/>
      <c r="I76" s="136"/>
      <c r="J76" s="136"/>
      <c r="K76" s="136"/>
      <c r="L76" s="136"/>
      <c r="M76" s="136"/>
      <c r="N76" s="136"/>
      <c r="O76" s="136"/>
    </row>
    <row r="77" spans="2:15">
      <c r="B77" s="76"/>
      <c r="C77" s="127"/>
      <c r="D77" s="135"/>
      <c r="E77" s="116"/>
      <c r="F77" s="136"/>
      <c r="G77" s="136"/>
      <c r="H77" s="136"/>
      <c r="I77" s="136"/>
      <c r="J77" s="136"/>
      <c r="K77" s="136"/>
      <c r="L77" s="136"/>
      <c r="M77" s="136"/>
      <c r="N77" s="136"/>
      <c r="O77" s="136"/>
    </row>
    <row r="78" spans="2:15" ht="15" thickBot="1">
      <c r="B78" s="63"/>
      <c r="C78" s="127"/>
      <c r="D78" s="135"/>
      <c r="E78" s="116"/>
      <c r="F78" s="136"/>
      <c r="G78" s="136"/>
      <c r="H78" s="136"/>
      <c r="I78" s="136"/>
      <c r="J78" s="136"/>
      <c r="K78" s="136"/>
      <c r="L78" s="136"/>
      <c r="M78" s="136"/>
      <c r="N78" s="136"/>
      <c r="O78" s="136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6053-4371-4D19-A16D-DF5EE4CBF8DC}">
  <dimension ref="A1"/>
  <sheetViews>
    <sheetView topLeftCell="A28" workbookViewId="0">
      <selection activeCell="A28" sqref="A28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Данные_Экскаватор</vt:lpstr>
      <vt:lpstr>ТО</vt:lpstr>
      <vt:lpstr>Ремонты</vt:lpstr>
      <vt:lpstr>Время цикла</vt:lpstr>
      <vt:lpstr>Данные_Экскаватор!Область_печати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Денис Горбунов</cp:lastModifiedBy>
  <cp:lastPrinted>2022-08-30T14:50:32Z</cp:lastPrinted>
  <dcterms:created xsi:type="dcterms:W3CDTF">2015-08-04T10:07:23Z</dcterms:created>
  <dcterms:modified xsi:type="dcterms:W3CDTF">2026-07-23T07:03:58Z</dcterms:modified>
</cp:coreProperties>
</file>