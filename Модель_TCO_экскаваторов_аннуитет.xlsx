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Методика" sheetId="1" state="visible" r:id="rId1"/>
    <sheet name="Параметры" sheetId="2" state="visible" r:id="rId2"/>
    <sheet name="Ввод данных" sheetId="3" state="visible" r:id="rId3"/>
    <sheet name="Производительность" sheetId="4" state="visible" r:id="rId4"/>
    <sheet name="Расчёт аннуитета" sheetId="5" state="visible" r:id="rId5"/>
    <sheet name="Сравнение" sheetId="6" state="visible" r:id="rId6"/>
    <sheet name="Чувствительность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12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1F3864"/>
      <sz val="12"/>
    </font>
    <font>
      <b val="1"/>
      <color rgb="00006100"/>
      <sz val="12"/>
    </font>
    <font>
      <b val="1"/>
      <color rgb="00C55A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4" fontId="6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 по вариантам,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'Сравнение'!$B$20</f>
            </strRef>
          </tx>
          <spPr>
            <a:ln>
              <a:prstDash val="solid"/>
            </a:ln>
          </spPr>
          <cat>
            <numRef>
              <f>'Сравнение'!$D$19:$I$19</f>
            </numRef>
          </cat>
          <val>
            <numRef>
              <f>'Сравнение'!$D$20:$I$20</f>
            </numRef>
          </val>
        </ser>
        <ser>
          <idx val="1"/>
          <order val="1"/>
          <tx>
            <strRef>
              <f>'Сравнение'!$B$21</f>
            </strRef>
          </tx>
          <spPr>
            <a:ln>
              <a:prstDash val="solid"/>
            </a:ln>
          </spPr>
          <cat>
            <numRef>
              <f>'Сравнение'!$D$19:$I$19</f>
            </numRef>
          </cat>
          <val>
            <numRef>
              <f>'Сравнение'!$D$21:$I$21</f>
            </numRef>
          </val>
        </ser>
        <ser>
          <idx val="2"/>
          <order val="2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'Сравнение'!$D$19:$I$19</f>
            </numRef>
          </cat>
          <val>
            <numRef>
              <f>'Сравнение'!$D$22:$I$22</f>
            </numRef>
          </val>
        </ser>
        <ser>
          <idx val="3"/>
          <order val="3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'Сравнение'!$D$19:$I$19</f>
            </numRef>
          </cat>
          <val>
            <numRef>
              <f>'Сравнение'!$D$23:$I$23</f>
            </numRef>
          </val>
        </ser>
        <ser>
          <idx val="4"/>
          <order val="4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'Сравнение'!$D$19:$I$19</f>
            </numRef>
          </cat>
          <val>
            <numRef>
              <f>'Сравнение'!$D$24:$I$24</f>
            </numRef>
          </val>
        </ser>
        <ser>
          <idx val="5"/>
          <order val="5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'Сравнение'!$D$19:$I$19</f>
            </numRef>
          </cat>
          <val>
            <numRef>
              <f>'Сравнение'!$D$25:$I$25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'Сравнение'!$D$11:$I$11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 от базового,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'Чувствительность'!$B$18:$B$21</f>
            </numRef>
          </cat>
          <val>
            <numRef>
              <f>'Чувствительность'!$I$18:$I$21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'Чувствительность'!$B$18:$B$21</f>
            </numRef>
          </cat>
          <val>
            <numRef>
              <f>'Чувствительность'!$J$18:$J$21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7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0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дисконтированный аннуитет жизненного цикла для сравнения машин одного класса.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60" customHeight="1">
      <c r="C5" s="6" t="inlineStr">
        <is>
          <t>Экономическое сравнение нескольких экскаваторов одного класса по удельному аннуитету затрат (руб/м³ вынутой горной массы) за полный срок эксплуатации. Метрика позволяет корректно сопоставлять машины с разной ценой, производительностью и структурой затрат. Лучшим считается вариант с минимальным аннуитетом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объём ковша × плотность × (наполнение/разрыхление) × коэф. потерь. Ковшей на самосвал = ОКРУГЛ.ВВЕРХ(грузоподъёмность / порода в ковше). Самосвалов в час = 3600 / (ковшей × время цикла + время постановки а/с). Часовая производительность (т/ч) = грузоподъёмность × самосвалов в час; м³/ч = т/ч / плотность.</t>
        </is>
      </c>
    </row>
    <row r="8" ht="45" customHeight="1">
      <c r="C8" s="6" t="inlineStr">
        <is>
          <t>Годовой объём (тыс.м³) = м³/ч × эффективное время. Эффективное время = КФВ × КТГ × (1 − простои/смена). КТГ — коэф. технической готовности (надёжность), КИО — коэф. использования = эффективное время / КФВ.</t>
        </is>
      </c>
    </row>
    <row r="9">
      <c r="B9" s="4" t="n"/>
      <c r="C9" s="5" t="inlineStr">
        <is>
          <t>3. ЗАТРАТЫ ЖИЗНЕННОГО ЦИКЛА</t>
        </is>
      </c>
    </row>
    <row r="10">
      <c r="C10" s="6" t="inlineStr">
        <is>
          <t>• Инвестиции: цена машины (пересчёт валюты в рубли по курсу) + монтаж/ПНР.</t>
        </is>
      </c>
    </row>
    <row r="11">
      <c r="C11" s="6" t="inlineStr">
        <is>
          <t>• Дизтопливо = эффективное время × удельный расход (кг/ч) × цена (руб/кг).</t>
        </is>
      </c>
    </row>
    <row r="12">
      <c r="C12" s="6" t="inlineStr">
        <is>
          <t>• ТОиР и сервис: плановое ТО, ремонты, ППР (среднегодовые).</t>
        </is>
      </c>
    </row>
    <row r="13">
      <c r="C13" s="6" t="inlineStr">
        <is>
          <t>• Расходники на ковш (зубья, коронки) — удельные, руб/м³.</t>
        </is>
      </c>
    </row>
    <row r="14">
      <c r="C14" s="6" t="inlineStr">
        <is>
          <t>• Расходы на персонал (экипаж, ФОТ с отчислениями).</t>
        </is>
      </c>
    </row>
    <row r="15">
      <c r="C15" s="6" t="inlineStr">
        <is>
          <t>• Амортизация (налоговый учёт) и налог на прибыль — формируют налоговый щит.</t>
        </is>
      </c>
    </row>
    <row r="16">
      <c r="B16" s="4" t="n"/>
      <c r="C16" s="5" t="inlineStr">
        <is>
          <t>4. АННУИТЕТ (ЯДРО МЕТОДИКИ)</t>
        </is>
      </c>
    </row>
    <row r="17" ht="55" customHeight="1">
      <c r="C17" s="6" t="inlineStr">
        <is>
          <t>Все потоки приводятся к текущей стоимости по ставке дисконтирования, затем преобразуются в эквивалентный годовой платёж (аннуитет): Аннуитет = NPV затрат / Σ(дисконт-факторов). Модель пост-налоговая: годовой поток = денежные затраты × (1 − ставка налога) − налоговый щит амортизации.</t>
        </is>
      </c>
    </row>
    <row r="18" ht="45" customHeight="1">
      <c r="C18" s="6" t="inlineStr">
        <is>
          <t>Инвестиционный аннуитет = Стоимость / Σ(дисконт-факторов) — возврат капитала. Операционный аннуитет = затраты после налога. Общий аннуитет = инвестиционный + операционный. Удельный аннуитет (руб/м³) = общий аннуитет / годовой объём производства.</t>
        </is>
      </c>
    </row>
    <row r="19" ht="45" customHeight="1">
      <c r="C19" s="6" t="inlineStr">
        <is>
          <t>Налоговый щит амортизации приведён через коэффициент амортизации (линейная за срок налогового учёта), поэтому машины с более высокой ценой получают больший вычет в первые годы.</t>
        </is>
      </c>
    </row>
    <row r="20">
      <c r="B20" s="4" t="n"/>
      <c r="C20" s="5" t="inlineStr">
        <is>
          <t>5. ПОРЯДОК РАБОТЫ</t>
        </is>
      </c>
    </row>
    <row r="21">
      <c r="C21" s="6" t="inlineStr">
        <is>
          <t>Шаг 1. «Параметры» — ставка, налог, курсы валют, цена ДТ, параметры карьера (плотность, самосвал, простои).</t>
        </is>
      </c>
    </row>
    <row r="22">
      <c r="C22" s="6" t="inlineStr">
        <is>
          <t>Шаг 2. «Ввод данных» — по каждому экскаватору: цена, ковш, цикл, КТГ, расход ДТ, годовые затраты.</t>
        </is>
      </c>
    </row>
    <row r="23">
      <c r="C23" s="6" t="inlineStr">
        <is>
          <t>Шаг 3. «Производительность» и «Расчёт аннуитета» — авторасчёт (просмотр).</t>
        </is>
      </c>
    </row>
    <row r="24">
      <c r="C24" s="6" t="inlineStr">
        <is>
          <t>Шаг 4. «Сравнение» — рейтинг, рекомендация, диаграммы. «Чувствительность» — торнадо и влияние КТГ.</t>
        </is>
      </c>
    </row>
    <row r="25">
      <c r="B25" s="4" t="n"/>
      <c r="C25" s="5" t="inlineStr">
        <is>
          <t>6. ДОПУЩЕНИЯ</t>
        </is>
      </c>
    </row>
    <row r="26" ht="30" customHeight="1">
      <c r="C26" s="6" t="inlineStr">
        <is>
          <t>• Машины сравниваются в одном классе и одной горнотехнической задаче; разница в производительности учтена через удельный аннуитет руб/м³.</t>
        </is>
      </c>
    </row>
    <row r="27" ht="30" customHeight="1">
      <c r="C27" s="6" t="inlineStr">
        <is>
          <t>• Годовые затраты приняты усреднёнными по сроку службы (при необходимости отразите капремонты через среднегодовые затраты ТОиР). Ставка и цены — согласованы (номинальные/реальные).</t>
        </is>
      </c>
    </row>
    <row r="28" ht="30" customHeight="1">
      <c r="C28" s="6" t="inlineStr">
        <is>
          <t>• Методика воспроизводит корпоративный подход «аннуитета руб/м³»; закрытая форма даёт результат, эквивалентный погодовому дисконтированному расчёту при равномерных затратах.</t>
        </is>
      </c>
    </row>
    <row r="30">
      <c r="C30" s="7" t="inlineStr">
        <is>
          <t>Обозначения:</t>
        </is>
      </c>
    </row>
    <row r="31">
      <c r="B31" s="8" t="n"/>
      <c r="C31" s="9" t="inlineStr">
        <is>
          <t>жёлтые ячейки — ввод данных</t>
        </is>
      </c>
    </row>
    <row r="32">
      <c r="B32" s="10" t="n"/>
      <c r="C3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0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сравниваемых экскаваторов.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1" t="inlineStr">
        <is>
          <t>Параметр</t>
        </is>
      </c>
      <c r="C5" s="11" t="inlineStr">
        <is>
          <t>Значение</t>
        </is>
      </c>
      <c r="D5" s="11" t="inlineStr">
        <is>
          <t>Ед.</t>
        </is>
      </c>
      <c r="E5" s="11" t="inlineStr">
        <is>
          <t>Комментарий</t>
        </is>
      </c>
    </row>
    <row r="6">
      <c r="B6" s="12" t="inlineStr">
        <is>
          <t>Ставка дисконтирования (WACC)</t>
        </is>
      </c>
      <c r="C6" s="13" t="n">
        <v>0.12</v>
      </c>
      <c r="D6" s="14" t="inlineStr">
        <is>
          <t>%/год</t>
        </is>
      </c>
      <c r="E6" s="15" t="inlineStr">
        <is>
          <t>Стоимость капитала для приведения к текущей стоимости</t>
        </is>
      </c>
    </row>
    <row r="7">
      <c r="B7" s="12" t="inlineStr">
        <is>
          <t>Налог на прибыль</t>
        </is>
      </c>
      <c r="C7" s="13" t="n">
        <v>0.25</v>
      </c>
      <c r="D7" s="14" t="inlineStr">
        <is>
          <t>%</t>
        </is>
      </c>
      <c r="E7" s="15" t="inlineStr">
        <is>
          <t>Даёт налоговый щит на затраты и амортизацию</t>
        </is>
      </c>
    </row>
    <row r="8">
      <c r="B8" s="12" t="inlineStr">
        <is>
          <t>Срок эксплуатации (горизонт)</t>
        </is>
      </c>
      <c r="C8" s="16" t="n">
        <v>10</v>
      </c>
      <c r="D8" s="14" t="inlineStr">
        <is>
          <t>лет</t>
        </is>
      </c>
      <c r="E8" s="15" t="inlineStr">
        <is>
          <t>Период сравнения жизненного цикла</t>
        </is>
      </c>
    </row>
    <row r="9">
      <c r="B9" s="12" t="inlineStr">
        <is>
          <t>Срок амортизации (налоговый учёт)</t>
        </is>
      </c>
      <c r="C9" s="17" t="n">
        <v>5.17</v>
      </c>
      <c r="D9" s="14" t="inlineStr">
        <is>
          <t>лет</t>
        </is>
      </c>
      <c r="E9" s="15" t="inlineStr">
        <is>
          <t>Линейная амортизация; 62 мес ≈ 5,17 года</t>
        </is>
      </c>
    </row>
    <row r="10">
      <c r="B10" s="12" t="inlineStr">
        <is>
          <t>Цена дизельного топлива</t>
        </is>
      </c>
      <c r="C10" s="17" t="n">
        <v>54.83</v>
      </c>
      <c r="D10" s="14" t="inlineStr">
        <is>
          <t>руб/кг</t>
        </is>
      </c>
      <c r="E10" s="15" t="inlineStr">
        <is>
          <t>Средняя цена на площадке эксплуатации</t>
        </is>
      </c>
    </row>
    <row r="12">
      <c r="B12" s="5" t="inlineStr">
        <is>
          <t>Курсы валют</t>
        </is>
      </c>
      <c r="C12" s="4" t="n"/>
      <c r="D12" s="4" t="n"/>
      <c r="E12" s="4" t="n"/>
    </row>
    <row r="13">
      <c r="B13" s="11" t="inlineStr">
        <is>
          <t>Параметр</t>
        </is>
      </c>
      <c r="C13" s="11" t="inlineStr">
        <is>
          <t>Значение</t>
        </is>
      </c>
      <c r="D13" s="11" t="inlineStr">
        <is>
          <t>Ед.</t>
        </is>
      </c>
      <c r="E13" s="11" t="inlineStr">
        <is>
          <t>Комментарий</t>
        </is>
      </c>
    </row>
    <row r="14">
      <c r="B14" s="12" t="inlineStr">
        <is>
          <t>Курс юаня (CNY)</t>
        </is>
      </c>
      <c r="C14" s="18" t="n">
        <v>11.2068</v>
      </c>
      <c r="D14" s="14" t="inlineStr">
        <is>
          <t>руб</t>
        </is>
      </c>
      <c r="E14" s="15" t="inlineStr">
        <is>
          <t>Для оборудования из Китая</t>
        </is>
      </c>
    </row>
    <row r="15">
      <c r="B15" s="12" t="inlineStr">
        <is>
          <t>Курс доллара (USD)</t>
        </is>
      </c>
      <c r="C15" s="18" t="n">
        <v>76.1258</v>
      </c>
      <c r="D15" s="14" t="inlineStr">
        <is>
          <t>руб</t>
        </is>
      </c>
      <c r="E15" s="15" t="inlineStr"/>
    </row>
    <row r="16">
      <c r="B16" s="12" t="inlineStr">
        <is>
          <t>Курс евро (EUR)</t>
        </is>
      </c>
      <c r="C16" s="18" t="n">
        <v>86.8976</v>
      </c>
      <c r="D16" s="14" t="inlineStr">
        <is>
          <t>руб</t>
        </is>
      </c>
      <c r="E16" s="15" t="inlineStr"/>
    </row>
    <row r="18">
      <c r="B18" s="5" t="inlineStr">
        <is>
          <t>Параметры производительности (карьер)</t>
        </is>
      </c>
      <c r="C18" s="4" t="n"/>
      <c r="D18" s="4" t="n"/>
      <c r="E18" s="4" t="n"/>
    </row>
    <row r="19">
      <c r="B19" s="11" t="inlineStr">
        <is>
          <t>Параметр</t>
        </is>
      </c>
      <c r="C19" s="11" t="inlineStr">
        <is>
          <t>Значение</t>
        </is>
      </c>
      <c r="D19" s="11" t="inlineStr">
        <is>
          <t>Ед.</t>
        </is>
      </c>
      <c r="E19" s="11" t="inlineStr">
        <is>
          <t>Комментарий</t>
        </is>
      </c>
    </row>
    <row r="20">
      <c r="B20" s="12" t="inlineStr">
        <is>
          <t>Календарный фонд времени</t>
        </is>
      </c>
      <c r="C20" s="16" t="n">
        <v>8760</v>
      </c>
      <c r="D20" s="14" t="inlineStr">
        <is>
          <t>час/год</t>
        </is>
      </c>
      <c r="E20" s="15" t="inlineStr">
        <is>
          <t>24 ч × 365 дн</t>
        </is>
      </c>
    </row>
    <row r="21">
      <c r="B21" s="12" t="inlineStr">
        <is>
          <t>Плотность породы</t>
        </is>
      </c>
      <c r="C21" s="18" t="n">
        <v>2.787</v>
      </c>
      <c r="D21" s="14" t="inlineStr">
        <is>
          <t>т/м³</t>
        </is>
      </c>
      <c r="E21" s="15" t="inlineStr">
        <is>
          <t>В целике</t>
        </is>
      </c>
    </row>
    <row r="22">
      <c r="B22" s="12" t="inlineStr">
        <is>
          <t>Коэффициент разрыхления</t>
        </is>
      </c>
      <c r="C22" s="17" t="n">
        <v>1.5</v>
      </c>
      <c r="D22" s="14" t="inlineStr">
        <is>
          <t>коэф.</t>
        </is>
      </c>
      <c r="E22" s="15" t="inlineStr"/>
    </row>
    <row r="23">
      <c r="B23" s="12" t="inlineStr">
        <is>
          <t>Коэффициент наполнения ковша</t>
        </is>
      </c>
      <c r="C23" s="17" t="n">
        <v>0.9</v>
      </c>
      <c r="D23" s="14" t="inlineStr">
        <is>
          <t>коэф.</t>
        </is>
      </c>
      <c r="E23" s="15" t="inlineStr"/>
    </row>
    <row r="24">
      <c r="B24" s="12" t="inlineStr">
        <is>
          <t>Коэффициент потерь при экскавации</t>
        </is>
      </c>
      <c r="C24" s="17" t="n">
        <v>0.9</v>
      </c>
      <c r="D24" s="14" t="inlineStr">
        <is>
          <t>коэф.</t>
        </is>
      </c>
      <c r="E24" s="15" t="inlineStr"/>
    </row>
    <row r="25">
      <c r="B25" s="12" t="inlineStr">
        <is>
          <t>Грузоподъёмность самосвала</t>
        </is>
      </c>
      <c r="C25" s="16" t="n">
        <v>136</v>
      </c>
      <c r="D25" s="14" t="inlineStr">
        <is>
          <t>т</t>
        </is>
      </c>
      <c r="E25" s="15" t="inlineStr">
        <is>
          <t>Эталонный самосвал для расчёта</t>
        </is>
      </c>
    </row>
    <row r="26">
      <c r="B26" s="12" t="inlineStr">
        <is>
          <t>Время постановки самосвала</t>
        </is>
      </c>
      <c r="C26" s="16" t="n">
        <v>32</v>
      </c>
      <c r="D26" s="14" t="inlineStr">
        <is>
          <t>сек</t>
        </is>
      </c>
      <c r="E26" s="15" t="inlineStr">
        <is>
          <t>Время оборота а/с под погрузку</t>
        </is>
      </c>
    </row>
    <row r="27">
      <c r="B27" s="12" t="inlineStr">
        <is>
          <t>Длительность смены</t>
        </is>
      </c>
      <c r="C27" s="16" t="n">
        <v>12</v>
      </c>
      <c r="D27" s="14" t="inlineStr">
        <is>
          <t>час</t>
        </is>
      </c>
      <c r="E27" s="15" t="inlineStr">
        <is>
          <t>Для пересчёта простоев</t>
        </is>
      </c>
    </row>
    <row r="29">
      <c r="B29" s="5" t="inlineStr">
        <is>
          <t>Расчётные финансовые коэффициенты</t>
        </is>
      </c>
      <c r="C29" s="4" t="n"/>
      <c r="D29" s="4" t="n"/>
      <c r="E29" s="4" t="n"/>
    </row>
    <row r="30">
      <c r="B30" s="11" t="inlineStr">
        <is>
          <t>Параметр</t>
        </is>
      </c>
      <c r="C30" s="11" t="inlineStr">
        <is>
          <t>Значение</t>
        </is>
      </c>
      <c r="D30" s="11" t="inlineStr">
        <is>
          <t>Ед.</t>
        </is>
      </c>
      <c r="E30" s="11" t="inlineStr">
        <is>
          <t>Комментарий</t>
        </is>
      </c>
    </row>
    <row r="31">
      <c r="B31" s="12" t="inlineStr">
        <is>
          <t>Коэф. аннуитета Σдиск.факторов (r, N)</t>
        </is>
      </c>
      <c r="C31" s="19">
        <f>IF('Параметры'!C6=0,'Параметры'!C8,(1-(1+'Параметры'!C6)^-'Параметры'!C8)/'Параметры'!C6)</f>
        <v/>
      </c>
      <c r="D31" s="14" t="inlineStr">
        <is>
          <t>коэф.</t>
        </is>
      </c>
      <c r="E31" s="15" t="inlineStr">
        <is>
          <t>Сумма дисконт-факторов за срок службы</t>
        </is>
      </c>
    </row>
    <row r="32">
      <c r="B32" s="12" t="inlineStr">
        <is>
          <t>Коэф. приведённой амортизации</t>
        </is>
      </c>
      <c r="C32" s="1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2" s="14" t="inlineStr">
        <is>
          <t>коэф.</t>
        </is>
      </c>
      <c r="E32" s="15" t="inlineStr">
        <is>
          <t>Приведённая амортизация на 1 руб. цены (налог. щит)</t>
        </is>
      </c>
    </row>
    <row r="34">
      <c r="B34" s="7" t="inlineStr">
        <is>
          <t>Легенда:</t>
        </is>
      </c>
      <c r="C34" s="8" t="n"/>
      <c r="D34" s="9" t="inlineStr">
        <is>
          <t>— ввод данных</t>
        </is>
      </c>
    </row>
    <row r="35">
      <c r="C35" s="10" t="n"/>
      <c r="D35" s="9" t="inlineStr">
        <is>
          <t>— расчётные показатели</t>
        </is>
      </c>
    </row>
  </sheetData>
  <mergeCells count="8">
    <mergeCell ref="B18:E18"/>
    <mergeCell ref="B4:E4"/>
    <mergeCell ref="B2:F2"/>
    <mergeCell ref="B12:E12"/>
    <mergeCell ref="D34:E34"/>
    <mergeCell ref="B29:E29"/>
    <mergeCell ref="B1:F1"/>
    <mergeCell ref="D35:E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1" t="inlineStr">
        <is>
          <t>Показатель</t>
        </is>
      </c>
      <c r="C4" s="11" t="inlineStr">
        <is>
          <t>Ед.</t>
        </is>
      </c>
      <c r="D4" s="11" t="inlineStr">
        <is>
          <t>Экскаватор 1</t>
        </is>
      </c>
      <c r="E4" s="11" t="inlineStr">
        <is>
          <t>Экскаватор 2</t>
        </is>
      </c>
      <c r="F4" s="11" t="inlineStr">
        <is>
          <t>Экскаватор 3</t>
        </is>
      </c>
      <c r="G4" s="11" t="inlineStr">
        <is>
          <t>Экскаватор 4</t>
        </is>
      </c>
      <c r="H4" s="11" t="inlineStr">
        <is>
          <t>Экскаватор 5</t>
        </is>
      </c>
      <c r="I4" s="11" t="inlineStr">
        <is>
          <t>Экскаватор 6</t>
        </is>
      </c>
      <c r="K4" s="11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12" t="inlineStr">
        <is>
          <t>Наименование / модель</t>
        </is>
      </c>
      <c r="C7" s="14" t="inlineStr">
        <is>
          <t>—</t>
        </is>
      </c>
      <c r="D7" s="20" t="inlineStr">
        <is>
          <t>Komatsu PC2000-8
Mining Solutions</t>
        </is>
      </c>
      <c r="E7" s="20" t="inlineStr">
        <is>
          <t>Komatsu PC2000-11R
ИСТК</t>
        </is>
      </c>
      <c r="F7" s="20" t="inlineStr">
        <is>
          <t>Zoomlion ZE2000G
Орикс</t>
        </is>
      </c>
      <c r="G7" s="20" t="inlineStr">
        <is>
          <t>Sany SY2000
АСТ</t>
        </is>
      </c>
      <c r="H7" s="20" t="inlineStr">
        <is>
          <t>Shantui SE2000LCW</t>
        </is>
      </c>
      <c r="I7" s="20" t="inlineStr">
        <is>
          <t>TZCO TZ2000
Дзикай</t>
        </is>
      </c>
      <c r="K7" s="15" t="inlineStr">
        <is>
          <t>Название варианта</t>
        </is>
      </c>
    </row>
    <row r="8">
      <c r="B8" s="12" t="inlineStr">
        <is>
          <t>Поставщик</t>
        </is>
      </c>
      <c r="C8" s="14" t="inlineStr">
        <is>
          <t>—</t>
        </is>
      </c>
      <c r="D8" s="20" t="inlineStr">
        <is>
          <t>Mining Solutions</t>
        </is>
      </c>
      <c r="E8" s="20" t="inlineStr">
        <is>
          <t>ИСТК</t>
        </is>
      </c>
      <c r="F8" s="20" t="inlineStr">
        <is>
          <t>Орикс</t>
        </is>
      </c>
      <c r="G8" s="20" t="inlineStr">
        <is>
          <t>АСТ</t>
        </is>
      </c>
      <c r="H8" s="20" t="inlineStr">
        <is>
          <t>Строймпорттехника</t>
        </is>
      </c>
      <c r="I8" s="20" t="inlineStr">
        <is>
          <t>Дзикай</t>
        </is>
      </c>
      <c r="K8" s="15" t="inlineStr"/>
    </row>
    <row r="9">
      <c r="B9" s="12" t="inlineStr">
        <is>
          <t>Двигатель</t>
        </is>
      </c>
      <c r="C9" s="14" t="inlineStr">
        <is>
          <t>—</t>
        </is>
      </c>
      <c r="D9" s="20" t="inlineStr">
        <is>
          <t>Komatsu SAA12V140E</t>
        </is>
      </c>
      <c r="E9" s="20" t="inlineStr">
        <is>
          <t>Komatsu SAA12V140E-7</t>
        </is>
      </c>
      <c r="F9" s="20" t="inlineStr">
        <is>
          <t>Cummins QST30</t>
        </is>
      </c>
      <c r="G9" s="20" t="inlineStr">
        <is>
          <t>Cummins QSK38</t>
        </is>
      </c>
      <c r="H9" s="20" t="inlineStr">
        <is>
          <t>Weichai 12M33</t>
        </is>
      </c>
      <c r="I9" s="20" t="inlineStr">
        <is>
          <t>Weichai 12M33</t>
        </is>
      </c>
      <c r="K9" s="15" t="inlineStr"/>
    </row>
    <row r="10">
      <c r="B10" s="5" t="inlineStr">
        <is>
          <t>B. СТОИМОСТЬ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12" t="inlineStr">
        <is>
          <t>Цена за единицу</t>
        </is>
      </c>
      <c r="C11" s="14" t="inlineStr">
        <is>
          <t>тыс.вал.</t>
        </is>
      </c>
      <c r="D11" s="21" t="n">
        <v>3800</v>
      </c>
      <c r="E11" s="21" t="n">
        <v>3401.64</v>
      </c>
      <c r="F11" s="21" t="n">
        <v>20129</v>
      </c>
      <c r="G11" s="21" t="n">
        <v>19621.62</v>
      </c>
      <c r="H11" s="21" t="n">
        <v>16742.05</v>
      </c>
      <c r="I11" s="21" t="n">
        <v>15400</v>
      </c>
      <c r="K11" s="15" t="inlineStr">
        <is>
          <t>В валюте контракта</t>
        </is>
      </c>
    </row>
    <row r="12">
      <c r="B12" s="12" t="inlineStr">
        <is>
          <t>Валюта цены</t>
        </is>
      </c>
      <c r="C12" s="14" t="inlineStr">
        <is>
          <t>—</t>
        </is>
      </c>
      <c r="D12" s="20" t="inlineStr">
        <is>
          <t>USD</t>
        </is>
      </c>
      <c r="E12" s="20" t="inlineStr">
        <is>
          <t>USD</t>
        </is>
      </c>
      <c r="F12" s="20" t="inlineStr">
        <is>
          <t>CNY</t>
        </is>
      </c>
      <c r="G12" s="20" t="inlineStr">
        <is>
          <t>CNY</t>
        </is>
      </c>
      <c r="H12" s="20" t="inlineStr">
        <is>
          <t>CNY</t>
        </is>
      </c>
      <c r="I12" s="20" t="inlineStr">
        <is>
          <t>CNY</t>
        </is>
      </c>
      <c r="K12" s="15" t="inlineStr">
        <is>
          <t>CNY / USD / EUR / RUB</t>
        </is>
      </c>
    </row>
    <row r="13">
      <c r="B13" s="12" t="inlineStr">
        <is>
          <t>Монтаж, доставка, ПНР</t>
        </is>
      </c>
      <c r="C13" s="14" t="inlineStr">
        <is>
          <t>тыс.руб</t>
        </is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K13" s="15" t="inlineStr">
        <is>
          <t>Дополнительно к цене</t>
        </is>
      </c>
    </row>
    <row r="14">
      <c r="B14" s="5" t="inlineStr">
        <is>
          <t>C. ПРОИЗВОДИТЕЛЬНОСТЬ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12" t="inlineStr">
        <is>
          <t>Геометрический объём ковша</t>
        </is>
      </c>
      <c r="C15" s="14" t="inlineStr">
        <is>
          <t>м³</t>
        </is>
      </c>
      <c r="D15" s="22" t="n">
        <v>10</v>
      </c>
      <c r="E15" s="22" t="n">
        <v>10</v>
      </c>
      <c r="F15" s="22" t="n">
        <v>10</v>
      </c>
      <c r="G15" s="22" t="n">
        <v>10</v>
      </c>
      <c r="H15" s="22" t="n">
        <v>9.6</v>
      </c>
      <c r="I15" s="22" t="n">
        <v>12</v>
      </c>
      <c r="K15" s="15" t="inlineStr">
        <is>
          <t>Участвует в расчёте производительности</t>
        </is>
      </c>
    </row>
    <row r="16">
      <c r="B16" s="12" t="inlineStr">
        <is>
          <t>Время цикла экскавации</t>
        </is>
      </c>
      <c r="C16" s="14" t="inlineStr">
        <is>
          <t>сек</t>
        </is>
      </c>
      <c r="D16" s="22" t="n">
        <v>37.3</v>
      </c>
      <c r="E16" s="22" t="n">
        <v>37.3</v>
      </c>
      <c r="F16" s="22" t="n">
        <v>37.3</v>
      </c>
      <c r="G16" s="22" t="n">
        <v>37.3</v>
      </c>
      <c r="H16" s="22" t="n">
        <v>37.3</v>
      </c>
      <c r="I16" s="22" t="n">
        <v>37.3</v>
      </c>
      <c r="K16" s="15" t="inlineStr">
        <is>
          <t>Черпание–поворот–разгрузка–поворот</t>
        </is>
      </c>
    </row>
    <row r="17">
      <c r="B17" s="5" t="inlineStr">
        <is>
          <t>D. РЕЖИМ ЭКСПЛУАТАЦИИ</t>
        </is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12" t="inlineStr">
        <is>
          <t>КТГ (коэф. техготовности), средний</t>
        </is>
      </c>
      <c r="C18" s="14" t="inlineStr">
        <is>
          <t>коэф.</t>
        </is>
      </c>
      <c r="D18" s="23" t="n">
        <v>0.84</v>
      </c>
      <c r="E18" s="23" t="n">
        <v>0.8080000000000001</v>
      </c>
      <c r="F18" s="23" t="n">
        <v>0.738</v>
      </c>
      <c r="G18" s="23" t="n">
        <v>0.738</v>
      </c>
      <c r="H18" s="23" t="n">
        <v>0.738</v>
      </c>
      <c r="I18" s="23" t="n">
        <v>0.738</v>
      </c>
      <c r="K18" s="15" t="inlineStr">
        <is>
          <t>Средний за срок службы (доля готового времени)</t>
        </is>
      </c>
    </row>
    <row r="19">
      <c r="B19" s="12" t="inlineStr">
        <is>
          <t>Ежесменные простои</t>
        </is>
      </c>
      <c r="C19" s="14" t="inlineStr">
        <is>
          <t>мин/см</t>
        </is>
      </c>
      <c r="D19" s="22" t="n">
        <v>266.1</v>
      </c>
      <c r="E19" s="22" t="n">
        <v>266.1</v>
      </c>
      <c r="F19" s="22" t="n">
        <v>266.1</v>
      </c>
      <c r="G19" s="22" t="n">
        <v>266.1</v>
      </c>
      <c r="H19" s="22" t="n">
        <v>266.1</v>
      </c>
      <c r="I19" s="22" t="n">
        <v>266.1</v>
      </c>
      <c r="K19" s="15" t="inlineStr">
        <is>
          <t>ОТМ, ожидание а/с, прочие организационные</t>
        </is>
      </c>
    </row>
    <row r="20">
      <c r="B20" s="5" t="inlineStr">
        <is>
          <t>E. ТОПЛИВО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12" t="inlineStr">
        <is>
          <t>Удельный расход ДТ</t>
        </is>
      </c>
      <c r="C21" s="14" t="inlineStr">
        <is>
          <t>кг/час</t>
        </is>
      </c>
      <c r="D21" s="22" t="n">
        <v>88.45999999999999</v>
      </c>
      <c r="E21" s="22" t="n">
        <v>85.81</v>
      </c>
      <c r="F21" s="22" t="n">
        <v>90.23</v>
      </c>
      <c r="G21" s="22" t="n">
        <v>92.04000000000001</v>
      </c>
      <c r="H21" s="22" t="n">
        <v>102</v>
      </c>
      <c r="I21" s="22" t="n">
        <v>120</v>
      </c>
      <c r="K21" s="15" t="inlineStr">
        <is>
          <t>Ключевой драйвер OPEX</t>
        </is>
      </c>
    </row>
    <row r="22">
      <c r="B22" s="5" t="inlineStr">
        <is>
          <t>F. ГОДОВЫЕ ЗАТРАТЫ (средние)</t>
        </is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12" t="inlineStr">
        <is>
          <t>ТОиР и сервис (ТО, ТР, ППР, ремонты)</t>
        </is>
      </c>
      <c r="C23" s="14" t="inlineStr">
        <is>
          <t>тыс.руб/год</t>
        </is>
      </c>
      <c r="D23" s="21" t="n">
        <v>42690</v>
      </c>
      <c r="E23" s="21" t="n">
        <v>42690</v>
      </c>
      <c r="F23" s="21" t="n">
        <v>34556</v>
      </c>
      <c r="G23" s="21" t="n">
        <v>65685</v>
      </c>
      <c r="H23" s="21" t="n">
        <v>34556</v>
      </c>
      <c r="I23" s="21" t="n">
        <v>51705</v>
      </c>
      <c r="K23" s="15" t="inlineStr">
        <is>
          <t>Среднегодовые затраты на обслуживание и ремонт</t>
        </is>
      </c>
    </row>
    <row r="24">
      <c r="B24" s="12" t="inlineStr">
        <is>
          <t>Расходники на ковш (зубья, коронки)</t>
        </is>
      </c>
      <c r="C24" s="14" t="inlineStr">
        <is>
          <t>руб/м³</t>
        </is>
      </c>
      <c r="D24" s="24" t="n">
        <v>0.87</v>
      </c>
      <c r="E24" s="24" t="n">
        <v>0.87</v>
      </c>
      <c r="F24" s="24" t="n">
        <v>0.87</v>
      </c>
      <c r="G24" s="24" t="n">
        <v>0.87</v>
      </c>
      <c r="H24" s="24" t="n">
        <v>0.87</v>
      </c>
      <c r="I24" s="24" t="n">
        <v>0.87</v>
      </c>
      <c r="K24" s="15" t="inlineStr">
        <is>
          <t>Удельные на кубометр вынутой породы</t>
        </is>
      </c>
    </row>
    <row r="25">
      <c r="B25" s="12" t="inlineStr">
        <is>
          <t>Расходы на персонал (экипаж)</t>
        </is>
      </c>
      <c r="C25" s="14" t="inlineStr">
        <is>
          <t>тыс.руб/год</t>
        </is>
      </c>
      <c r="D25" s="21" t="n">
        <v>10015</v>
      </c>
      <c r="E25" s="21" t="n">
        <v>10015</v>
      </c>
      <c r="F25" s="21" t="n">
        <v>10015</v>
      </c>
      <c r="G25" s="21" t="n">
        <v>10015</v>
      </c>
      <c r="H25" s="21" t="n">
        <v>10015</v>
      </c>
      <c r="I25" s="21" t="n">
        <v>10015</v>
      </c>
      <c r="K25" s="15" t="inlineStr">
        <is>
          <t>ФОТ с отчислениями на 1 машину</t>
        </is>
      </c>
    </row>
  </sheetData>
  <mergeCells count="8">
    <mergeCell ref="B1:K1"/>
    <mergeCell ref="B14:K14"/>
    <mergeCell ref="B22:K22"/>
    <mergeCell ref="B17:K17"/>
    <mergeCell ref="B6:K6"/>
    <mergeCell ref="B2:K2"/>
    <mergeCell ref="B20:K20"/>
    <mergeCell ref="B10:K10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 (тыс.м³) по каждому экскаватору.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1" t="inlineStr">
        <is>
          <t>Показатель</t>
        </is>
      </c>
      <c r="C4" s="11" t="inlineStr">
        <is>
          <t>Ед.</t>
        </is>
      </c>
      <c r="D4" s="11">
        <f>'Ввод данных'!D7</f>
        <v/>
      </c>
      <c r="E4" s="11">
        <f>'Ввод данных'!E7</f>
        <v/>
      </c>
      <c r="F4" s="11">
        <f>'Ввод данных'!F7</f>
        <v/>
      </c>
      <c r="G4" s="11">
        <f>'Ввод данных'!G7</f>
        <v/>
      </c>
      <c r="H4" s="11">
        <f>'Ввод данных'!H7</f>
        <v/>
      </c>
      <c r="I4" s="11">
        <f>'Ввод данных'!I7</f>
        <v/>
      </c>
    </row>
    <row r="5">
      <c r="B5" s="25" t="inlineStr">
        <is>
          <t>Стоимость в рублях</t>
        </is>
      </c>
      <c r="C5" s="14" t="inlineStr">
        <is>
          <t>тыс.руб</t>
        </is>
      </c>
      <c r="D5" s="26">
        <f>'Ввод данных'!D11*IF('Ввод данных'!D12="CNY",'Параметры'!C14,IF('Ввод данных'!D12="USD",'Параметры'!C15,IF('Ввод данных'!D12="EUR",'Параметры'!C16,1)))+'Ввод данных'!D13</f>
        <v/>
      </c>
      <c r="E5" s="26">
        <f>'Ввод данных'!E11*IF('Ввод данных'!E12="CNY",'Параметры'!C14,IF('Ввод данных'!E12="USD",'Параметры'!C15,IF('Ввод данных'!E12="EUR",'Параметры'!C16,1)))+'Ввод данных'!E13</f>
        <v/>
      </c>
      <c r="F5" s="26">
        <f>'Ввод данных'!F11*IF('Ввод данных'!F12="CNY",'Параметры'!C14,IF('Ввод данных'!F12="USD",'Параметры'!C15,IF('Ввод данных'!F12="EUR",'Параметры'!C16,1)))+'Ввод данных'!F13</f>
        <v/>
      </c>
      <c r="G5" s="26">
        <f>'Ввод данных'!G11*IF('Ввод данных'!G12="CNY",'Параметры'!C14,IF('Ввод данных'!G12="USD",'Параметры'!C15,IF('Ввод данных'!G12="EUR",'Параметры'!C16,1)))+'Ввод данных'!G13</f>
        <v/>
      </c>
      <c r="H5" s="26">
        <f>'Ввод данных'!H11*IF('Ввод данных'!H12="CNY",'Параметры'!C14,IF('Ввод данных'!H12="USD",'Параметры'!C15,IF('Ввод данных'!H12="EUR",'Параметры'!C16,1)))+'Ввод данных'!H13</f>
        <v/>
      </c>
      <c r="I5" s="26">
        <f>'Ввод данных'!I11*IF('Ввод данных'!I12="CNY",'Параметры'!C14,IF('Ввод данных'!I12="USD",'Параметры'!C15,IF('Ввод данных'!I12="EUR",'Параметры'!C16,1)))+'Ввод данных'!I13</f>
        <v/>
      </c>
    </row>
    <row r="6">
      <c r="B6" s="12" t="inlineStr">
        <is>
          <t>Порода в ковше</t>
        </is>
      </c>
      <c r="C6" s="14" t="inlineStr">
        <is>
          <t>т</t>
        </is>
      </c>
      <c r="D6" s="27">
        <f>'Ввод данных'!D15*'Параметры'!C21*('Параметры'!C23/'Параметры'!C22)*'Параметры'!C24</f>
        <v/>
      </c>
      <c r="E6" s="27">
        <f>'Ввод данных'!E15*'Параметры'!C21*('Параметры'!C23/'Параметры'!C22)*'Параметры'!C24</f>
        <v/>
      </c>
      <c r="F6" s="27">
        <f>'Ввод данных'!F15*'Параметры'!C21*('Параметры'!C23/'Параметры'!C22)*'Параметры'!C24</f>
        <v/>
      </c>
      <c r="G6" s="27">
        <f>'Ввод данных'!G15*'Параметры'!C21*('Параметры'!C23/'Параметры'!C22)*'Параметры'!C24</f>
        <v/>
      </c>
      <c r="H6" s="27">
        <f>'Ввод данных'!H15*'Параметры'!C21*('Параметры'!C23/'Параметры'!C22)*'Параметры'!C24</f>
        <v/>
      </c>
      <c r="I6" s="27">
        <f>'Ввод данных'!I15*'Параметры'!C21*('Параметры'!C23/'Параметры'!C22)*'Параметры'!C24</f>
        <v/>
      </c>
    </row>
    <row r="7">
      <c r="B7" s="12" t="inlineStr">
        <is>
          <t>Ковшей на самосвал (циклов)</t>
        </is>
      </c>
      <c r="C7" s="14" t="inlineStr">
        <is>
          <t>шт</t>
        </is>
      </c>
      <c r="D7" s="26">
        <f>ROUNDUP('Параметры'!C25/D6,0)</f>
        <v/>
      </c>
      <c r="E7" s="26">
        <f>ROUNDUP('Параметры'!C25/E6,0)</f>
        <v/>
      </c>
      <c r="F7" s="26">
        <f>ROUNDUP('Параметры'!C25/F6,0)</f>
        <v/>
      </c>
      <c r="G7" s="26">
        <f>ROUNDUP('Параметры'!C25/G6,0)</f>
        <v/>
      </c>
      <c r="H7" s="26">
        <f>ROUNDUP('Параметры'!C25/H6,0)</f>
        <v/>
      </c>
      <c r="I7" s="26">
        <f>ROUNDUP('Параметры'!C25/I6,0)</f>
        <v/>
      </c>
    </row>
    <row r="8">
      <c r="B8" s="12" t="inlineStr">
        <is>
          <t>Самосвалов за час работы</t>
        </is>
      </c>
      <c r="C8" s="14" t="inlineStr">
        <is>
          <t>а/с/ч</t>
        </is>
      </c>
      <c r="D8" s="27">
        <f>3600/(D7*'Ввод данных'!D16+'Параметры'!C26)</f>
        <v/>
      </c>
      <c r="E8" s="27">
        <f>3600/(E7*'Ввод данных'!E16+'Параметры'!C26)</f>
        <v/>
      </c>
      <c r="F8" s="27">
        <f>3600/(F7*'Ввод данных'!F16+'Параметры'!C26)</f>
        <v/>
      </c>
      <c r="G8" s="27">
        <f>3600/(G7*'Ввод данных'!G16+'Параметры'!C26)</f>
        <v/>
      </c>
      <c r="H8" s="27">
        <f>3600/(H7*'Ввод данных'!H16+'Параметры'!C26)</f>
        <v/>
      </c>
      <c r="I8" s="27">
        <f>3600/(I7*'Ввод данных'!I16+'Параметры'!C26)</f>
        <v/>
      </c>
    </row>
    <row r="9">
      <c r="B9" s="12" t="inlineStr">
        <is>
          <t>Часовая производительность</t>
        </is>
      </c>
      <c r="C9" s="14" t="inlineStr">
        <is>
          <t>т/час</t>
        </is>
      </c>
      <c r="D9" s="26">
        <f>'Параметры'!C25*D8</f>
        <v/>
      </c>
      <c r="E9" s="26">
        <f>'Параметры'!C25*E8</f>
        <v/>
      </c>
      <c r="F9" s="26">
        <f>'Параметры'!C25*F8</f>
        <v/>
      </c>
      <c r="G9" s="26">
        <f>'Параметры'!C25*G8</f>
        <v/>
      </c>
      <c r="H9" s="26">
        <f>'Параметры'!C25*H8</f>
        <v/>
      </c>
      <c r="I9" s="26">
        <f>'Параметры'!C25*I8</f>
        <v/>
      </c>
    </row>
    <row r="10">
      <c r="B10" s="12" t="inlineStr">
        <is>
          <t>Часовая производительность</t>
        </is>
      </c>
      <c r="C10" s="14" t="inlineStr">
        <is>
          <t>м³/час</t>
        </is>
      </c>
      <c r="D10" s="28">
        <f>D9/'Параметры'!C21</f>
        <v/>
      </c>
      <c r="E10" s="28">
        <f>E9/'Параметры'!C21</f>
        <v/>
      </c>
      <c r="F10" s="28">
        <f>F9/'Параметры'!C21</f>
        <v/>
      </c>
      <c r="G10" s="28">
        <f>G9/'Параметры'!C21</f>
        <v/>
      </c>
      <c r="H10" s="28">
        <f>H9/'Параметры'!C21</f>
        <v/>
      </c>
      <c r="I10" s="28">
        <f>I9/'Параметры'!C21</f>
        <v/>
      </c>
    </row>
    <row r="11">
      <c r="B11" s="12" t="inlineStr">
        <is>
          <t>Время техготовности</t>
        </is>
      </c>
      <c r="C11" s="14" t="inlineStr">
        <is>
          <t>час/год</t>
        </is>
      </c>
      <c r="D11" s="26">
        <f>'Параметры'!C20*'Ввод данных'!D18</f>
        <v/>
      </c>
      <c r="E11" s="26">
        <f>'Параметры'!C20*'Ввод данных'!E18</f>
        <v/>
      </c>
      <c r="F11" s="26">
        <f>'Параметры'!C20*'Ввод данных'!F18</f>
        <v/>
      </c>
      <c r="G11" s="26">
        <f>'Параметры'!C20*'Ввод данных'!G18</f>
        <v/>
      </c>
      <c r="H11" s="26">
        <f>'Параметры'!C20*'Ввод данных'!H18</f>
        <v/>
      </c>
      <c r="I11" s="26">
        <f>'Параметры'!C20*'Ввод данных'!I18</f>
        <v/>
      </c>
    </row>
    <row r="12">
      <c r="B12" s="12" t="inlineStr">
        <is>
          <t>Эффективное (рабочее) время</t>
        </is>
      </c>
      <c r="C12" s="14" t="inlineStr">
        <is>
          <t>час/год</t>
        </is>
      </c>
      <c r="D12" s="26">
        <f>D11*(1-'Ввод данных'!D19/(60*'Параметры'!C27))</f>
        <v/>
      </c>
      <c r="E12" s="26">
        <f>E11*(1-'Ввод данных'!E19/(60*'Параметры'!C27))</f>
        <v/>
      </c>
      <c r="F12" s="26">
        <f>F11*(1-'Ввод данных'!F19/(60*'Параметры'!C27))</f>
        <v/>
      </c>
      <c r="G12" s="26">
        <f>G11*(1-'Ввод данных'!G19/(60*'Параметры'!C27))</f>
        <v/>
      </c>
      <c r="H12" s="26">
        <f>H11*(1-'Ввод данных'!H19/(60*'Параметры'!C27))</f>
        <v/>
      </c>
      <c r="I12" s="26">
        <f>I11*(1-'Ввод данных'!I19/(60*'Параметры'!C27))</f>
        <v/>
      </c>
    </row>
    <row r="13">
      <c r="B13" s="12" t="inlineStr">
        <is>
          <t>КИО (коэф. использования)</t>
        </is>
      </c>
      <c r="C13" s="14" t="inlineStr">
        <is>
          <t>коэф.</t>
        </is>
      </c>
      <c r="D13" s="29">
        <f>D12/'Параметры'!C20</f>
        <v/>
      </c>
      <c r="E13" s="29">
        <f>E12/'Параметры'!C20</f>
        <v/>
      </c>
      <c r="F13" s="29">
        <f>F12/'Параметры'!C20</f>
        <v/>
      </c>
      <c r="G13" s="29">
        <f>G12/'Параметры'!C20</f>
        <v/>
      </c>
      <c r="H13" s="29">
        <f>H12/'Параметры'!C20</f>
        <v/>
      </c>
      <c r="I13" s="29">
        <f>I12/'Параметры'!C20</f>
        <v/>
      </c>
    </row>
    <row r="14">
      <c r="B14" s="30" t="inlineStr">
        <is>
          <t>Годовая производительность</t>
        </is>
      </c>
      <c r="C14" s="14" t="inlineStr">
        <is>
          <t>тыс.м³/год</t>
        </is>
      </c>
      <c r="D14" s="31">
        <f>D10*D12/1000</f>
        <v/>
      </c>
      <c r="E14" s="31">
        <f>E10*E12/1000</f>
        <v/>
      </c>
      <c r="F14" s="31">
        <f>F10*F12/1000</f>
        <v/>
      </c>
      <c r="G14" s="31">
        <f>G10*G12/1000</f>
        <v/>
      </c>
      <c r="H14" s="31">
        <f>H10*H12/1000</f>
        <v/>
      </c>
      <c r="I14" s="31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(РУБ/М³)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приведённый аннуитет: операционный + инвестиционный. Разбивка по статьям.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1" t="inlineStr">
        <is>
          <t>Статья</t>
        </is>
      </c>
      <c r="C4" s="11" t="inlineStr">
        <is>
          <t>Ед.</t>
        </is>
      </c>
      <c r="D4" s="11">
        <f>'Ввод данных'!D7</f>
        <v/>
      </c>
      <c r="E4" s="11">
        <f>'Ввод данных'!E7</f>
        <v/>
      </c>
      <c r="F4" s="11">
        <f>'Ввод данных'!F7</f>
        <v/>
      </c>
      <c r="G4" s="11">
        <f>'Ввод данных'!G7</f>
        <v/>
      </c>
      <c r="H4" s="11">
        <f>'Ввод данных'!H7</f>
        <v/>
      </c>
      <c r="I4" s="11">
        <f>'Ввод данных'!I7</f>
        <v/>
      </c>
    </row>
    <row r="5">
      <c r="B5" s="5" t="inlineStr">
        <is>
          <t>ГОДОВЫЕ ДЕНЕЖНЫЕ ЗАТРАТЫ (средние, тыс.руб/год)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12" t="inlineStr">
        <is>
          <t>Дизтопливо</t>
        </is>
      </c>
      <c r="C6" s="14" t="inlineStr">
        <is>
          <t>тыс.руб/год</t>
        </is>
      </c>
      <c r="D6" s="26">
        <f>'Производительность'!D12*'Ввод данных'!D21*'Параметры'!C10/1000</f>
        <v/>
      </c>
      <c r="E6" s="26">
        <f>'Производительность'!E12*'Ввод данных'!E21*'Параметры'!C10/1000</f>
        <v/>
      </c>
      <c r="F6" s="26">
        <f>'Производительность'!F12*'Ввод данных'!F21*'Параметры'!C10/1000</f>
        <v/>
      </c>
      <c r="G6" s="26">
        <f>'Производительность'!G12*'Ввод данных'!G21*'Параметры'!C10/1000</f>
        <v/>
      </c>
      <c r="H6" s="26">
        <f>'Производительность'!H12*'Ввод данных'!H21*'Параметры'!C10/1000</f>
        <v/>
      </c>
      <c r="I6" s="26">
        <f>'Производительность'!I12*'Ввод данных'!I21*'Параметры'!C10/1000</f>
        <v/>
      </c>
    </row>
    <row r="7">
      <c r="B7" s="12" t="inlineStr">
        <is>
          <t>ТОиР и сервис</t>
        </is>
      </c>
      <c r="C7" s="14" t="inlineStr">
        <is>
          <t>тыс.руб/год</t>
        </is>
      </c>
      <c r="D7" s="26">
        <f>'Ввод данных'!D23</f>
        <v/>
      </c>
      <c r="E7" s="26">
        <f>'Ввод данных'!E23</f>
        <v/>
      </c>
      <c r="F7" s="26">
        <f>'Ввод данных'!F23</f>
        <v/>
      </c>
      <c r="G7" s="26">
        <f>'Ввод данных'!G23</f>
        <v/>
      </c>
      <c r="H7" s="26">
        <f>'Ввод данных'!H23</f>
        <v/>
      </c>
      <c r="I7" s="26">
        <f>'Ввод данных'!I23</f>
        <v/>
      </c>
    </row>
    <row r="8">
      <c r="B8" s="12" t="inlineStr">
        <is>
          <t>Расходники на ковш</t>
        </is>
      </c>
      <c r="C8" s="14" t="inlineStr">
        <is>
          <t>тыс.руб/год</t>
        </is>
      </c>
      <c r="D8" s="26">
        <f>'Ввод данных'!D24*'Производительность'!D14</f>
        <v/>
      </c>
      <c r="E8" s="26">
        <f>'Ввод данных'!E24*'Производительность'!E14</f>
        <v/>
      </c>
      <c r="F8" s="26">
        <f>'Ввод данных'!F24*'Производительность'!F14</f>
        <v/>
      </c>
      <c r="G8" s="26">
        <f>'Ввод данных'!G24*'Производительность'!G14</f>
        <v/>
      </c>
      <c r="H8" s="26">
        <f>'Ввод данных'!H24*'Производительность'!H14</f>
        <v/>
      </c>
      <c r="I8" s="26">
        <f>'Ввод данных'!I24*'Производительность'!I14</f>
        <v/>
      </c>
    </row>
    <row r="9">
      <c r="B9" s="12" t="inlineStr">
        <is>
          <t>Расходы на персонал</t>
        </is>
      </c>
      <c r="C9" s="14" t="inlineStr">
        <is>
          <t>тыс.руб/год</t>
        </is>
      </c>
      <c r="D9" s="26">
        <f>'Ввод данных'!D25</f>
        <v/>
      </c>
      <c r="E9" s="26">
        <f>'Ввод данных'!E25</f>
        <v/>
      </c>
      <c r="F9" s="26">
        <f>'Ввод данных'!F25</f>
        <v/>
      </c>
      <c r="G9" s="26">
        <f>'Ввод данных'!G25</f>
        <v/>
      </c>
      <c r="H9" s="26">
        <f>'Ввод данных'!H25</f>
        <v/>
      </c>
      <c r="I9" s="26">
        <f>'Ввод данных'!I25</f>
        <v/>
      </c>
    </row>
    <row r="10">
      <c r="B10" s="25" t="inlineStr">
        <is>
          <t>ИТОГО денежные затраты (OPEX)</t>
        </is>
      </c>
      <c r="C10" s="14" t="inlineStr">
        <is>
          <t>тыс.руб/год</t>
        </is>
      </c>
      <c r="D10" s="26">
        <f>D6+D7+D8+D9</f>
        <v/>
      </c>
      <c r="E10" s="26">
        <f>E6+E7+E8+E9</f>
        <v/>
      </c>
      <c r="F10" s="26">
        <f>F6+F7+F8+F9</f>
        <v/>
      </c>
      <c r="G10" s="26">
        <f>G6+G7+G8+G9</f>
        <v/>
      </c>
      <c r="H10" s="26">
        <f>H6+H7+H8+H9</f>
        <v/>
      </c>
      <c r="I10" s="26">
        <f>I6+I7+I8+I9</f>
        <v/>
      </c>
    </row>
    <row r="11">
      <c r="B11" s="5" t="inlineStr">
        <is>
          <t>ГОДОВОЙ АННУИТЕТ ПО СТАТЬЯМ (тыс.руб/год)</t>
        </is>
      </c>
      <c r="C11" s="4" t="n"/>
      <c r="D11" s="4" t="n"/>
      <c r="E11" s="4" t="n"/>
      <c r="F11" s="4" t="n"/>
      <c r="G11" s="4" t="n"/>
      <c r="H11" s="4" t="n"/>
      <c r="I11" s="4" t="n"/>
    </row>
    <row r="12">
      <c r="B12" s="12" t="inlineStr">
        <is>
          <t>Инвестиционный аннуитет (возврат капитала)</t>
        </is>
      </c>
      <c r="C12" s="14" t="inlineStr">
        <is>
          <t>тыс.руб/год</t>
        </is>
      </c>
      <c r="D12" s="26">
        <f>'Производительность'!D5/'Параметры'!C31</f>
        <v/>
      </c>
      <c r="E12" s="26">
        <f>'Производительность'!E5/'Параметры'!C31</f>
        <v/>
      </c>
      <c r="F12" s="26">
        <f>'Производительность'!F5/'Параметры'!C31</f>
        <v/>
      </c>
      <c r="G12" s="26">
        <f>'Производительность'!G5/'Параметры'!C31</f>
        <v/>
      </c>
      <c r="H12" s="26">
        <f>'Производительность'!H5/'Параметры'!C31</f>
        <v/>
      </c>
      <c r="I12" s="26">
        <f>'Производительность'!I5/'Параметры'!C31</f>
        <v/>
      </c>
    </row>
    <row r="13">
      <c r="B13" s="12" t="inlineStr">
        <is>
          <t>— дизтопливо</t>
        </is>
      </c>
      <c r="C13" s="14" t="inlineStr">
        <is>
          <t>тыс.руб/год</t>
        </is>
      </c>
      <c r="D13" s="26">
        <f>D6</f>
        <v/>
      </c>
      <c r="E13" s="26">
        <f>E6</f>
        <v/>
      </c>
      <c r="F13" s="26">
        <f>F6</f>
        <v/>
      </c>
      <c r="G13" s="26">
        <f>G6</f>
        <v/>
      </c>
      <c r="H13" s="26">
        <f>H6</f>
        <v/>
      </c>
      <c r="I13" s="26">
        <f>I6</f>
        <v/>
      </c>
    </row>
    <row r="14">
      <c r="B14" s="12" t="inlineStr">
        <is>
          <t>— ТОиР и сервис</t>
        </is>
      </c>
      <c r="C14" s="14" t="inlineStr">
        <is>
          <t>тыс.руб/год</t>
        </is>
      </c>
      <c r="D14" s="26">
        <f>D7</f>
        <v/>
      </c>
      <c r="E14" s="26">
        <f>E7</f>
        <v/>
      </c>
      <c r="F14" s="26">
        <f>F7</f>
        <v/>
      </c>
      <c r="G14" s="26">
        <f>G7</f>
        <v/>
      </c>
      <c r="H14" s="26">
        <f>H7</f>
        <v/>
      </c>
      <c r="I14" s="26">
        <f>I7</f>
        <v/>
      </c>
    </row>
    <row r="15">
      <c r="B15" s="12" t="inlineStr">
        <is>
          <t>— расходники на ковш</t>
        </is>
      </c>
      <c r="C15" s="14" t="inlineStr">
        <is>
          <t>тыс.руб/год</t>
        </is>
      </c>
      <c r="D15" s="26">
        <f>D8</f>
        <v/>
      </c>
      <c r="E15" s="26">
        <f>E8</f>
        <v/>
      </c>
      <c r="F15" s="26">
        <f>F8</f>
        <v/>
      </c>
      <c r="G15" s="26">
        <f>G8</f>
        <v/>
      </c>
      <c r="H15" s="26">
        <f>H8</f>
        <v/>
      </c>
      <c r="I15" s="26">
        <f>I8</f>
        <v/>
      </c>
    </row>
    <row r="16">
      <c r="B16" s="12" t="inlineStr">
        <is>
          <t>— персонал</t>
        </is>
      </c>
      <c r="C16" s="14" t="inlineStr">
        <is>
          <t>тыс.руб/год</t>
        </is>
      </c>
      <c r="D16" s="26">
        <f>D9</f>
        <v/>
      </c>
      <c r="E16" s="26">
        <f>E9</f>
        <v/>
      </c>
      <c r="F16" s="26">
        <f>F9</f>
        <v/>
      </c>
      <c r="G16" s="26">
        <f>G9</f>
        <v/>
      </c>
      <c r="H16" s="26">
        <f>H9</f>
        <v/>
      </c>
      <c r="I16" s="26">
        <f>I9</f>
        <v/>
      </c>
    </row>
    <row r="17">
      <c r="B17" s="12" t="inlineStr">
        <is>
          <t>Налог на прибыль (щит: OPEX+амортизация)</t>
        </is>
      </c>
      <c r="C17" s="14" t="inlineStr">
        <is>
          <t>тыс.руб/год</t>
        </is>
      </c>
      <c r="D17" s="26">
        <f>-'Параметры'!C7*(D10+'Производительность'!D5*'Параметры'!C32/'Параметры'!C31)</f>
        <v/>
      </c>
      <c r="E17" s="26">
        <f>-'Параметры'!C7*(E10+'Производительность'!E5*'Параметры'!C32/'Параметры'!C31)</f>
        <v/>
      </c>
      <c r="F17" s="26">
        <f>-'Параметры'!C7*(F10+'Производительность'!F5*'Параметры'!C32/'Параметры'!C31)</f>
        <v/>
      </c>
      <c r="G17" s="26">
        <f>-'Параметры'!C7*(G10+'Производительность'!G5*'Параметры'!C32/'Параметры'!C31)</f>
        <v/>
      </c>
      <c r="H17" s="26">
        <f>-'Параметры'!C7*(H10+'Производительность'!H5*'Параметры'!C32/'Параметры'!C31)</f>
        <v/>
      </c>
      <c r="I17" s="26">
        <f>-'Параметры'!C7*(I10+'Производительность'!I5*'Параметры'!C32/'Параметры'!C31)</f>
        <v/>
      </c>
    </row>
    <row r="18">
      <c r="B18" s="25" t="inlineStr">
        <is>
          <t>Операционный аннуитет (после налога)</t>
        </is>
      </c>
      <c r="C18" s="14" t="inlineStr">
        <is>
          <t>тыс.руб/год</t>
        </is>
      </c>
      <c r="D18" s="26">
        <f>D10+D17</f>
        <v/>
      </c>
      <c r="E18" s="26">
        <f>E10+E17</f>
        <v/>
      </c>
      <c r="F18" s="26">
        <f>F10+F17</f>
        <v/>
      </c>
      <c r="G18" s="26">
        <f>G10+G17</f>
        <v/>
      </c>
      <c r="H18" s="26">
        <f>H10+H17</f>
        <v/>
      </c>
      <c r="I18" s="26">
        <f>I10+I17</f>
        <v/>
      </c>
    </row>
    <row r="19">
      <c r="B19" s="25" t="inlineStr">
        <is>
          <t>ОБЩИЙ АННУИТЕТ</t>
        </is>
      </c>
      <c r="C19" s="14" t="inlineStr">
        <is>
          <t>тыс.руб/год</t>
        </is>
      </c>
      <c r="D19" s="26">
        <f>D12+D18</f>
        <v/>
      </c>
      <c r="E19" s="26">
        <f>E12+E18</f>
        <v/>
      </c>
      <c r="F19" s="26">
        <f>F12+F18</f>
        <v/>
      </c>
      <c r="G19" s="26">
        <f>G12+G18</f>
        <v/>
      </c>
      <c r="H19" s="26">
        <f>H12+H18</f>
        <v/>
      </c>
      <c r="I19" s="26">
        <f>I12+I18</f>
        <v/>
      </c>
    </row>
    <row r="20">
      <c r="B20" s="5" t="inlineStr">
        <is>
          <t>УДЕЛЬНЫЙ АННУИТЕТ (руб/м³) — ГЛАВНЫЙ КРИТЕРИЙ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12" t="inlineStr">
        <is>
          <t>Инвестиционный</t>
        </is>
      </c>
      <c r="C21" s="14" t="inlineStr">
        <is>
          <t>руб/м³</t>
        </is>
      </c>
      <c r="D21" s="27">
        <f>D12/'Производительность'!D14</f>
        <v/>
      </c>
      <c r="E21" s="27">
        <f>E12/'Производительность'!E14</f>
        <v/>
      </c>
      <c r="F21" s="27">
        <f>F12/'Производительность'!F14</f>
        <v/>
      </c>
      <c r="G21" s="27">
        <f>G12/'Производительность'!G14</f>
        <v/>
      </c>
      <c r="H21" s="27">
        <f>H12/'Производительность'!H14</f>
        <v/>
      </c>
      <c r="I21" s="27">
        <f>I12/'Производительность'!I14</f>
        <v/>
      </c>
    </row>
    <row r="22">
      <c r="B22" s="12" t="inlineStr">
        <is>
          <t>Дизтопливо</t>
        </is>
      </c>
      <c r="C22" s="14" t="inlineStr">
        <is>
          <t>руб/м³</t>
        </is>
      </c>
      <c r="D22" s="27">
        <f>D13/'Производительность'!D14</f>
        <v/>
      </c>
      <c r="E22" s="27">
        <f>E13/'Производительность'!E14</f>
        <v/>
      </c>
      <c r="F22" s="27">
        <f>F13/'Производительность'!F14</f>
        <v/>
      </c>
      <c r="G22" s="27">
        <f>G13/'Производительность'!G14</f>
        <v/>
      </c>
      <c r="H22" s="27">
        <f>H13/'Производительность'!H14</f>
        <v/>
      </c>
      <c r="I22" s="27">
        <f>I13/'Производительность'!I14</f>
        <v/>
      </c>
    </row>
    <row r="23">
      <c r="B23" s="12" t="inlineStr">
        <is>
          <t>ТОиР и сервис</t>
        </is>
      </c>
      <c r="C23" s="14" t="inlineStr">
        <is>
          <t>руб/м³</t>
        </is>
      </c>
      <c r="D23" s="27">
        <f>D14/'Производительность'!D14</f>
        <v/>
      </c>
      <c r="E23" s="27">
        <f>E14/'Производительность'!E14</f>
        <v/>
      </c>
      <c r="F23" s="27">
        <f>F14/'Производительность'!F14</f>
        <v/>
      </c>
      <c r="G23" s="27">
        <f>G14/'Производительность'!G14</f>
        <v/>
      </c>
      <c r="H23" s="27">
        <f>H14/'Производительность'!H14</f>
        <v/>
      </c>
      <c r="I23" s="27">
        <f>I14/'Производительность'!I14</f>
        <v/>
      </c>
    </row>
    <row r="24">
      <c r="B24" s="12" t="inlineStr">
        <is>
          <t>Расходники на ковш</t>
        </is>
      </c>
      <c r="C24" s="14" t="inlineStr">
        <is>
          <t>руб/м³</t>
        </is>
      </c>
      <c r="D24" s="27">
        <f>D15/'Производительность'!D14</f>
        <v/>
      </c>
      <c r="E24" s="27">
        <f>E15/'Производительность'!E14</f>
        <v/>
      </c>
      <c r="F24" s="27">
        <f>F15/'Производительность'!F14</f>
        <v/>
      </c>
      <c r="G24" s="27">
        <f>G15/'Производительность'!G14</f>
        <v/>
      </c>
      <c r="H24" s="27">
        <f>H15/'Производительность'!H14</f>
        <v/>
      </c>
      <c r="I24" s="27">
        <f>I15/'Производительность'!I14</f>
        <v/>
      </c>
    </row>
    <row r="25">
      <c r="B25" s="12" t="inlineStr">
        <is>
          <t>Персонал</t>
        </is>
      </c>
      <c r="C25" s="14" t="inlineStr">
        <is>
          <t>руб/м³</t>
        </is>
      </c>
      <c r="D25" s="27">
        <f>D16/'Производительность'!D14</f>
        <v/>
      </c>
      <c r="E25" s="27">
        <f>E16/'Производительность'!E14</f>
        <v/>
      </c>
      <c r="F25" s="27">
        <f>F16/'Производительность'!F14</f>
        <v/>
      </c>
      <c r="G25" s="27">
        <f>G16/'Производительность'!G14</f>
        <v/>
      </c>
      <c r="H25" s="27">
        <f>H16/'Производительность'!H14</f>
        <v/>
      </c>
      <c r="I25" s="27">
        <f>I16/'Производительность'!I14</f>
        <v/>
      </c>
    </row>
    <row r="26">
      <c r="B26" s="12" t="inlineStr">
        <is>
          <t>Налог на прибыль (щит)</t>
        </is>
      </c>
      <c r="C26" s="14" t="inlineStr">
        <is>
          <t>руб/м³</t>
        </is>
      </c>
      <c r="D26" s="27">
        <f>D17/'Производительность'!D14</f>
        <v/>
      </c>
      <c r="E26" s="27">
        <f>E17/'Производительность'!E14</f>
        <v/>
      </c>
      <c r="F26" s="27">
        <f>F17/'Производительность'!F14</f>
        <v/>
      </c>
      <c r="G26" s="27">
        <f>G17/'Производительность'!G14</f>
        <v/>
      </c>
      <c r="H26" s="27">
        <f>H17/'Производительность'!H14</f>
        <v/>
      </c>
      <c r="I26" s="27">
        <f>I17/'Производительность'!I14</f>
        <v/>
      </c>
    </row>
    <row r="27">
      <c r="B27" s="25" t="inlineStr">
        <is>
          <t>Операционный аннуитет</t>
        </is>
      </c>
      <c r="C27" s="14" t="inlineStr">
        <is>
          <t>руб/м³</t>
        </is>
      </c>
      <c r="D27" s="27">
        <f>D18/'Производительность'!D14</f>
        <v/>
      </c>
      <c r="E27" s="27">
        <f>E18/'Производительность'!E14</f>
        <v/>
      </c>
      <c r="F27" s="27">
        <f>F18/'Производительность'!F14</f>
        <v/>
      </c>
      <c r="G27" s="27">
        <f>G18/'Производительность'!G14</f>
        <v/>
      </c>
      <c r="H27" s="27">
        <f>H18/'Производительность'!H14</f>
        <v/>
      </c>
      <c r="I27" s="27">
        <f>I18/'Производительность'!I14</f>
        <v/>
      </c>
    </row>
    <row r="28">
      <c r="B28" s="30" t="inlineStr">
        <is>
          <t>ОБЩИЙ АННУИТЕТ</t>
        </is>
      </c>
      <c r="C28" s="14" t="inlineStr">
        <is>
          <t>руб/м³</t>
        </is>
      </c>
      <c r="D28" s="32">
        <f>D19/'Производительность'!D14</f>
        <v/>
      </c>
      <c r="E28" s="32">
        <f>E19/'Производительность'!E14</f>
        <v/>
      </c>
      <c r="F28" s="32">
        <f>F19/'Производительность'!F14</f>
        <v/>
      </c>
      <c r="G28" s="32">
        <f>G19/'Производительность'!G14</f>
        <v/>
      </c>
      <c r="H28" s="32">
        <f>H19/'Производительность'!H14</f>
        <v/>
      </c>
      <c r="I28" s="32">
        <f>I19/'Производительность'!I14</f>
        <v/>
      </c>
    </row>
    <row r="29">
      <c r="B29" s="5" t="inlineStr">
        <is>
          <t>ДОПОЛНИТЕЛЬНО</t>
        </is>
      </c>
      <c r="C29" s="4" t="n"/>
      <c r="D29" s="4" t="n"/>
      <c r="E29" s="4" t="n"/>
      <c r="F29" s="4" t="n"/>
      <c r="G29" s="4" t="n"/>
      <c r="H29" s="4" t="n"/>
      <c r="I29" s="4" t="n"/>
    </row>
    <row r="30">
      <c r="B30" s="12" t="inlineStr">
        <is>
          <t>Себестоимость (без дисконта)</t>
        </is>
      </c>
      <c r="C30" s="14" t="inlineStr">
        <is>
          <t>руб/м³</t>
        </is>
      </c>
      <c r="D30" s="27">
        <f>D10/'Производительность'!D14</f>
        <v/>
      </c>
      <c r="E30" s="27">
        <f>E10/'Производительность'!E14</f>
        <v/>
      </c>
      <c r="F30" s="27">
        <f>F10/'Производительность'!F14</f>
        <v/>
      </c>
      <c r="G30" s="27">
        <f>G10/'Производительность'!G14</f>
        <v/>
      </c>
      <c r="H30" s="27">
        <f>H10/'Производительность'!H14</f>
        <v/>
      </c>
      <c r="I30" s="27">
        <f>I10/'Производительность'!I14</f>
        <v/>
      </c>
    </row>
    <row r="31">
      <c r="B31" s="12" t="inlineStr">
        <is>
          <t>Доля инвестиций в аннуитете</t>
        </is>
      </c>
      <c r="C31" s="14" t="inlineStr">
        <is>
          <t>%</t>
        </is>
      </c>
      <c r="D31" s="29">
        <f>D21/D28</f>
        <v/>
      </c>
      <c r="E31" s="29">
        <f>E21/E28</f>
        <v/>
      </c>
      <c r="F31" s="29">
        <f>F21/F28</f>
        <v/>
      </c>
      <c r="G31" s="29">
        <f>G21/G28</f>
        <v/>
      </c>
      <c r="H31" s="29">
        <f>H21/H28</f>
        <v/>
      </c>
      <c r="I31" s="29">
        <f>I21/I28</f>
        <v/>
      </c>
    </row>
  </sheetData>
  <mergeCells count="6">
    <mergeCell ref="B1:K1"/>
    <mergeCell ref="B29:I29"/>
    <mergeCell ref="B11:I11"/>
    <mergeCell ref="B20:I20"/>
    <mergeCell ref="B5:I5"/>
    <mergeCell ref="B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K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1" t="inlineStr">
        <is>
          <t>Показатель</t>
        </is>
      </c>
      <c r="C4" s="11" t="inlineStr">
        <is>
          <t>Ед.</t>
        </is>
      </c>
      <c r="D4" s="11">
        <f>'Ввод данных'!D7</f>
        <v/>
      </c>
      <c r="E4" s="11">
        <f>'Ввод данных'!E7</f>
        <v/>
      </c>
      <c r="F4" s="11">
        <f>'Ввод данных'!F7</f>
        <v/>
      </c>
      <c r="G4" s="11">
        <f>'Ввод данных'!G7</f>
        <v/>
      </c>
      <c r="H4" s="11">
        <f>'Ввод данных'!H7</f>
        <v/>
      </c>
      <c r="I4" s="11">
        <f>'Ввод данных'!I7</f>
        <v/>
      </c>
    </row>
    <row r="5">
      <c r="B5" s="12" t="inlineStr">
        <is>
          <t>Стоимость (в рублях)</t>
        </is>
      </c>
      <c r="C5" s="14" t="inlineStr">
        <is>
          <t>тыс.руб</t>
        </is>
      </c>
      <c r="D5" s="26">
        <f>'Производительность'!D5</f>
        <v/>
      </c>
      <c r="E5" s="26">
        <f>'Производительность'!E5</f>
        <v/>
      </c>
      <c r="F5" s="26">
        <f>'Производительность'!F5</f>
        <v/>
      </c>
      <c r="G5" s="26">
        <f>'Производительность'!G5</f>
        <v/>
      </c>
      <c r="H5" s="26">
        <f>'Производительность'!H5</f>
        <v/>
      </c>
      <c r="I5" s="26">
        <f>'Производительность'!I5</f>
        <v/>
      </c>
    </row>
    <row r="6">
      <c r="B6" s="12" t="inlineStr">
        <is>
          <t>Годовая производительность</t>
        </is>
      </c>
      <c r="C6" s="14" t="inlineStr">
        <is>
          <t>тыс.м³</t>
        </is>
      </c>
      <c r="D6" s="26">
        <f>'Производительность'!D14</f>
        <v/>
      </c>
      <c r="E6" s="26">
        <f>'Производительность'!E14</f>
        <v/>
      </c>
      <c r="F6" s="26">
        <f>'Производительность'!F14</f>
        <v/>
      </c>
      <c r="G6" s="26">
        <f>'Производительность'!G14</f>
        <v/>
      </c>
      <c r="H6" s="26">
        <f>'Производительность'!H14</f>
        <v/>
      </c>
      <c r="I6" s="26">
        <f>'Производительность'!I14</f>
        <v/>
      </c>
    </row>
    <row r="7">
      <c r="B7" s="12" t="inlineStr">
        <is>
          <t>КИО</t>
        </is>
      </c>
      <c r="C7" s="14" t="inlineStr">
        <is>
          <t>коэф.</t>
        </is>
      </c>
      <c r="D7" s="29">
        <f>'Производительность'!D13</f>
        <v/>
      </c>
      <c r="E7" s="29">
        <f>'Производительность'!E13</f>
        <v/>
      </c>
      <c r="F7" s="29">
        <f>'Производительность'!F13</f>
        <v/>
      </c>
      <c r="G7" s="29">
        <f>'Производительность'!G13</f>
        <v/>
      </c>
      <c r="H7" s="29">
        <f>'Производительность'!H13</f>
        <v/>
      </c>
      <c r="I7" s="29">
        <f>'Производительность'!I13</f>
        <v/>
      </c>
    </row>
    <row r="8">
      <c r="B8" s="12" t="inlineStr">
        <is>
          <t>Себестоимость (без дисконта)</t>
        </is>
      </c>
      <c r="C8" s="14" t="inlineStr">
        <is>
          <t>руб/м³</t>
        </is>
      </c>
      <c r="D8" s="27">
        <f>'Расчёт аннуитета'!D30</f>
        <v/>
      </c>
      <c r="E8" s="27">
        <f>'Расчёт аннуитета'!E30</f>
        <v/>
      </c>
      <c r="F8" s="27">
        <f>'Расчёт аннуитета'!F30</f>
        <v/>
      </c>
      <c r="G8" s="27">
        <f>'Расчёт аннуитета'!G30</f>
        <v/>
      </c>
      <c r="H8" s="27">
        <f>'Расчёт аннуитета'!H30</f>
        <v/>
      </c>
      <c r="I8" s="27">
        <f>'Расчёт аннуитета'!I30</f>
        <v/>
      </c>
    </row>
    <row r="9">
      <c r="B9" s="12" t="inlineStr">
        <is>
          <t>Инвестиционный аннуитет</t>
        </is>
      </c>
      <c r="C9" s="14" t="inlineStr">
        <is>
          <t>руб/м³</t>
        </is>
      </c>
      <c r="D9" s="27">
        <f>'Расчёт аннуитета'!D21</f>
        <v/>
      </c>
      <c r="E9" s="27">
        <f>'Расчёт аннуитета'!E21</f>
        <v/>
      </c>
      <c r="F9" s="27">
        <f>'Расчёт аннуитета'!F21</f>
        <v/>
      </c>
      <c r="G9" s="27">
        <f>'Расчёт аннуитета'!G21</f>
        <v/>
      </c>
      <c r="H9" s="27">
        <f>'Расчёт аннуитета'!H21</f>
        <v/>
      </c>
      <c r="I9" s="27">
        <f>'Расчёт аннуитета'!I21</f>
        <v/>
      </c>
    </row>
    <row r="10">
      <c r="B10" s="12" t="inlineStr">
        <is>
          <t>Операционный аннуитет</t>
        </is>
      </c>
      <c r="C10" s="14" t="inlineStr">
        <is>
          <t>руб/м³</t>
        </is>
      </c>
      <c r="D10" s="27">
        <f>'Расчёт аннуитета'!D27</f>
        <v/>
      </c>
      <c r="E10" s="27">
        <f>'Расчёт аннуитета'!E27</f>
        <v/>
      </c>
      <c r="F10" s="27">
        <f>'Расчёт аннуитета'!F27</f>
        <v/>
      </c>
      <c r="G10" s="27">
        <f>'Расчёт аннуитета'!G27</f>
        <v/>
      </c>
      <c r="H10" s="27">
        <f>'Расчёт аннуитета'!H27</f>
        <v/>
      </c>
      <c r="I10" s="27">
        <f>'Расчёт аннуитета'!I27</f>
        <v/>
      </c>
    </row>
    <row r="11">
      <c r="B11" s="25" t="inlineStr">
        <is>
          <t>ОБЩИЙ АННУИТЕТ</t>
        </is>
      </c>
      <c r="C11" s="14" t="inlineStr">
        <is>
          <t>руб/м³</t>
        </is>
      </c>
      <c r="D11" s="33">
        <f>'Расчёт аннуитета'!D28</f>
        <v/>
      </c>
      <c r="E11" s="33">
        <f>'Расчёт аннуитета'!E28</f>
        <v/>
      </c>
      <c r="F11" s="33">
        <f>'Расчёт аннуитета'!F28</f>
        <v/>
      </c>
      <c r="G11" s="33">
        <f>'Расчёт аннуитета'!G28</f>
        <v/>
      </c>
      <c r="H11" s="33">
        <f>'Расчёт аннуитета'!H28</f>
        <v/>
      </c>
      <c r="I11" s="33">
        <f>'Расчёт аннуитета'!I28</f>
        <v/>
      </c>
    </row>
    <row r="12">
      <c r="B12" s="5" t="inlineStr">
        <is>
          <t>РАНЖИРОВАНИЕ (критерий: минимум аннуитета руб/м³)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B13" s="34" t="inlineStr">
        <is>
          <t>Место в рейтинге</t>
        </is>
      </c>
      <c r="D13" s="35">
        <f>RANK(D11,D11:I11,1)</f>
        <v/>
      </c>
      <c r="E13" s="35">
        <f>RANK(E11,D11:I11,1)</f>
        <v/>
      </c>
      <c r="F13" s="35">
        <f>RANK(F11,D11:I11,1)</f>
        <v/>
      </c>
      <c r="G13" s="35">
        <f>RANK(G11,D11:I11,1)</f>
        <v/>
      </c>
      <c r="H13" s="35">
        <f>RANK(H11,D11:I11,1)</f>
        <v/>
      </c>
      <c r="I13" s="35">
        <f>RANK(I11,D11:I11,1)</f>
        <v/>
      </c>
    </row>
    <row r="14">
      <c r="B14" s="36" t="inlineStr">
        <is>
          <t>Отклонение от лучшего</t>
        </is>
      </c>
      <c r="D14" s="37">
        <f>D11/MIN(D11:I11)-1</f>
        <v/>
      </c>
      <c r="E14" s="37">
        <f>E11/MIN(D11:I11)-1</f>
        <v/>
      </c>
      <c r="F14" s="37">
        <f>F11/MIN(D11:I11)-1</f>
        <v/>
      </c>
      <c r="G14" s="37">
        <f>G11/MIN(D11:I11)-1</f>
        <v/>
      </c>
      <c r="H14" s="37">
        <f>H11/MIN(D11:I11)-1</f>
        <v/>
      </c>
      <c r="I14" s="37">
        <f>I11/MIN(D11:I11)-1</f>
        <v/>
      </c>
    </row>
    <row r="16">
      <c r="B16" s="38" t="inlineStr">
        <is>
          <t>РЕКОМЕНДУЕМЫЙ ВАРИАНТ:</t>
        </is>
      </c>
      <c r="C16" s="39">
        <f>INDEX(D4:I4,MATCH(MIN(D11:I11),D11:I11,0))&amp;"  ("&amp;TEXT(MIN(D11:I11),"0.00")&amp;" руб/м³)"</f>
        <v/>
      </c>
      <c r="D16" s="40" t="n"/>
      <c r="E16" s="40" t="n"/>
      <c r="F16" s="40" t="n"/>
      <c r="G16" s="40" t="n"/>
      <c r="H16" s="40" t="n"/>
      <c r="I16" s="40" t="n"/>
    </row>
    <row r="18">
      <c r="B18" s="5" t="inlineStr">
        <is>
          <t>СТРУКТУРА УДЕЛЬНОГО АННУИТЕТА (руб/м³)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B19" s="41" t="inlineStr">
        <is>
          <t>Статья</t>
        </is>
      </c>
      <c r="D19" s="11">
        <f>'Ввод данных'!D7</f>
        <v/>
      </c>
      <c r="E19" s="11">
        <f>'Ввод данных'!E7</f>
        <v/>
      </c>
      <c r="F19" s="11">
        <f>'Ввод данных'!F7</f>
        <v/>
      </c>
      <c r="G19" s="11">
        <f>'Ввод данных'!G7</f>
        <v/>
      </c>
      <c r="H19" s="11">
        <f>'Ввод данных'!H7</f>
        <v/>
      </c>
      <c r="I19" s="11">
        <f>'Ввод данных'!I7</f>
        <v/>
      </c>
    </row>
    <row r="20">
      <c r="B20" s="12" t="inlineStr">
        <is>
          <t>Инвестиционный</t>
        </is>
      </c>
      <c r="D20" s="27">
        <f>'Расчёт аннуитета'!D21</f>
        <v/>
      </c>
      <c r="E20" s="27">
        <f>'Расчёт аннуитета'!E21</f>
        <v/>
      </c>
      <c r="F20" s="27">
        <f>'Расчёт аннуитета'!F21</f>
        <v/>
      </c>
      <c r="G20" s="27">
        <f>'Расчёт аннуитета'!G21</f>
        <v/>
      </c>
      <c r="H20" s="27">
        <f>'Расчёт аннуитета'!H21</f>
        <v/>
      </c>
      <c r="I20" s="27">
        <f>'Расчёт аннуитета'!I21</f>
        <v/>
      </c>
    </row>
    <row r="21">
      <c r="B21" s="12" t="inlineStr">
        <is>
          <t>Дизтопливо</t>
        </is>
      </c>
      <c r="D21" s="27">
        <f>'Расчёт аннуитета'!D22</f>
        <v/>
      </c>
      <c r="E21" s="27">
        <f>'Расчёт аннуитета'!E22</f>
        <v/>
      </c>
      <c r="F21" s="27">
        <f>'Расчёт аннуитета'!F22</f>
        <v/>
      </c>
      <c r="G21" s="27">
        <f>'Расчёт аннуитета'!G22</f>
        <v/>
      </c>
      <c r="H21" s="27">
        <f>'Расчёт аннуитета'!H22</f>
        <v/>
      </c>
      <c r="I21" s="27">
        <f>'Расчёт аннуитета'!I22</f>
        <v/>
      </c>
    </row>
    <row r="22">
      <c r="B22" s="12" t="inlineStr">
        <is>
          <t>ТОиР и сервис</t>
        </is>
      </c>
      <c r="D22" s="27">
        <f>'Расчёт аннуитета'!D23</f>
        <v/>
      </c>
      <c r="E22" s="27">
        <f>'Расчёт аннуитета'!E23</f>
        <v/>
      </c>
      <c r="F22" s="27">
        <f>'Расчёт аннуитета'!F23</f>
        <v/>
      </c>
      <c r="G22" s="27">
        <f>'Расчёт аннуитета'!G23</f>
        <v/>
      </c>
      <c r="H22" s="27">
        <f>'Расчёт аннуитета'!H23</f>
        <v/>
      </c>
      <c r="I22" s="27">
        <f>'Расчёт аннуитета'!I23</f>
        <v/>
      </c>
    </row>
    <row r="23">
      <c r="B23" s="12" t="inlineStr">
        <is>
          <t>Расходники на ковш</t>
        </is>
      </c>
      <c r="D23" s="27">
        <f>'Расчёт аннуитета'!D24</f>
        <v/>
      </c>
      <c r="E23" s="27">
        <f>'Расчёт аннуитета'!E24</f>
        <v/>
      </c>
      <c r="F23" s="27">
        <f>'Расчёт аннуитета'!F24</f>
        <v/>
      </c>
      <c r="G23" s="27">
        <f>'Расчёт аннуитета'!G24</f>
        <v/>
      </c>
      <c r="H23" s="27">
        <f>'Расчёт аннуитета'!H24</f>
        <v/>
      </c>
      <c r="I23" s="27">
        <f>'Расчёт аннуитета'!I24</f>
        <v/>
      </c>
    </row>
    <row r="24">
      <c r="B24" s="12" t="inlineStr">
        <is>
          <t>Персонал</t>
        </is>
      </c>
      <c r="D24" s="27">
        <f>'Расчёт аннуитета'!D25</f>
        <v/>
      </c>
      <c r="E24" s="27">
        <f>'Расчёт аннуитета'!E25</f>
        <v/>
      </c>
      <c r="F24" s="27">
        <f>'Расчёт аннуитета'!F25</f>
        <v/>
      </c>
      <c r="G24" s="27">
        <f>'Расчёт аннуитета'!G25</f>
        <v/>
      </c>
      <c r="H24" s="27">
        <f>'Расчёт аннуитета'!H25</f>
        <v/>
      </c>
      <c r="I24" s="27">
        <f>'Расчёт аннуитета'!I25</f>
        <v/>
      </c>
    </row>
    <row r="25">
      <c r="B25" s="12" t="inlineStr">
        <is>
          <t>Налог (щит)</t>
        </is>
      </c>
      <c r="D25" s="27">
        <f>'Расчёт аннуитета'!D26</f>
        <v/>
      </c>
      <c r="E25" s="27">
        <f>'Расчёт аннуитета'!E26</f>
        <v/>
      </c>
      <c r="F25" s="27">
        <f>'Расчёт аннуитета'!F26</f>
        <v/>
      </c>
      <c r="G25" s="27">
        <f>'Расчёт аннуитета'!G26</f>
        <v/>
      </c>
      <c r="H25" s="27">
        <f>'Расчёт аннуитета'!H26</f>
        <v/>
      </c>
      <c r="I25" s="27">
        <f>'Расчёт аннуитета'!I26</f>
        <v/>
      </c>
    </row>
  </sheetData>
  <mergeCells count="5">
    <mergeCell ref="B12:I12"/>
    <mergeCell ref="B18:I18"/>
    <mergeCell ref="B1:K1"/>
    <mergeCell ref="C16:I16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ключевых драйверов и влияние производительности (КТГ)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42" t="n">
        <v>1</v>
      </c>
      <c r="D4" s="43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12" t="inlineStr">
        <is>
          <t>Общий аннуитет</t>
        </is>
      </c>
      <c r="C7" s="14" t="inlineStr">
        <is>
          <t>руб/м³</t>
        </is>
      </c>
      <c r="D7" s="27">
        <f>INDEX('Расчёт аннуитета'!D28:I28,$C$4)</f>
        <v/>
      </c>
    </row>
    <row r="8">
      <c r="B8" s="12" t="inlineStr">
        <is>
          <t>— инвестиционный</t>
        </is>
      </c>
      <c r="C8" s="14" t="inlineStr">
        <is>
          <t>руб/м³</t>
        </is>
      </c>
      <c r="D8" s="27">
        <f>INDEX('Расчёт аннуитета'!D21:I21,$C$4)</f>
        <v/>
      </c>
    </row>
    <row r="9">
      <c r="B9" s="12" t="inlineStr">
        <is>
          <t>— дизтопливо</t>
        </is>
      </c>
      <c r="C9" s="14" t="inlineStr">
        <is>
          <t>руб/м³</t>
        </is>
      </c>
      <c r="D9" s="27">
        <f>INDEX('Расчёт аннуитета'!D22:I22,$C$4)</f>
        <v/>
      </c>
    </row>
    <row r="10">
      <c r="B10" s="12" t="inlineStr">
        <is>
          <t>— ТОиР и сервис</t>
        </is>
      </c>
      <c r="C10" s="14" t="inlineStr">
        <is>
          <t>руб/м³</t>
        </is>
      </c>
      <c r="D10" s="27">
        <f>INDEX('Расчёт аннуитета'!D23:I23,$C$4)</f>
        <v/>
      </c>
    </row>
    <row r="11">
      <c r="B11" s="12" t="inlineStr">
        <is>
          <t>— персонал</t>
        </is>
      </c>
      <c r="C11" s="14" t="inlineStr">
        <is>
          <t>руб/м³</t>
        </is>
      </c>
      <c r="D11" s="27">
        <f>INDEX('Расчёт аннуитета'!D25:I25,$C$4)</f>
        <v/>
      </c>
    </row>
    <row r="12">
      <c r="B12" s="12" t="inlineStr">
        <is>
          <t>Годовая производительность</t>
        </is>
      </c>
      <c r="C12" s="14" t="inlineStr">
        <is>
          <t>тыс.м³</t>
        </is>
      </c>
      <c r="D12" s="26">
        <f>INDEX('Производительность'!D14:I14,$C$4)</f>
        <v/>
      </c>
    </row>
    <row r="13">
      <c r="B13" s="12" t="inlineStr">
        <is>
          <t>Постоянные статьи (инв+ТОиР+перс+щит)</t>
        </is>
      </c>
      <c r="C13" s="14" t="inlineStr">
        <is>
          <t>руб/м³</t>
        </is>
      </c>
      <c r="D13" s="27">
        <f>INDEX('Расчёт аннуитета'!D21:I21,$C$4)+INDEX('Расчёт аннуитета'!D23:I23,$C$4)+INDEX('Расчёт аннуитета'!D25:I25,$C$4)+INDEX('Расчёт аннуитета'!D26:I26,$C$4)</f>
        <v/>
      </c>
    </row>
    <row r="14">
      <c r="B14" s="12" t="inlineStr">
        <is>
          <t>Переменные статьи (топливо+ковш)</t>
        </is>
      </c>
      <c r="C14" s="14" t="inlineStr">
        <is>
          <t>руб/м³</t>
        </is>
      </c>
      <c r="D14" s="27">
        <f>INDEX('Расчёт аннуитета'!D22:I22,$C$4)+INDEX('Расчёт аннуитета'!D24:I24,$C$4)</f>
        <v/>
      </c>
    </row>
    <row r="16">
      <c r="B16" s="5" t="inlineStr">
        <is>
          <t>ТОРНАДО: ВЛИЯНИЕ ДРАЙВЕРОВ НА ОБЩИЙ АННУИТЕТ (руб/м³)</t>
        </is>
      </c>
      <c r="C16" s="4" t="n"/>
      <c r="D16" s="4" t="n"/>
      <c r="E16" s="4" t="n"/>
      <c r="F16" s="4" t="n"/>
      <c r="G16" s="4" t="n"/>
      <c r="H16" s="4" t="n"/>
    </row>
    <row r="17">
      <c r="B17" s="11" t="inlineStr">
        <is>
          <t>Драйвер</t>
        </is>
      </c>
      <c r="C17" s="11" t="inlineStr">
        <is>
          <t>Диапазон</t>
        </is>
      </c>
      <c r="D17" s="11" t="inlineStr">
        <is>
          <t>При снижении</t>
        </is>
      </c>
      <c r="E17" s="11" t="inlineStr">
        <is>
          <t>При росте</t>
        </is>
      </c>
      <c r="F17" s="11" t="inlineStr">
        <is>
          <t>Размах</t>
        </is>
      </c>
      <c r="I17" s="44" t="inlineStr">
        <is>
          <t>низкое</t>
        </is>
      </c>
      <c r="J17" s="44" t="inlineStr">
        <is>
          <t>высокое</t>
        </is>
      </c>
    </row>
    <row r="18">
      <c r="B18" s="12" t="inlineStr">
        <is>
          <t>Расход / цена ДТ</t>
        </is>
      </c>
      <c r="C18" s="45" t="inlineStr">
        <is>
          <t>±20%</t>
        </is>
      </c>
      <c r="D18" s="27">
        <f>$D$7-0.2*($D$9*(1-'Параметры'!C7))</f>
        <v/>
      </c>
      <c r="E18" s="27">
        <f>$D$7+0.2*($D$9*(1-'Параметры'!C7))</f>
        <v/>
      </c>
      <c r="F18" s="27">
        <f>E18-D18</f>
        <v/>
      </c>
      <c r="I18" s="46">
        <f>D18-$D$7</f>
        <v/>
      </c>
      <c r="J18" s="46">
        <f>E18-$D$7</f>
        <v/>
      </c>
    </row>
    <row r="19">
      <c r="B19" s="12" t="inlineStr">
        <is>
          <t>Затраты на ТОиР</t>
        </is>
      </c>
      <c r="C19" s="45" t="inlineStr">
        <is>
          <t>±25%</t>
        </is>
      </c>
      <c r="D19" s="27">
        <f>$D$7-0.25*($D$10*(1-'Параметры'!C7))</f>
        <v/>
      </c>
      <c r="E19" s="27">
        <f>$D$7+0.25*($D$10*(1-'Параметры'!C7))</f>
        <v/>
      </c>
      <c r="F19" s="27">
        <f>E19-D19</f>
        <v/>
      </c>
      <c r="I19" s="46">
        <f>D19-$D$7</f>
        <v/>
      </c>
      <c r="J19" s="46">
        <f>E19-$D$7</f>
        <v/>
      </c>
    </row>
    <row r="20">
      <c r="B20" s="12" t="inlineStr">
        <is>
          <t>Цена приобретения</t>
        </is>
      </c>
      <c r="C20" s="45" t="inlineStr">
        <is>
          <t>±15%</t>
        </is>
      </c>
      <c r="D20" s="27">
        <f>$D$7-0.15*($D$8*(1-'Параметры'!C7*'Параметры'!C32))</f>
        <v/>
      </c>
      <c r="E20" s="27">
        <f>$D$7+0.15*($D$8*(1-'Параметры'!C7*'Параметры'!C32))</f>
        <v/>
      </c>
      <c r="F20" s="27">
        <f>E20-D20</f>
        <v/>
      </c>
      <c r="I20" s="46">
        <f>D20-$D$7</f>
        <v/>
      </c>
      <c r="J20" s="46">
        <f>E20-$D$7</f>
        <v/>
      </c>
    </row>
    <row r="21">
      <c r="B21" s="12" t="inlineStr">
        <is>
          <t>Расходы на персонал</t>
        </is>
      </c>
      <c r="C21" s="45" t="inlineStr">
        <is>
          <t>±15%</t>
        </is>
      </c>
      <c r="D21" s="27">
        <f>$D$7-0.15*($D$11*(1-'Параметры'!C7))</f>
        <v/>
      </c>
      <c r="E21" s="27">
        <f>$D$7+0.15*($D$11*(1-'Параметры'!C7))</f>
        <v/>
      </c>
      <c r="F21" s="27">
        <f>E21-D21</f>
        <v/>
      </c>
      <c r="I21" s="46">
        <f>D21-$D$7</f>
        <v/>
      </c>
      <c r="J21" s="46">
        <f>E21-$D$7</f>
        <v/>
      </c>
    </row>
    <row r="24">
      <c r="B24" s="5" t="inlineStr">
        <is>
          <t>ВЛИЯНИЕ ПРОИЗВОДИТЕЛЬНОСТИ (КТГ / УТИЛИЗАЦИИ)</t>
        </is>
      </c>
      <c r="C24" s="4" t="n"/>
      <c r="D24" s="4" t="n"/>
      <c r="E24" s="4" t="n"/>
      <c r="F24" s="4" t="n"/>
      <c r="G24" s="4" t="n"/>
      <c r="H24" s="4" t="n"/>
    </row>
    <row r="25">
      <c r="B25" s="11" t="inlineStr">
        <is>
          <t>Изменение производительности</t>
        </is>
      </c>
      <c r="C25" s="11" t="inlineStr">
        <is>
          <t>-15%</t>
        </is>
      </c>
      <c r="D25" s="11" t="inlineStr">
        <is>
          <t>-10%</t>
        </is>
      </c>
      <c r="E25" s="11" t="inlineStr">
        <is>
          <t>0%</t>
        </is>
      </c>
      <c r="F25" s="11" t="inlineStr">
        <is>
          <t>+10%</t>
        </is>
      </c>
      <c r="G25" s="11" t="inlineStr">
        <is>
          <t>+15%</t>
        </is>
      </c>
    </row>
    <row r="26">
      <c r="B26" s="25" t="inlineStr">
        <is>
          <t>Общий аннуитет, руб/м³</t>
        </is>
      </c>
      <c r="C26" s="47">
        <f>$D$13/(1+-0.15)+$D$14</f>
        <v/>
      </c>
      <c r="D26" s="47">
        <f>$D$13/(1+-0.1)+$D$14</f>
        <v/>
      </c>
      <c r="E26" s="33">
        <f>$D$13/(1+0.0)+$D$14</f>
        <v/>
      </c>
      <c r="F26" s="47">
        <f>$D$13/(1+0.1)+$D$14</f>
        <v/>
      </c>
      <c r="G26" s="47">
        <f>$D$13/(1+0.15)+$D$14</f>
        <v/>
      </c>
    </row>
    <row r="28">
      <c r="B28" s="48" t="inlineStr">
        <is>
          <t>Рост производительности (КТГ, утилизация) распределяет постоянные затраты на больший объём — удельный аннуитет снижается. Это ключевой рычаг эффективности.</t>
        </is>
      </c>
    </row>
  </sheetData>
  <mergeCells count="7">
    <mergeCell ref="B1:K1"/>
    <mergeCell ref="B6:H6"/>
    <mergeCell ref="B24:H24"/>
    <mergeCell ref="B16:H16"/>
    <mergeCell ref="B2:K2"/>
    <mergeCell ref="D4:H4"/>
    <mergeCell ref="B28:H28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2026-07-16T13:16:28Z</dcterms:created>
  <dcterms:modified xsi:type="dcterms:W3CDTF">2026-07-16T13:16:28Z</dcterms:modified>
</cp:coreProperties>
</file>