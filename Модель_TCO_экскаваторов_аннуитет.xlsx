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Чувствительность" sheetId="16" state="visible" r:id="rId16"/>
    <sheet name="Справочник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1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4" fontId="8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55" customHeight="1">
      <c r="C13" s="6" t="inlineStr">
        <is>
          <t>«Параметры» → «Ввод данных» (цена, ковш, персонал) → листы «Поставщик 1…6» (по каждой машине: простои, статьи ТОиР, ДТ, расходники по годам; КТГ и ИТОГО ТОиР считаются автоматически) → сводка «Данные по годам» тянет их сама → авторасчёт «Производительность», «Денежный поток», «Расчёт аннуитета» → «Дашборд», «Сравнение», «Чувствительность». Правки вносятся только в листы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поставщиком/аналитиком. Зелёные строки (КТГ, ИТОГО ТОиР) — авто; тянутся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данных'!D7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ГОТОВНОСТЬ (простои по годам → КТГ автоматически)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22" t="inlineStr">
        <is>
          <t>Простои на ТО</t>
        </is>
      </c>
      <c r="C8" s="24" t="inlineStr">
        <is>
          <t>ч/год</t>
        </is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</row>
    <row r="9">
      <c r="B9" s="22" t="inlineStr">
        <is>
          <t>Простои в ремонтах</t>
        </is>
      </c>
      <c r="C9" s="24" t="inlineStr">
        <is>
          <t>ч/год</t>
        </is>
      </c>
      <c r="E9" s="31" t="n">
        <v>665.2</v>
      </c>
      <c r="F9" s="31" t="n">
        <v>876</v>
      </c>
      <c r="G9" s="31" t="n">
        <v>1226.4</v>
      </c>
      <c r="H9" s="31" t="n">
        <v>1314</v>
      </c>
      <c r="I9" s="31" t="n">
        <v>1226.4</v>
      </c>
      <c r="J9" s="31" t="n">
        <v>1645.6</v>
      </c>
      <c r="K9" s="31" t="n">
        <v>1869.7</v>
      </c>
      <c r="L9" s="31" t="n">
        <v>1378.5</v>
      </c>
      <c r="M9" s="31" t="n">
        <v>2300.5</v>
      </c>
      <c r="N9" s="31" t="n">
        <v>1518.1</v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8">
        <f>('Параметры'!C26-E8-E9-E10)/'Параметры'!C26</f>
        <v/>
      </c>
      <c r="F11" s="38">
        <f>('Параметры'!C26-F8-F9-F10)/'Параметры'!C26</f>
        <v/>
      </c>
      <c r="G11" s="38">
        <f>('Параметры'!C26-G8-G9-G10)/'Параметры'!C26</f>
        <v/>
      </c>
      <c r="H11" s="38">
        <f>('Параметры'!C26-H8-H9-H10)/'Параметры'!C26</f>
        <v/>
      </c>
      <c r="I11" s="38">
        <f>('Параметры'!C26-I8-I9-I10)/'Параметры'!C26</f>
        <v/>
      </c>
      <c r="J11" s="38">
        <f>('Параметры'!C26-J8-J9-J10)/'Параметры'!C26</f>
        <v/>
      </c>
      <c r="K11" s="38">
        <f>('Параметры'!C26-K8-K9-K10)/'Параметры'!C26</f>
        <v/>
      </c>
      <c r="L11" s="38">
        <f>('Параметры'!C26-L8-L9-L10)/'Параметры'!C26</f>
        <v/>
      </c>
      <c r="M11" s="38">
        <f>('Параметры'!C26-M8-M9-M10)/'Параметры'!C26</f>
        <v/>
      </c>
      <c r="N11" s="38">
        <f>('Параметры'!C26-N8-N9-N10)/'Параметры'!C26</f>
        <v/>
      </c>
    </row>
    <row r="12">
      <c r="B12" s="5" t="inlineStr">
        <is>
          <t>ЗАТРАТЫ НА ТОиР И СЕРВИС (в валюте D5, тыс/год)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ТО (включая смазочные)</t>
        </is>
      </c>
      <c r="C13" s="24" t="inlineStr">
        <is>
          <t>тыс/год</t>
        </is>
      </c>
      <c r="E13" s="31" t="n">
        <v>100.666</v>
      </c>
      <c r="F13" s="31" t="n">
        <v>141.1002</v>
      </c>
      <c r="G13" s="31" t="n">
        <v>633.3182</v>
      </c>
      <c r="H13" s="31" t="n">
        <v>1430.6176</v>
      </c>
      <c r="I13" s="31" t="n">
        <v>211.666</v>
      </c>
      <c r="J13" s="31" t="n">
        <v>673.7523</v>
      </c>
      <c r="K13" s="31" t="n">
        <v>141.1002</v>
      </c>
      <c r="L13" s="31" t="n">
        <v>1390.1835</v>
      </c>
      <c r="M13" s="31" t="n">
        <v>784.7523</v>
      </c>
      <c r="N13" s="31" t="n">
        <v>100.666</v>
      </c>
    </row>
    <row r="14">
      <c r="B14" s="22" t="inlineStr">
        <is>
          <t>Текущие ремонты</t>
        </is>
      </c>
      <c r="C14" s="24" t="inlineStr">
        <is>
          <t>тыс/год</t>
        </is>
      </c>
      <c r="E14" s="31" t="n">
        <v>0</v>
      </c>
      <c r="F14" s="31" t="n">
        <v>0</v>
      </c>
      <c r="G14" s="31" t="n">
        <v>0</v>
      </c>
      <c r="H14" s="31" t="n">
        <v>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31" t="n">
        <v>0</v>
      </c>
    </row>
    <row r="15">
      <c r="B15" s="22" t="inlineStr">
        <is>
          <t>Капитальные ремонты (ППР)</t>
        </is>
      </c>
      <c r="C15" s="24" t="inlineStr">
        <is>
          <t>тыс/год</t>
        </is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</row>
    <row r="16">
      <c r="B16" s="22" t="inlineStr">
        <is>
          <t>Сервис (трудозатраты)</t>
        </is>
      </c>
      <c r="C16" s="24" t="inlineStr">
        <is>
          <t>тыс/год</t>
        </is>
      </c>
      <c r="E16" s="31" t="n">
        <v>0</v>
      </c>
      <c r="F16" s="31" t="n">
        <v>0</v>
      </c>
      <c r="G16" s="31" t="n">
        <v>0</v>
      </c>
      <c r="H16" s="31" t="n">
        <v>0</v>
      </c>
      <c r="I16" s="31" t="n">
        <v>0</v>
      </c>
      <c r="J16" s="31" t="n">
        <v>0</v>
      </c>
      <c r="K16" s="31" t="n">
        <v>0</v>
      </c>
      <c r="L16" s="31" t="n">
        <v>0</v>
      </c>
      <c r="M16" s="31" t="n">
        <v>0</v>
      </c>
      <c r="N16" s="31" t="n">
        <v>0</v>
      </c>
    </row>
    <row r="17">
      <c r="B17" s="37" t="inlineStr">
        <is>
          <t>ИТОГО ТОиР (авто) → в сводку</t>
        </is>
      </c>
      <c r="C17" s="24" t="inlineStr">
        <is>
          <t>тыс/год</t>
        </is>
      </c>
      <c r="E17" s="39">
        <f>SUM(E13:E16)</f>
        <v/>
      </c>
      <c r="F17" s="39">
        <f>SUM(F13:F16)</f>
        <v/>
      </c>
      <c r="G17" s="39">
        <f>SUM(G13:G16)</f>
        <v/>
      </c>
      <c r="H17" s="39">
        <f>SUM(H13:H16)</f>
        <v/>
      </c>
      <c r="I17" s="39">
        <f>SUM(I13:I16)</f>
        <v/>
      </c>
      <c r="J17" s="39">
        <f>SUM(J13:J16)</f>
        <v/>
      </c>
      <c r="K17" s="39">
        <f>SUM(K13:K16)</f>
        <v/>
      </c>
      <c r="L17" s="39">
        <f>SUM(L13:L16)</f>
        <v/>
      </c>
      <c r="M17" s="39">
        <f>SUM(M13:M16)</f>
        <v/>
      </c>
      <c r="N17" s="39">
        <f>SUM(N13:N16)</f>
        <v/>
      </c>
    </row>
    <row r="18">
      <c r="B18" s="5" t="inlineStr">
        <is>
          <t>ТОПЛИВО И РАСХОДНИКИ (по годам)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88.45999999999999</v>
      </c>
      <c r="F19" s="33" t="n">
        <v>88.45999999999999</v>
      </c>
      <c r="G19" s="33" t="n">
        <v>88.45999999999999</v>
      </c>
      <c r="H19" s="33" t="n">
        <v>88.45999999999999</v>
      </c>
      <c r="I19" s="33" t="n">
        <v>88.45999999999999</v>
      </c>
      <c r="J19" s="33" t="n">
        <v>88.45999999999999</v>
      </c>
      <c r="K19" s="33" t="n">
        <v>88.45999999999999</v>
      </c>
      <c r="L19" s="33" t="n">
        <v>88.45999999999999</v>
      </c>
      <c r="M19" s="33" t="n">
        <v>88.45999999999999</v>
      </c>
      <c r="N19" s="33" t="n">
        <v>88.45999999999999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0" t="n">
        <v>0.87</v>
      </c>
      <c r="F20" s="40" t="n">
        <v>0.87</v>
      </c>
      <c r="G20" s="40" t="n">
        <v>0.87</v>
      </c>
      <c r="H20" s="40" t="n">
        <v>0.87</v>
      </c>
      <c r="I20" s="40" t="n">
        <v>0.87</v>
      </c>
      <c r="J20" s="40" t="n">
        <v>0.87</v>
      </c>
      <c r="K20" s="40" t="n">
        <v>0.87</v>
      </c>
      <c r="L20" s="40" t="n">
        <v>0.87</v>
      </c>
      <c r="M20" s="40" t="n">
        <v>0.87</v>
      </c>
      <c r="N20" s="40" t="n">
        <v>0.87</v>
      </c>
    </row>
    <row r="22">
      <c r="B22" s="41" t="inlineStr">
        <is>
          <t>Пример заполнен реальными данными «в расчёте». Замените своими: детализируйте простои и статьи ТОиР — КТГ и ИТОГО пересчитаются, а сводка «Данные по годам» и весь расчёт обновятся автоматически.</t>
        </is>
      </c>
    </row>
  </sheetData>
  <mergeCells count="7">
    <mergeCell ref="B22:N22"/>
    <mergeCell ref="B1:N1"/>
    <mergeCell ref="E4:N4"/>
    <mergeCell ref="B12:N12"/>
    <mergeCell ref="B18:N1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поставщиком/аналитиком. Зелёные строки (КТГ, ИТОГО ТОиР) — авто; тянутся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данных'!E7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ГОТОВНОСТЬ (простои по годам → КТГ автоматически)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22" t="inlineStr">
        <is>
          <t>Простои на ТО</t>
        </is>
      </c>
      <c r="C8" s="24" t="inlineStr">
        <is>
          <t>ч/год</t>
        </is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</row>
    <row r="9">
      <c r="B9" s="22" t="inlineStr">
        <is>
          <t>Простои в ремонтах</t>
        </is>
      </c>
      <c r="C9" s="24" t="inlineStr">
        <is>
          <t>ч/год</t>
        </is>
      </c>
      <c r="E9" s="31" t="n">
        <v>665.2</v>
      </c>
      <c r="F9" s="31" t="n">
        <v>1771.8</v>
      </c>
      <c r="G9" s="31" t="n">
        <v>1537.1</v>
      </c>
      <c r="H9" s="31" t="n">
        <v>2067.9</v>
      </c>
      <c r="I9" s="31" t="n">
        <v>2077.7</v>
      </c>
      <c r="J9" s="31" t="n">
        <v>1645.6</v>
      </c>
      <c r="K9" s="31" t="n">
        <v>1869.7</v>
      </c>
      <c r="L9" s="31" t="n">
        <v>1378.5</v>
      </c>
      <c r="M9" s="31" t="n">
        <v>2300.5</v>
      </c>
      <c r="N9" s="31" t="n">
        <v>1518.1</v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8">
        <f>('Параметры'!C26-E8-E9-E10)/'Параметры'!C26</f>
        <v/>
      </c>
      <c r="F11" s="38">
        <f>('Параметры'!C26-F8-F9-F10)/'Параметры'!C26</f>
        <v/>
      </c>
      <c r="G11" s="38">
        <f>('Параметры'!C26-G8-G9-G10)/'Параметры'!C26</f>
        <v/>
      </c>
      <c r="H11" s="38">
        <f>('Параметры'!C26-H8-H9-H10)/'Параметры'!C26</f>
        <v/>
      </c>
      <c r="I11" s="38">
        <f>('Параметры'!C26-I8-I9-I10)/'Параметры'!C26</f>
        <v/>
      </c>
      <c r="J11" s="38">
        <f>('Параметры'!C26-J8-J9-J10)/'Параметры'!C26</f>
        <v/>
      </c>
      <c r="K11" s="38">
        <f>('Параметры'!C26-K8-K9-K10)/'Параметры'!C26</f>
        <v/>
      </c>
      <c r="L11" s="38">
        <f>('Параметры'!C26-L8-L9-L10)/'Параметры'!C26</f>
        <v/>
      </c>
      <c r="M11" s="38">
        <f>('Параметры'!C26-M8-M9-M10)/'Параметры'!C26</f>
        <v/>
      </c>
      <c r="N11" s="38">
        <f>('Параметры'!C26-N8-N9-N10)/'Параметры'!C26</f>
        <v/>
      </c>
    </row>
    <row r="12">
      <c r="B12" s="5" t="inlineStr">
        <is>
          <t>ЗАТРАТЫ НА ТОиР И СЕРВИС (в валюте D5, тыс/год)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ТО (включая смазочные)</t>
        </is>
      </c>
      <c r="C13" s="24" t="inlineStr">
        <is>
          <t>тыс/год</t>
        </is>
      </c>
      <c r="E13" s="31" t="n">
        <v>100.666</v>
      </c>
      <c r="F13" s="31" t="n">
        <v>141.1002</v>
      </c>
      <c r="G13" s="31" t="n">
        <v>633.3182</v>
      </c>
      <c r="H13" s="31" t="n">
        <v>1430.6176</v>
      </c>
      <c r="I13" s="31" t="n">
        <v>211.666</v>
      </c>
      <c r="J13" s="31" t="n">
        <v>673.7523</v>
      </c>
      <c r="K13" s="31" t="n">
        <v>141.1002</v>
      </c>
      <c r="L13" s="31" t="n">
        <v>1390.1835</v>
      </c>
      <c r="M13" s="31" t="n">
        <v>784.7523</v>
      </c>
      <c r="N13" s="31" t="n">
        <v>100.666</v>
      </c>
    </row>
    <row r="14">
      <c r="B14" s="22" t="inlineStr">
        <is>
          <t>Текущие ремонты</t>
        </is>
      </c>
      <c r="C14" s="24" t="inlineStr">
        <is>
          <t>тыс/год</t>
        </is>
      </c>
      <c r="E14" s="31" t="n">
        <v>0</v>
      </c>
      <c r="F14" s="31" t="n">
        <v>0</v>
      </c>
      <c r="G14" s="31" t="n">
        <v>0</v>
      </c>
      <c r="H14" s="31" t="n">
        <v>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31" t="n">
        <v>0</v>
      </c>
    </row>
    <row r="15">
      <c r="B15" s="22" t="inlineStr">
        <is>
          <t>Капитальные ремонты (ППР)</t>
        </is>
      </c>
      <c r="C15" s="24" t="inlineStr">
        <is>
          <t>тыс/год</t>
        </is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</row>
    <row r="16">
      <c r="B16" s="22" t="inlineStr">
        <is>
          <t>Сервис (трудозатраты)</t>
        </is>
      </c>
      <c r="C16" s="24" t="inlineStr">
        <is>
          <t>тыс/год</t>
        </is>
      </c>
      <c r="E16" s="31" t="n">
        <v>0</v>
      </c>
      <c r="F16" s="31" t="n">
        <v>0</v>
      </c>
      <c r="G16" s="31" t="n">
        <v>0</v>
      </c>
      <c r="H16" s="31" t="n">
        <v>0</v>
      </c>
      <c r="I16" s="31" t="n">
        <v>0</v>
      </c>
      <c r="J16" s="31" t="n">
        <v>0</v>
      </c>
      <c r="K16" s="31" t="n">
        <v>0</v>
      </c>
      <c r="L16" s="31" t="n">
        <v>0</v>
      </c>
      <c r="M16" s="31" t="n">
        <v>0</v>
      </c>
      <c r="N16" s="31" t="n">
        <v>0</v>
      </c>
    </row>
    <row r="17">
      <c r="B17" s="37" t="inlineStr">
        <is>
          <t>ИТОГО ТОиР (авто) → в сводку</t>
        </is>
      </c>
      <c r="C17" s="24" t="inlineStr">
        <is>
          <t>тыс/год</t>
        </is>
      </c>
      <c r="E17" s="39">
        <f>SUM(E13:E16)</f>
        <v/>
      </c>
      <c r="F17" s="39">
        <f>SUM(F13:F16)</f>
        <v/>
      </c>
      <c r="G17" s="39">
        <f>SUM(G13:G16)</f>
        <v/>
      </c>
      <c r="H17" s="39">
        <f>SUM(H13:H16)</f>
        <v/>
      </c>
      <c r="I17" s="39">
        <f>SUM(I13:I16)</f>
        <v/>
      </c>
      <c r="J17" s="39">
        <f>SUM(J13:J16)</f>
        <v/>
      </c>
      <c r="K17" s="39">
        <f>SUM(K13:K16)</f>
        <v/>
      </c>
      <c r="L17" s="39">
        <f>SUM(L13:L16)</f>
        <v/>
      </c>
      <c r="M17" s="39">
        <f>SUM(M13:M16)</f>
        <v/>
      </c>
      <c r="N17" s="39">
        <f>SUM(N13:N16)</f>
        <v/>
      </c>
    </row>
    <row r="18">
      <c r="B18" s="5" t="inlineStr">
        <is>
          <t>ТОПЛИВО И РАСХОДНИКИ (по годам)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85.81</v>
      </c>
      <c r="F19" s="33" t="n">
        <v>85.81</v>
      </c>
      <c r="G19" s="33" t="n">
        <v>85.81</v>
      </c>
      <c r="H19" s="33" t="n">
        <v>85.81</v>
      </c>
      <c r="I19" s="33" t="n">
        <v>85.81</v>
      </c>
      <c r="J19" s="33" t="n">
        <v>85.81</v>
      </c>
      <c r="K19" s="33" t="n">
        <v>85.81</v>
      </c>
      <c r="L19" s="33" t="n">
        <v>85.81</v>
      </c>
      <c r="M19" s="33" t="n">
        <v>85.81</v>
      </c>
      <c r="N19" s="33" t="n">
        <v>85.81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0" t="n">
        <v>0.87</v>
      </c>
      <c r="F20" s="40" t="n">
        <v>0.87</v>
      </c>
      <c r="G20" s="40" t="n">
        <v>0.87</v>
      </c>
      <c r="H20" s="40" t="n">
        <v>0.87</v>
      </c>
      <c r="I20" s="40" t="n">
        <v>0.87</v>
      </c>
      <c r="J20" s="40" t="n">
        <v>0.87</v>
      </c>
      <c r="K20" s="40" t="n">
        <v>0.87</v>
      </c>
      <c r="L20" s="40" t="n">
        <v>0.87</v>
      </c>
      <c r="M20" s="40" t="n">
        <v>0.87</v>
      </c>
      <c r="N20" s="40" t="n">
        <v>0.87</v>
      </c>
    </row>
    <row r="22">
      <c r="B22" s="41" t="inlineStr">
        <is>
          <t>Пример заполнен реальными данными «в расчёте». Замените своими: детализируйте простои и статьи ТОиР — КТГ и ИТОГО пересчитаются, а сводка «Данные по годам» и весь расчёт обновятся автоматически.</t>
        </is>
      </c>
    </row>
  </sheetData>
  <mergeCells count="7">
    <mergeCell ref="B22:N22"/>
    <mergeCell ref="B1:N1"/>
    <mergeCell ref="E4:N4"/>
    <mergeCell ref="B12:N12"/>
    <mergeCell ref="B18:N1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поставщиком/аналитиком. Зелёные строки (КТГ, ИТОГО ТОиР) — авто; тянутся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данных'!F7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ГОТОВНОСТЬ (простои по годам → КТГ автоматически)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22" t="inlineStr">
        <is>
          <t>Простои на ТО</t>
        </is>
      </c>
      <c r="C8" s="24" t="inlineStr">
        <is>
          <t>ч/год</t>
        </is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</row>
    <row r="9">
      <c r="B9" s="22" t="inlineStr">
        <is>
          <t>Простои в ремонтах</t>
        </is>
      </c>
      <c r="C9" s="24" t="inlineStr">
        <is>
          <t>ч/год</t>
        </is>
      </c>
      <c r="E9" s="31" t="n">
        <v>1273.2</v>
      </c>
      <c r="F9" s="31" t="n">
        <v>2379.9</v>
      </c>
      <c r="G9" s="31" t="n">
        <v>2145.1</v>
      </c>
      <c r="H9" s="31" t="n">
        <v>2675.9</v>
      </c>
      <c r="I9" s="31" t="n">
        <v>2685.8</v>
      </c>
      <c r="J9" s="31" t="n">
        <v>2253.6</v>
      </c>
      <c r="K9" s="31" t="n">
        <v>2477.7</v>
      </c>
      <c r="L9" s="31" t="n">
        <v>1986.5</v>
      </c>
      <c r="M9" s="31" t="n">
        <v>2908.6</v>
      </c>
      <c r="N9" s="31" t="n">
        <v>2126.1</v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8">
        <f>('Параметры'!C26-E8-E9-E10)/'Параметры'!C26</f>
        <v/>
      </c>
      <c r="F11" s="38">
        <f>('Параметры'!C26-F8-F9-F10)/'Параметры'!C26</f>
        <v/>
      </c>
      <c r="G11" s="38">
        <f>('Параметры'!C26-G8-G9-G10)/'Параметры'!C26</f>
        <v/>
      </c>
      <c r="H11" s="38">
        <f>('Параметры'!C26-H8-H9-H10)/'Параметры'!C26</f>
        <v/>
      </c>
      <c r="I11" s="38">
        <f>('Параметры'!C26-I8-I9-I10)/'Параметры'!C26</f>
        <v/>
      </c>
      <c r="J11" s="38">
        <f>('Параметры'!C26-J8-J9-J10)/'Параметры'!C26</f>
        <v/>
      </c>
      <c r="K11" s="38">
        <f>('Параметры'!C26-K8-K9-K10)/'Параметры'!C26</f>
        <v/>
      </c>
      <c r="L11" s="38">
        <f>('Параметры'!C26-L8-L9-L10)/'Параметры'!C26</f>
        <v/>
      </c>
      <c r="M11" s="38">
        <f>('Параметры'!C26-M8-M9-M10)/'Параметры'!C26</f>
        <v/>
      </c>
      <c r="N11" s="38">
        <f>('Параметры'!C26-N8-N9-N10)/'Параметры'!C26</f>
        <v/>
      </c>
    </row>
    <row r="12">
      <c r="B12" s="5" t="inlineStr">
        <is>
          <t>ЗАТРАТЫ НА ТОиР И СЕРВИС (в валюте D5, тыс/год)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ТО (включая смазочные)</t>
        </is>
      </c>
      <c r="C13" s="24" t="inlineStr">
        <is>
          <t>тыс/год</t>
        </is>
      </c>
      <c r="E13" s="31" t="n">
        <v>160.7578</v>
      </c>
      <c r="F13" s="31" t="n">
        <v>178.0231</v>
      </c>
      <c r="G13" s="31" t="n">
        <v>1021.9348</v>
      </c>
      <c r="H13" s="31" t="n">
        <v>178.0231</v>
      </c>
      <c r="I13" s="31" t="n">
        <v>291.7228</v>
      </c>
      <c r="J13" s="31" t="n">
        <v>1039.2001</v>
      </c>
      <c r="K13" s="31" t="n">
        <v>160.7578</v>
      </c>
      <c r="L13" s="31" t="n">
        <v>178.0231</v>
      </c>
      <c r="M13" s="31" t="n">
        <v>1021.9348</v>
      </c>
      <c r="N13" s="31" t="n">
        <v>308.9881</v>
      </c>
    </row>
    <row r="14">
      <c r="B14" s="22" t="inlineStr">
        <is>
          <t>Текущие ремонты</t>
        </is>
      </c>
      <c r="C14" s="24" t="inlineStr">
        <is>
          <t>тыс/год</t>
        </is>
      </c>
      <c r="E14" s="31" t="n">
        <v>0</v>
      </c>
      <c r="F14" s="31" t="n">
        <v>0</v>
      </c>
      <c r="G14" s="31" t="n">
        <v>0</v>
      </c>
      <c r="H14" s="31" t="n">
        <v>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31" t="n">
        <v>0</v>
      </c>
    </row>
    <row r="15">
      <c r="B15" s="22" t="inlineStr">
        <is>
          <t>Капитальные ремонты (ППР)</t>
        </is>
      </c>
      <c r="C15" s="24" t="inlineStr">
        <is>
          <t>тыс/год</t>
        </is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</row>
    <row r="16">
      <c r="B16" s="22" t="inlineStr">
        <is>
          <t>Сервис (трудозатраты)</t>
        </is>
      </c>
      <c r="C16" s="24" t="inlineStr">
        <is>
          <t>тыс/год</t>
        </is>
      </c>
      <c r="E16" s="31" t="n">
        <v>0</v>
      </c>
      <c r="F16" s="31" t="n">
        <v>0</v>
      </c>
      <c r="G16" s="31" t="n">
        <v>0</v>
      </c>
      <c r="H16" s="31" t="n">
        <v>0</v>
      </c>
      <c r="I16" s="31" t="n">
        <v>0</v>
      </c>
      <c r="J16" s="31" t="n">
        <v>0</v>
      </c>
      <c r="K16" s="31" t="n">
        <v>0</v>
      </c>
      <c r="L16" s="31" t="n">
        <v>0</v>
      </c>
      <c r="M16" s="31" t="n">
        <v>0</v>
      </c>
      <c r="N16" s="31" t="n">
        <v>0</v>
      </c>
    </row>
    <row r="17">
      <c r="B17" s="37" t="inlineStr">
        <is>
          <t>ИТОГО ТОиР (авто) → в сводку</t>
        </is>
      </c>
      <c r="C17" s="24" t="inlineStr">
        <is>
          <t>тыс/год</t>
        </is>
      </c>
      <c r="E17" s="39">
        <f>SUM(E13:E16)</f>
        <v/>
      </c>
      <c r="F17" s="39">
        <f>SUM(F13:F16)</f>
        <v/>
      </c>
      <c r="G17" s="39">
        <f>SUM(G13:G16)</f>
        <v/>
      </c>
      <c r="H17" s="39">
        <f>SUM(H13:H16)</f>
        <v/>
      </c>
      <c r="I17" s="39">
        <f>SUM(I13:I16)</f>
        <v/>
      </c>
      <c r="J17" s="39">
        <f>SUM(J13:J16)</f>
        <v/>
      </c>
      <c r="K17" s="39">
        <f>SUM(K13:K16)</f>
        <v/>
      </c>
      <c r="L17" s="39">
        <f>SUM(L13:L16)</f>
        <v/>
      </c>
      <c r="M17" s="39">
        <f>SUM(M13:M16)</f>
        <v/>
      </c>
      <c r="N17" s="39">
        <f>SUM(N13:N16)</f>
        <v/>
      </c>
    </row>
    <row r="18">
      <c r="B18" s="5" t="inlineStr">
        <is>
          <t>ТОПЛИВО И РАСХОДНИКИ (по годам)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90.23</v>
      </c>
      <c r="F19" s="33" t="n">
        <v>90.23</v>
      </c>
      <c r="G19" s="33" t="n">
        <v>90.23</v>
      </c>
      <c r="H19" s="33" t="n">
        <v>90.23</v>
      </c>
      <c r="I19" s="33" t="n">
        <v>90.23</v>
      </c>
      <c r="J19" s="33" t="n">
        <v>90.23</v>
      </c>
      <c r="K19" s="33" t="n">
        <v>90.23</v>
      </c>
      <c r="L19" s="33" t="n">
        <v>90.23</v>
      </c>
      <c r="M19" s="33" t="n">
        <v>90.23</v>
      </c>
      <c r="N19" s="33" t="n">
        <v>90.23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0" t="n">
        <v>0.87</v>
      </c>
      <c r="F20" s="40" t="n">
        <v>0.87</v>
      </c>
      <c r="G20" s="40" t="n">
        <v>0.87</v>
      </c>
      <c r="H20" s="40" t="n">
        <v>0.87</v>
      </c>
      <c r="I20" s="40" t="n">
        <v>0.87</v>
      </c>
      <c r="J20" s="40" t="n">
        <v>0.87</v>
      </c>
      <c r="K20" s="40" t="n">
        <v>0.87</v>
      </c>
      <c r="L20" s="40" t="n">
        <v>0.87</v>
      </c>
      <c r="M20" s="40" t="n">
        <v>0.87</v>
      </c>
      <c r="N20" s="40" t="n">
        <v>0.87</v>
      </c>
    </row>
    <row r="22">
      <c r="B22" s="41" t="inlineStr">
        <is>
          <t>Пример заполнен реальными данными «в расчёте». Замените своими: детализируйте простои и статьи ТОиР — КТГ и ИТОГО пересчитаются, а сводка «Данные по годам» и весь расчёт обновятся автоматически.</t>
        </is>
      </c>
    </row>
  </sheetData>
  <mergeCells count="7">
    <mergeCell ref="B22:N22"/>
    <mergeCell ref="B1:N1"/>
    <mergeCell ref="E4:N4"/>
    <mergeCell ref="B12:N12"/>
    <mergeCell ref="B18:N1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поставщиком/аналитиком. Зелёные строки (КТГ, ИТОГО ТОиР) — авто; тянутся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данных'!G7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ГОТОВНОСТЬ (простои по годам → КТГ автоматически)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22" t="inlineStr">
        <is>
          <t>Простои на ТО</t>
        </is>
      </c>
      <c r="C8" s="24" t="inlineStr">
        <is>
          <t>ч/год</t>
        </is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</row>
    <row r="9">
      <c r="B9" s="22" t="inlineStr">
        <is>
          <t>Простои в ремонтах</t>
        </is>
      </c>
      <c r="C9" s="24" t="inlineStr">
        <is>
          <t>ч/год</t>
        </is>
      </c>
      <c r="E9" s="31" t="n">
        <v>1273.2</v>
      </c>
      <c r="F9" s="31" t="n">
        <v>2379.9</v>
      </c>
      <c r="G9" s="31" t="n">
        <v>2145.1</v>
      </c>
      <c r="H9" s="31" t="n">
        <v>2675.9</v>
      </c>
      <c r="I9" s="31" t="n">
        <v>2685.8</v>
      </c>
      <c r="J9" s="31" t="n">
        <v>2253.6</v>
      </c>
      <c r="K9" s="31" t="n">
        <v>2477.7</v>
      </c>
      <c r="L9" s="31" t="n">
        <v>1986.5</v>
      </c>
      <c r="M9" s="31" t="n">
        <v>2908.6</v>
      </c>
      <c r="N9" s="31" t="n">
        <v>2126.1</v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8">
        <f>('Параметры'!C26-E8-E9-E10)/'Параметры'!C26</f>
        <v/>
      </c>
      <c r="F11" s="38">
        <f>('Параметры'!C26-F8-F9-F10)/'Параметры'!C26</f>
        <v/>
      </c>
      <c r="G11" s="38">
        <f>('Параметры'!C26-G8-G9-G10)/'Параметры'!C26</f>
        <v/>
      </c>
      <c r="H11" s="38">
        <f>('Параметры'!C26-H8-H9-H10)/'Параметры'!C26</f>
        <v/>
      </c>
      <c r="I11" s="38">
        <f>('Параметры'!C26-I8-I9-I10)/'Параметры'!C26</f>
        <v/>
      </c>
      <c r="J11" s="38">
        <f>('Параметры'!C26-J8-J9-J10)/'Параметры'!C26</f>
        <v/>
      </c>
      <c r="K11" s="38">
        <f>('Параметры'!C26-K8-K9-K10)/'Параметры'!C26</f>
        <v/>
      </c>
      <c r="L11" s="38">
        <f>('Параметры'!C26-L8-L9-L10)/'Параметры'!C26</f>
        <v/>
      </c>
      <c r="M11" s="38">
        <f>('Параметры'!C26-M8-M9-M10)/'Параметры'!C26</f>
        <v/>
      </c>
      <c r="N11" s="38">
        <f>('Параметры'!C26-N8-N9-N10)/'Параметры'!C26</f>
        <v/>
      </c>
    </row>
    <row r="12">
      <c r="B12" s="5" t="inlineStr">
        <is>
          <t>ЗАТРАТЫ НА ТОиР И СЕРВИС (в валюте D5, тыс/год)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ТО (включая смазочные)</t>
        </is>
      </c>
      <c r="C13" s="24" t="inlineStr">
        <is>
          <t>тыс/год</t>
        </is>
      </c>
      <c r="E13" s="31" t="n">
        <v>337.7887</v>
      </c>
      <c r="F13" s="31" t="n">
        <v>530.6867999999999</v>
      </c>
      <c r="G13" s="31" t="n">
        <v>1544.312</v>
      </c>
      <c r="H13" s="31" t="n">
        <v>531.869</v>
      </c>
      <c r="I13" s="31" t="n">
        <v>658.6154</v>
      </c>
      <c r="J13" s="31" t="n">
        <v>1741.348</v>
      </c>
      <c r="K13" s="31" t="n">
        <v>442.6356</v>
      </c>
      <c r="L13" s="31" t="n">
        <v>786.9538</v>
      </c>
      <c r="M13" s="31" t="n">
        <v>1587</v>
      </c>
      <c r="N13" s="31" t="n">
        <v>467.2187</v>
      </c>
    </row>
    <row r="14">
      <c r="B14" s="22" t="inlineStr">
        <is>
          <t>Текущие ремонты</t>
        </is>
      </c>
      <c r="C14" s="24" t="inlineStr">
        <is>
          <t>тыс/год</t>
        </is>
      </c>
      <c r="E14" s="31" t="n">
        <v>0</v>
      </c>
      <c r="F14" s="31" t="n">
        <v>0</v>
      </c>
      <c r="G14" s="31" t="n">
        <v>0</v>
      </c>
      <c r="H14" s="31" t="n">
        <v>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31" t="n">
        <v>0</v>
      </c>
    </row>
    <row r="15">
      <c r="B15" s="22" t="inlineStr">
        <is>
          <t>Капитальные ремонты (ППР)</t>
        </is>
      </c>
      <c r="C15" s="24" t="inlineStr">
        <is>
          <t>тыс/год</t>
        </is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</row>
    <row r="16">
      <c r="B16" s="22" t="inlineStr">
        <is>
          <t>Сервис (трудозатраты)</t>
        </is>
      </c>
      <c r="C16" s="24" t="inlineStr">
        <is>
          <t>тыс/год</t>
        </is>
      </c>
      <c r="E16" s="31" t="n">
        <v>0</v>
      </c>
      <c r="F16" s="31" t="n">
        <v>0</v>
      </c>
      <c r="G16" s="31" t="n">
        <v>0</v>
      </c>
      <c r="H16" s="31" t="n">
        <v>0</v>
      </c>
      <c r="I16" s="31" t="n">
        <v>0</v>
      </c>
      <c r="J16" s="31" t="n">
        <v>0</v>
      </c>
      <c r="K16" s="31" t="n">
        <v>0</v>
      </c>
      <c r="L16" s="31" t="n">
        <v>0</v>
      </c>
      <c r="M16" s="31" t="n">
        <v>0</v>
      </c>
      <c r="N16" s="31" t="n">
        <v>0</v>
      </c>
    </row>
    <row r="17">
      <c r="B17" s="37" t="inlineStr">
        <is>
          <t>ИТОГО ТОиР (авто) → в сводку</t>
        </is>
      </c>
      <c r="C17" s="24" t="inlineStr">
        <is>
          <t>тыс/год</t>
        </is>
      </c>
      <c r="E17" s="39">
        <f>SUM(E13:E16)</f>
        <v/>
      </c>
      <c r="F17" s="39">
        <f>SUM(F13:F16)</f>
        <v/>
      </c>
      <c r="G17" s="39">
        <f>SUM(G13:G16)</f>
        <v/>
      </c>
      <c r="H17" s="39">
        <f>SUM(H13:H16)</f>
        <v/>
      </c>
      <c r="I17" s="39">
        <f>SUM(I13:I16)</f>
        <v/>
      </c>
      <c r="J17" s="39">
        <f>SUM(J13:J16)</f>
        <v/>
      </c>
      <c r="K17" s="39">
        <f>SUM(K13:K16)</f>
        <v/>
      </c>
      <c r="L17" s="39">
        <f>SUM(L13:L16)</f>
        <v/>
      </c>
      <c r="M17" s="39">
        <f>SUM(M13:M16)</f>
        <v/>
      </c>
      <c r="N17" s="39">
        <f>SUM(N13:N16)</f>
        <v/>
      </c>
    </row>
    <row r="18">
      <c r="B18" s="5" t="inlineStr">
        <is>
          <t>ТОПЛИВО И РАСХОДНИКИ (по годам)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92.04000000000001</v>
      </c>
      <c r="F19" s="33" t="n">
        <v>92.04000000000001</v>
      </c>
      <c r="G19" s="33" t="n">
        <v>92.04000000000001</v>
      </c>
      <c r="H19" s="33" t="n">
        <v>92.04000000000001</v>
      </c>
      <c r="I19" s="33" t="n">
        <v>92.04000000000001</v>
      </c>
      <c r="J19" s="33" t="n">
        <v>92.04000000000001</v>
      </c>
      <c r="K19" s="33" t="n">
        <v>92.04000000000001</v>
      </c>
      <c r="L19" s="33" t="n">
        <v>92.04000000000001</v>
      </c>
      <c r="M19" s="33" t="n">
        <v>92.04000000000001</v>
      </c>
      <c r="N19" s="33" t="n">
        <v>92.04000000000001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0" t="n">
        <v>0.87</v>
      </c>
      <c r="F20" s="40" t="n">
        <v>0.87</v>
      </c>
      <c r="G20" s="40" t="n">
        <v>0.87</v>
      </c>
      <c r="H20" s="40" t="n">
        <v>0.87</v>
      </c>
      <c r="I20" s="40" t="n">
        <v>0.87</v>
      </c>
      <c r="J20" s="40" t="n">
        <v>0.87</v>
      </c>
      <c r="K20" s="40" t="n">
        <v>0.87</v>
      </c>
      <c r="L20" s="40" t="n">
        <v>0.87</v>
      </c>
      <c r="M20" s="40" t="n">
        <v>0.87</v>
      </c>
      <c r="N20" s="40" t="n">
        <v>0.87</v>
      </c>
    </row>
    <row r="22">
      <c r="B22" s="41" t="inlineStr">
        <is>
          <t>Пример заполнен реальными данными «в расчёте». Замените своими: детализируйте простои и статьи ТОиР — КТГ и ИТОГО пересчитаются, а сводка «Данные по годам» и весь расчёт обновятся автоматически.</t>
        </is>
      </c>
    </row>
  </sheetData>
  <mergeCells count="7">
    <mergeCell ref="B22:N22"/>
    <mergeCell ref="B1:N1"/>
    <mergeCell ref="E4:N4"/>
    <mergeCell ref="B12:N12"/>
    <mergeCell ref="B18:N1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поставщиком/аналитиком. Зелёные строки (КТГ, ИТОГО ТОиР) — авто; тянутся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данных'!H7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ГОТОВНОСТЬ (простои по годам → КТГ автоматически)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22" t="inlineStr">
        <is>
          <t>Простои на ТО</t>
        </is>
      </c>
      <c r="C8" s="24" t="inlineStr">
        <is>
          <t>ч/год</t>
        </is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</row>
    <row r="9">
      <c r="B9" s="22" t="inlineStr">
        <is>
          <t>Простои в ремонтах</t>
        </is>
      </c>
      <c r="C9" s="24" t="inlineStr">
        <is>
          <t>ч/год</t>
        </is>
      </c>
      <c r="E9" s="31" t="n">
        <v>1273.2</v>
      </c>
      <c r="F9" s="31" t="n">
        <v>2379.9</v>
      </c>
      <c r="G9" s="31" t="n">
        <v>2145.1</v>
      </c>
      <c r="H9" s="31" t="n">
        <v>2675.9</v>
      </c>
      <c r="I9" s="31" t="n">
        <v>2685.8</v>
      </c>
      <c r="J9" s="31" t="n">
        <v>2253.6</v>
      </c>
      <c r="K9" s="31" t="n">
        <v>2477.7</v>
      </c>
      <c r="L9" s="31" t="n">
        <v>1986.5</v>
      </c>
      <c r="M9" s="31" t="n">
        <v>2908.6</v>
      </c>
      <c r="N9" s="31" t="n">
        <v>2126.1</v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8">
        <f>('Параметры'!C26-E8-E9-E10)/'Параметры'!C26</f>
        <v/>
      </c>
      <c r="F11" s="38">
        <f>('Параметры'!C26-F8-F9-F10)/'Параметры'!C26</f>
        <v/>
      </c>
      <c r="G11" s="38">
        <f>('Параметры'!C26-G8-G9-G10)/'Параметры'!C26</f>
        <v/>
      </c>
      <c r="H11" s="38">
        <f>('Параметры'!C26-H8-H9-H10)/'Параметры'!C26</f>
        <v/>
      </c>
      <c r="I11" s="38">
        <f>('Параметры'!C26-I8-I9-I10)/'Параметры'!C26</f>
        <v/>
      </c>
      <c r="J11" s="38">
        <f>('Параметры'!C26-J8-J9-J10)/'Параметры'!C26</f>
        <v/>
      </c>
      <c r="K11" s="38">
        <f>('Параметры'!C26-K8-K9-K10)/'Параметры'!C26</f>
        <v/>
      </c>
      <c r="L11" s="38">
        <f>('Параметры'!C26-L8-L9-L10)/'Параметры'!C26</f>
        <v/>
      </c>
      <c r="M11" s="38">
        <f>('Параметры'!C26-M8-M9-M10)/'Параметры'!C26</f>
        <v/>
      </c>
      <c r="N11" s="38">
        <f>('Параметры'!C26-N8-N9-N10)/'Параметры'!C26</f>
        <v/>
      </c>
    </row>
    <row r="12">
      <c r="B12" s="5" t="inlineStr">
        <is>
          <t>ЗАТРАТЫ НА ТОиР И СЕРВИС (в валюте D5, тыс/год)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ТО (включая смазочные)</t>
        </is>
      </c>
      <c r="C13" s="24" t="inlineStr">
        <is>
          <t>тыс/год</t>
        </is>
      </c>
      <c r="E13" s="31" t="n">
        <v>160.7578</v>
      </c>
      <c r="F13" s="31" t="n">
        <v>178.0231</v>
      </c>
      <c r="G13" s="31" t="n">
        <v>1021.9348</v>
      </c>
      <c r="H13" s="31" t="n">
        <v>178.0231</v>
      </c>
      <c r="I13" s="31" t="n">
        <v>291.7228</v>
      </c>
      <c r="J13" s="31" t="n">
        <v>1039.2001</v>
      </c>
      <c r="K13" s="31" t="n">
        <v>160.7578</v>
      </c>
      <c r="L13" s="31" t="n">
        <v>178.0231</v>
      </c>
      <c r="M13" s="31" t="n">
        <v>1021.9348</v>
      </c>
      <c r="N13" s="31" t="n">
        <v>308.9881</v>
      </c>
    </row>
    <row r="14">
      <c r="B14" s="22" t="inlineStr">
        <is>
          <t>Текущие ремонты</t>
        </is>
      </c>
      <c r="C14" s="24" t="inlineStr">
        <is>
          <t>тыс/год</t>
        </is>
      </c>
      <c r="E14" s="31" t="n">
        <v>0</v>
      </c>
      <c r="F14" s="31" t="n">
        <v>0</v>
      </c>
      <c r="G14" s="31" t="n">
        <v>0</v>
      </c>
      <c r="H14" s="31" t="n">
        <v>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31" t="n">
        <v>0</v>
      </c>
    </row>
    <row r="15">
      <c r="B15" s="22" t="inlineStr">
        <is>
          <t>Капитальные ремонты (ППР)</t>
        </is>
      </c>
      <c r="C15" s="24" t="inlineStr">
        <is>
          <t>тыс/год</t>
        </is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</row>
    <row r="16">
      <c r="B16" s="22" t="inlineStr">
        <is>
          <t>Сервис (трудозатраты)</t>
        </is>
      </c>
      <c r="C16" s="24" t="inlineStr">
        <is>
          <t>тыс/год</t>
        </is>
      </c>
      <c r="E16" s="31" t="n">
        <v>0</v>
      </c>
      <c r="F16" s="31" t="n">
        <v>0</v>
      </c>
      <c r="G16" s="31" t="n">
        <v>0</v>
      </c>
      <c r="H16" s="31" t="n">
        <v>0</v>
      </c>
      <c r="I16" s="31" t="n">
        <v>0</v>
      </c>
      <c r="J16" s="31" t="n">
        <v>0</v>
      </c>
      <c r="K16" s="31" t="n">
        <v>0</v>
      </c>
      <c r="L16" s="31" t="n">
        <v>0</v>
      </c>
      <c r="M16" s="31" t="n">
        <v>0</v>
      </c>
      <c r="N16" s="31" t="n">
        <v>0</v>
      </c>
    </row>
    <row r="17">
      <c r="B17" s="37" t="inlineStr">
        <is>
          <t>ИТОГО ТОиР (авто) → в сводку</t>
        </is>
      </c>
      <c r="C17" s="24" t="inlineStr">
        <is>
          <t>тыс/год</t>
        </is>
      </c>
      <c r="E17" s="39">
        <f>SUM(E13:E16)</f>
        <v/>
      </c>
      <c r="F17" s="39">
        <f>SUM(F13:F16)</f>
        <v/>
      </c>
      <c r="G17" s="39">
        <f>SUM(G13:G16)</f>
        <v/>
      </c>
      <c r="H17" s="39">
        <f>SUM(H13:H16)</f>
        <v/>
      </c>
      <c r="I17" s="39">
        <f>SUM(I13:I16)</f>
        <v/>
      </c>
      <c r="J17" s="39">
        <f>SUM(J13:J16)</f>
        <v/>
      </c>
      <c r="K17" s="39">
        <f>SUM(K13:K16)</f>
        <v/>
      </c>
      <c r="L17" s="39">
        <f>SUM(L13:L16)</f>
        <v/>
      </c>
      <c r="M17" s="39">
        <f>SUM(M13:M16)</f>
        <v/>
      </c>
      <c r="N17" s="39">
        <f>SUM(N13:N16)</f>
        <v/>
      </c>
    </row>
    <row r="18">
      <c r="B18" s="5" t="inlineStr">
        <is>
          <t>ТОПЛИВО И РАСХОДНИКИ (по годам)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102</v>
      </c>
      <c r="F19" s="33" t="n">
        <v>102</v>
      </c>
      <c r="G19" s="33" t="n">
        <v>102</v>
      </c>
      <c r="H19" s="33" t="n">
        <v>102</v>
      </c>
      <c r="I19" s="33" t="n">
        <v>102</v>
      </c>
      <c r="J19" s="33" t="n">
        <v>102</v>
      </c>
      <c r="K19" s="33" t="n">
        <v>102</v>
      </c>
      <c r="L19" s="33" t="n">
        <v>102</v>
      </c>
      <c r="M19" s="33" t="n">
        <v>102</v>
      </c>
      <c r="N19" s="33" t="n">
        <v>102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0" t="n">
        <v>0.87</v>
      </c>
      <c r="F20" s="40" t="n">
        <v>0.87</v>
      </c>
      <c r="G20" s="40" t="n">
        <v>0.87</v>
      </c>
      <c r="H20" s="40" t="n">
        <v>0.87</v>
      </c>
      <c r="I20" s="40" t="n">
        <v>0.87</v>
      </c>
      <c r="J20" s="40" t="n">
        <v>0.87</v>
      </c>
      <c r="K20" s="40" t="n">
        <v>0.87</v>
      </c>
      <c r="L20" s="40" t="n">
        <v>0.87</v>
      </c>
      <c r="M20" s="40" t="n">
        <v>0.87</v>
      </c>
      <c r="N20" s="40" t="n">
        <v>0.87</v>
      </c>
    </row>
    <row r="22">
      <c r="B22" s="41" t="inlineStr">
        <is>
          <t>Пример заполнен реальными данными «в расчёте». Замените своими: детализируйте простои и статьи ТОиР — КТГ и ИТОГО пересчитаются, а сводка «Данные по годам» и весь расчёт обновятся автоматически.</t>
        </is>
      </c>
    </row>
  </sheetData>
  <mergeCells count="7">
    <mergeCell ref="B22:N22"/>
    <mergeCell ref="B1:N1"/>
    <mergeCell ref="E4:N4"/>
    <mergeCell ref="B12:N12"/>
    <mergeCell ref="B18:N1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2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Заполняется поставщиком/аналитиком. Зелёные строки (КТГ, ИТОГО ТОиР) — авто; тянутся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данных'!I7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ГОТОВНОСТЬ (простои по годам → КТГ автоматически)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22" t="inlineStr">
        <is>
          <t>Простои на ТО</t>
        </is>
      </c>
      <c r="C8" s="24" t="inlineStr">
        <is>
          <t>ч/год</t>
        </is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</row>
    <row r="9">
      <c r="B9" s="22" t="inlineStr">
        <is>
          <t>Простои в ремонтах</t>
        </is>
      </c>
      <c r="C9" s="24" t="inlineStr">
        <is>
          <t>ч/год</t>
        </is>
      </c>
      <c r="E9" s="31" t="n">
        <v>1273.2</v>
      </c>
      <c r="F9" s="31" t="n">
        <v>2379.9</v>
      </c>
      <c r="G9" s="31" t="n">
        <v>2145.1</v>
      </c>
      <c r="H9" s="31" t="n">
        <v>2675.9</v>
      </c>
      <c r="I9" s="31" t="n">
        <v>2685.8</v>
      </c>
      <c r="J9" s="31" t="n">
        <v>2253.6</v>
      </c>
      <c r="K9" s="31" t="n">
        <v>2477.7</v>
      </c>
      <c r="L9" s="31" t="n">
        <v>1986.5</v>
      </c>
      <c r="M9" s="31" t="n">
        <v>2908.6</v>
      </c>
      <c r="N9" s="31" t="n">
        <v>2126.1</v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8">
        <f>('Параметры'!C26-E8-E9-E10)/'Параметры'!C26</f>
        <v/>
      </c>
      <c r="F11" s="38">
        <f>('Параметры'!C26-F8-F9-F10)/'Параметры'!C26</f>
        <v/>
      </c>
      <c r="G11" s="38">
        <f>('Параметры'!C26-G8-G9-G10)/'Параметры'!C26</f>
        <v/>
      </c>
      <c r="H11" s="38">
        <f>('Параметры'!C26-H8-H9-H10)/'Параметры'!C26</f>
        <v/>
      </c>
      <c r="I11" s="38">
        <f>('Параметры'!C26-I8-I9-I10)/'Параметры'!C26</f>
        <v/>
      </c>
      <c r="J11" s="38">
        <f>('Параметры'!C26-J8-J9-J10)/'Параметры'!C26</f>
        <v/>
      </c>
      <c r="K11" s="38">
        <f>('Параметры'!C26-K8-K9-K10)/'Параметры'!C26</f>
        <v/>
      </c>
      <c r="L11" s="38">
        <f>('Параметры'!C26-L8-L9-L10)/'Параметры'!C26</f>
        <v/>
      </c>
      <c r="M11" s="38">
        <f>('Параметры'!C26-M8-M9-M10)/'Параметры'!C26</f>
        <v/>
      </c>
      <c r="N11" s="38">
        <f>('Параметры'!C26-N8-N9-N10)/'Параметры'!C26</f>
        <v/>
      </c>
    </row>
    <row r="12">
      <c r="B12" s="5" t="inlineStr">
        <is>
          <t>ЗАТРАТЫ НА ТОиР И СЕРВИС (в валюте D5, тыс/год)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ТО (включая смазочные)</t>
        </is>
      </c>
      <c r="C13" s="24" t="inlineStr">
        <is>
          <t>тыс/год</t>
        </is>
      </c>
      <c r="E13" s="31" t="n">
        <v>170.997</v>
      </c>
      <c r="F13" s="31" t="n">
        <v>177.397</v>
      </c>
      <c r="G13" s="31" t="n">
        <v>170.997</v>
      </c>
      <c r="H13" s="31" t="n">
        <v>177.397</v>
      </c>
      <c r="I13" s="31" t="n">
        <v>310.197</v>
      </c>
      <c r="J13" s="31" t="n">
        <v>177.397</v>
      </c>
      <c r="K13" s="31" t="n">
        <v>2540.277</v>
      </c>
      <c r="L13" s="31" t="n">
        <v>177.397</v>
      </c>
      <c r="M13" s="31" t="n">
        <v>170.997</v>
      </c>
      <c r="N13" s="31" t="n">
        <v>2718.997</v>
      </c>
    </row>
    <row r="14">
      <c r="B14" s="22" t="inlineStr">
        <is>
          <t>Текущие ремонты</t>
        </is>
      </c>
      <c r="C14" s="24" t="inlineStr">
        <is>
          <t>тыс/год</t>
        </is>
      </c>
      <c r="E14" s="31" t="n">
        <v>0</v>
      </c>
      <c r="F14" s="31" t="n">
        <v>0</v>
      </c>
      <c r="G14" s="31" t="n">
        <v>0</v>
      </c>
      <c r="H14" s="31" t="n">
        <v>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31" t="n">
        <v>0</v>
      </c>
    </row>
    <row r="15">
      <c r="B15" s="22" t="inlineStr">
        <is>
          <t>Капитальные ремонты (ППР)</t>
        </is>
      </c>
      <c r="C15" s="24" t="inlineStr">
        <is>
          <t>тыс/год</t>
        </is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</row>
    <row r="16">
      <c r="B16" s="22" t="inlineStr">
        <is>
          <t>Сервис (трудозатраты)</t>
        </is>
      </c>
      <c r="C16" s="24" t="inlineStr">
        <is>
          <t>тыс/год</t>
        </is>
      </c>
      <c r="E16" s="31" t="n">
        <v>0</v>
      </c>
      <c r="F16" s="31" t="n">
        <v>0</v>
      </c>
      <c r="G16" s="31" t="n">
        <v>0</v>
      </c>
      <c r="H16" s="31" t="n">
        <v>0</v>
      </c>
      <c r="I16" s="31" t="n">
        <v>0</v>
      </c>
      <c r="J16" s="31" t="n">
        <v>0</v>
      </c>
      <c r="K16" s="31" t="n">
        <v>0</v>
      </c>
      <c r="L16" s="31" t="n">
        <v>0</v>
      </c>
      <c r="M16" s="31" t="n">
        <v>0</v>
      </c>
      <c r="N16" s="31" t="n">
        <v>0</v>
      </c>
    </row>
    <row r="17">
      <c r="B17" s="37" t="inlineStr">
        <is>
          <t>ИТОГО ТОиР (авто) → в сводку</t>
        </is>
      </c>
      <c r="C17" s="24" t="inlineStr">
        <is>
          <t>тыс/год</t>
        </is>
      </c>
      <c r="E17" s="39">
        <f>SUM(E13:E16)</f>
        <v/>
      </c>
      <c r="F17" s="39">
        <f>SUM(F13:F16)</f>
        <v/>
      </c>
      <c r="G17" s="39">
        <f>SUM(G13:G16)</f>
        <v/>
      </c>
      <c r="H17" s="39">
        <f>SUM(H13:H16)</f>
        <v/>
      </c>
      <c r="I17" s="39">
        <f>SUM(I13:I16)</f>
        <v/>
      </c>
      <c r="J17" s="39">
        <f>SUM(J13:J16)</f>
        <v/>
      </c>
      <c r="K17" s="39">
        <f>SUM(K13:K16)</f>
        <v/>
      </c>
      <c r="L17" s="39">
        <f>SUM(L13:L16)</f>
        <v/>
      </c>
      <c r="M17" s="39">
        <f>SUM(M13:M16)</f>
        <v/>
      </c>
      <c r="N17" s="39">
        <f>SUM(N13:N16)</f>
        <v/>
      </c>
    </row>
    <row r="18">
      <c r="B18" s="5" t="inlineStr">
        <is>
          <t>ТОПЛИВО И РАСХОДНИКИ (по годам)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33" t="n">
        <v>120</v>
      </c>
      <c r="F19" s="33" t="n">
        <v>120</v>
      </c>
      <c r="G19" s="33" t="n">
        <v>120</v>
      </c>
      <c r="H19" s="33" t="n">
        <v>120</v>
      </c>
      <c r="I19" s="33" t="n">
        <v>120</v>
      </c>
      <c r="J19" s="33" t="n">
        <v>120</v>
      </c>
      <c r="K19" s="33" t="n">
        <v>120</v>
      </c>
      <c r="L19" s="33" t="n">
        <v>120</v>
      </c>
      <c r="M19" s="33" t="n">
        <v>120</v>
      </c>
      <c r="N19" s="33" t="n">
        <v>120</v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0" t="n">
        <v>0.87</v>
      </c>
      <c r="F20" s="40" t="n">
        <v>0.87</v>
      </c>
      <c r="G20" s="40" t="n">
        <v>0.87</v>
      </c>
      <c r="H20" s="40" t="n">
        <v>0.87</v>
      </c>
      <c r="I20" s="40" t="n">
        <v>0.87</v>
      </c>
      <c r="J20" s="40" t="n">
        <v>0.87</v>
      </c>
      <c r="K20" s="40" t="n">
        <v>0.87</v>
      </c>
      <c r="L20" s="40" t="n">
        <v>0.87</v>
      </c>
      <c r="M20" s="40" t="n">
        <v>0.87</v>
      </c>
      <c r="N20" s="40" t="n">
        <v>0.87</v>
      </c>
    </row>
    <row r="22">
      <c r="B22" s="41" t="inlineStr">
        <is>
          <t>Пример заполнен реальными данными «в расчёте». Замените своими: детализируйте простои и статьи ТОиР — КТГ и ИТОГО пересчитаются, а сводка «Данные по годам» и весь расчёт обновятся автоматически.</t>
        </is>
      </c>
    </row>
  </sheetData>
  <mergeCells count="7">
    <mergeCell ref="B22:N22"/>
    <mergeCell ref="B1:N1"/>
    <mergeCell ref="E4:N4"/>
    <mergeCell ref="B12:N12"/>
    <mergeCell ref="B18:N18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2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43">
        <f>'Поставщик 1'!E11</f>
        <v/>
      </c>
      <c r="F7" s="43">
        <f>'Поставщик 1'!F11</f>
        <v/>
      </c>
      <c r="G7" s="43">
        <f>'Поставщик 1'!G11</f>
        <v/>
      </c>
      <c r="H7" s="43">
        <f>'Поставщик 1'!H11</f>
        <v/>
      </c>
      <c r="I7" s="43">
        <f>'Поставщик 1'!I11</f>
        <v/>
      </c>
      <c r="J7" s="43">
        <f>'Поставщик 1'!J11</f>
        <v/>
      </c>
      <c r="K7" s="43">
        <f>'Поставщик 1'!K11</f>
        <v/>
      </c>
      <c r="L7" s="43">
        <f>'Поставщик 1'!L11</f>
        <v/>
      </c>
      <c r="M7" s="43">
        <f>'Поставщик 1'!M11</f>
        <v/>
      </c>
      <c r="N7" s="43">
        <f>'Поставщик 1'!N11</f>
        <v/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44">
        <f>'Поставщик 1'!$D$5</f>
        <v/>
      </c>
      <c r="E8" s="45">
        <f>'Поставщик 1'!E17</f>
        <v/>
      </c>
      <c r="F8" s="45">
        <f>'Поставщик 1'!F17</f>
        <v/>
      </c>
      <c r="G8" s="45">
        <f>'Поставщик 1'!G17</f>
        <v/>
      </c>
      <c r="H8" s="45">
        <f>'Поставщик 1'!H17</f>
        <v/>
      </c>
      <c r="I8" s="45">
        <f>'Поставщик 1'!I17</f>
        <v/>
      </c>
      <c r="J8" s="45">
        <f>'Поставщик 1'!J17</f>
        <v/>
      </c>
      <c r="K8" s="45">
        <f>'Поставщик 1'!K17</f>
        <v/>
      </c>
      <c r="L8" s="45">
        <f>'Поставщик 1'!L17</f>
        <v/>
      </c>
      <c r="M8" s="45">
        <f>'Поставщик 1'!M17</f>
        <v/>
      </c>
      <c r="N8" s="45">
        <f>'Поставщик 1'!N17</f>
        <v/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46">
        <f>'Поставщик 1'!E19</f>
        <v/>
      </c>
      <c r="F9" s="46">
        <f>'Поставщик 1'!F19</f>
        <v/>
      </c>
      <c r="G9" s="46">
        <f>'Поставщик 1'!G19</f>
        <v/>
      </c>
      <c r="H9" s="46">
        <f>'Поставщик 1'!H19</f>
        <v/>
      </c>
      <c r="I9" s="46">
        <f>'Поставщик 1'!I19</f>
        <v/>
      </c>
      <c r="J9" s="46">
        <f>'Поставщик 1'!J19</f>
        <v/>
      </c>
      <c r="K9" s="46">
        <f>'Поставщик 1'!K19</f>
        <v/>
      </c>
      <c r="L9" s="46">
        <f>'Поставщик 1'!L19</f>
        <v/>
      </c>
      <c r="M9" s="46">
        <f>'Поставщик 1'!M19</f>
        <v/>
      </c>
      <c r="N9" s="46">
        <f>'Поставщик 1'!N19</f>
        <v/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47">
        <f>'Поставщик 1'!E20</f>
        <v/>
      </c>
      <c r="F10" s="47">
        <f>'Поставщик 1'!F20</f>
        <v/>
      </c>
      <c r="G10" s="47">
        <f>'Поставщик 1'!G20</f>
        <v/>
      </c>
      <c r="H10" s="47">
        <f>'Поставщик 1'!H20</f>
        <v/>
      </c>
      <c r="I10" s="47">
        <f>'Поставщик 1'!I20</f>
        <v/>
      </c>
      <c r="J10" s="47">
        <f>'Поставщик 1'!J20</f>
        <v/>
      </c>
      <c r="K10" s="47">
        <f>'Поставщик 1'!K20</f>
        <v/>
      </c>
      <c r="L10" s="47">
        <f>'Поставщик 1'!L20</f>
        <v/>
      </c>
      <c r="M10" s="47">
        <f>'Поставщик 1'!M20</f>
        <v/>
      </c>
      <c r="N10" s="47">
        <f>'Поставщик 1'!N20</f>
        <v/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43">
        <f>'Поставщик 2'!E11</f>
        <v/>
      </c>
      <c r="F12" s="43">
        <f>'Поставщик 2'!F11</f>
        <v/>
      </c>
      <c r="G12" s="43">
        <f>'Поставщик 2'!G11</f>
        <v/>
      </c>
      <c r="H12" s="43">
        <f>'Поставщик 2'!H11</f>
        <v/>
      </c>
      <c r="I12" s="43">
        <f>'Поставщик 2'!I11</f>
        <v/>
      </c>
      <c r="J12" s="43">
        <f>'Поставщик 2'!J11</f>
        <v/>
      </c>
      <c r="K12" s="43">
        <f>'Поставщик 2'!K11</f>
        <v/>
      </c>
      <c r="L12" s="43">
        <f>'Поставщик 2'!L11</f>
        <v/>
      </c>
      <c r="M12" s="43">
        <f>'Поставщик 2'!M11</f>
        <v/>
      </c>
      <c r="N12" s="43">
        <f>'Поставщик 2'!N11</f>
        <v/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44">
        <f>'Поставщик 2'!$D$5</f>
        <v/>
      </c>
      <c r="E13" s="45">
        <f>'Поставщик 2'!E17</f>
        <v/>
      </c>
      <c r="F13" s="45">
        <f>'Поставщик 2'!F17</f>
        <v/>
      </c>
      <c r="G13" s="45">
        <f>'Поставщик 2'!G17</f>
        <v/>
      </c>
      <c r="H13" s="45">
        <f>'Поставщик 2'!H17</f>
        <v/>
      </c>
      <c r="I13" s="45">
        <f>'Поставщик 2'!I17</f>
        <v/>
      </c>
      <c r="J13" s="45">
        <f>'Поставщик 2'!J17</f>
        <v/>
      </c>
      <c r="K13" s="45">
        <f>'Поставщик 2'!K17</f>
        <v/>
      </c>
      <c r="L13" s="45">
        <f>'Поставщик 2'!L17</f>
        <v/>
      </c>
      <c r="M13" s="45">
        <f>'Поставщик 2'!M17</f>
        <v/>
      </c>
      <c r="N13" s="45">
        <f>'Поставщик 2'!N17</f>
        <v/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46">
        <f>'Поставщик 2'!E19</f>
        <v/>
      </c>
      <c r="F14" s="46">
        <f>'Поставщик 2'!F19</f>
        <v/>
      </c>
      <c r="G14" s="46">
        <f>'Поставщик 2'!G19</f>
        <v/>
      </c>
      <c r="H14" s="46">
        <f>'Поставщик 2'!H19</f>
        <v/>
      </c>
      <c r="I14" s="46">
        <f>'Поставщик 2'!I19</f>
        <v/>
      </c>
      <c r="J14" s="46">
        <f>'Поставщик 2'!J19</f>
        <v/>
      </c>
      <c r="K14" s="46">
        <f>'Поставщик 2'!K19</f>
        <v/>
      </c>
      <c r="L14" s="46">
        <f>'Поставщик 2'!L19</f>
        <v/>
      </c>
      <c r="M14" s="46">
        <f>'Поставщик 2'!M19</f>
        <v/>
      </c>
      <c r="N14" s="46">
        <f>'Поставщик 2'!N19</f>
        <v/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47">
        <f>'Поставщик 2'!E20</f>
        <v/>
      </c>
      <c r="F15" s="47">
        <f>'Поставщик 2'!F20</f>
        <v/>
      </c>
      <c r="G15" s="47">
        <f>'Поставщик 2'!G20</f>
        <v/>
      </c>
      <c r="H15" s="47">
        <f>'Поставщик 2'!H20</f>
        <v/>
      </c>
      <c r="I15" s="47">
        <f>'Поставщик 2'!I20</f>
        <v/>
      </c>
      <c r="J15" s="47">
        <f>'Поставщик 2'!J20</f>
        <v/>
      </c>
      <c r="K15" s="47">
        <f>'Поставщик 2'!K20</f>
        <v/>
      </c>
      <c r="L15" s="47">
        <f>'Поставщик 2'!L20</f>
        <v/>
      </c>
      <c r="M15" s="47">
        <f>'Поставщик 2'!M20</f>
        <v/>
      </c>
      <c r="N15" s="47">
        <f>'Поставщик 2'!N20</f>
        <v/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43">
        <f>'Поставщик 3'!E11</f>
        <v/>
      </c>
      <c r="F17" s="43">
        <f>'Поставщик 3'!F11</f>
        <v/>
      </c>
      <c r="G17" s="43">
        <f>'Поставщик 3'!G11</f>
        <v/>
      </c>
      <c r="H17" s="43">
        <f>'Поставщик 3'!H11</f>
        <v/>
      </c>
      <c r="I17" s="43">
        <f>'Поставщик 3'!I11</f>
        <v/>
      </c>
      <c r="J17" s="43">
        <f>'Поставщик 3'!J11</f>
        <v/>
      </c>
      <c r="K17" s="43">
        <f>'Поставщик 3'!K11</f>
        <v/>
      </c>
      <c r="L17" s="43">
        <f>'Поставщик 3'!L11</f>
        <v/>
      </c>
      <c r="M17" s="43">
        <f>'Поставщик 3'!M11</f>
        <v/>
      </c>
      <c r="N17" s="43">
        <f>'Поставщик 3'!N11</f>
        <v/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44">
        <f>'Поставщик 3'!$D$5</f>
        <v/>
      </c>
      <c r="E18" s="45">
        <f>'Поставщик 3'!E17</f>
        <v/>
      </c>
      <c r="F18" s="45">
        <f>'Поставщик 3'!F17</f>
        <v/>
      </c>
      <c r="G18" s="45">
        <f>'Поставщик 3'!G17</f>
        <v/>
      </c>
      <c r="H18" s="45">
        <f>'Поставщик 3'!H17</f>
        <v/>
      </c>
      <c r="I18" s="45">
        <f>'Поставщик 3'!I17</f>
        <v/>
      </c>
      <c r="J18" s="45">
        <f>'Поставщик 3'!J17</f>
        <v/>
      </c>
      <c r="K18" s="45">
        <f>'Поставщик 3'!K17</f>
        <v/>
      </c>
      <c r="L18" s="45">
        <f>'Поставщик 3'!L17</f>
        <v/>
      </c>
      <c r="M18" s="45">
        <f>'Поставщик 3'!M17</f>
        <v/>
      </c>
      <c r="N18" s="45">
        <f>'Поставщик 3'!N17</f>
        <v/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46">
        <f>'Поставщик 3'!E19</f>
        <v/>
      </c>
      <c r="F19" s="46">
        <f>'Поставщик 3'!F19</f>
        <v/>
      </c>
      <c r="G19" s="46">
        <f>'Поставщик 3'!G19</f>
        <v/>
      </c>
      <c r="H19" s="46">
        <f>'Поставщик 3'!H19</f>
        <v/>
      </c>
      <c r="I19" s="46">
        <f>'Поставщик 3'!I19</f>
        <v/>
      </c>
      <c r="J19" s="46">
        <f>'Поставщик 3'!J19</f>
        <v/>
      </c>
      <c r="K19" s="46">
        <f>'Поставщик 3'!K19</f>
        <v/>
      </c>
      <c r="L19" s="46">
        <f>'Поставщик 3'!L19</f>
        <v/>
      </c>
      <c r="M19" s="46">
        <f>'Поставщик 3'!M19</f>
        <v/>
      </c>
      <c r="N19" s="46">
        <f>'Поставщик 3'!N19</f>
        <v/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47">
        <f>'Поставщик 3'!E20</f>
        <v/>
      </c>
      <c r="F20" s="47">
        <f>'Поставщик 3'!F20</f>
        <v/>
      </c>
      <c r="G20" s="47">
        <f>'Поставщик 3'!G20</f>
        <v/>
      </c>
      <c r="H20" s="47">
        <f>'Поставщик 3'!H20</f>
        <v/>
      </c>
      <c r="I20" s="47">
        <f>'Поставщик 3'!I20</f>
        <v/>
      </c>
      <c r="J20" s="47">
        <f>'Поставщик 3'!J20</f>
        <v/>
      </c>
      <c r="K20" s="47">
        <f>'Поставщик 3'!K20</f>
        <v/>
      </c>
      <c r="L20" s="47">
        <f>'Поставщик 3'!L20</f>
        <v/>
      </c>
      <c r="M20" s="47">
        <f>'Поставщик 3'!M20</f>
        <v/>
      </c>
      <c r="N20" s="47">
        <f>'Поставщик 3'!N20</f>
        <v/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43">
        <f>'Поставщик 4'!E11</f>
        <v/>
      </c>
      <c r="F22" s="43">
        <f>'Поставщик 4'!F11</f>
        <v/>
      </c>
      <c r="G22" s="43">
        <f>'Поставщик 4'!G11</f>
        <v/>
      </c>
      <c r="H22" s="43">
        <f>'Поставщик 4'!H11</f>
        <v/>
      </c>
      <c r="I22" s="43">
        <f>'Поставщик 4'!I11</f>
        <v/>
      </c>
      <c r="J22" s="43">
        <f>'Поставщик 4'!J11</f>
        <v/>
      </c>
      <c r="K22" s="43">
        <f>'Поставщик 4'!K11</f>
        <v/>
      </c>
      <c r="L22" s="43">
        <f>'Поставщик 4'!L11</f>
        <v/>
      </c>
      <c r="M22" s="43">
        <f>'Поставщик 4'!M11</f>
        <v/>
      </c>
      <c r="N22" s="43">
        <f>'Поставщик 4'!N11</f>
        <v/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44">
        <f>'Поставщик 4'!$D$5</f>
        <v/>
      </c>
      <c r="E23" s="45">
        <f>'Поставщик 4'!E17</f>
        <v/>
      </c>
      <c r="F23" s="45">
        <f>'Поставщик 4'!F17</f>
        <v/>
      </c>
      <c r="G23" s="45">
        <f>'Поставщик 4'!G17</f>
        <v/>
      </c>
      <c r="H23" s="45">
        <f>'Поставщик 4'!H17</f>
        <v/>
      </c>
      <c r="I23" s="45">
        <f>'Поставщик 4'!I17</f>
        <v/>
      </c>
      <c r="J23" s="45">
        <f>'Поставщик 4'!J17</f>
        <v/>
      </c>
      <c r="K23" s="45">
        <f>'Поставщик 4'!K17</f>
        <v/>
      </c>
      <c r="L23" s="45">
        <f>'Поставщик 4'!L17</f>
        <v/>
      </c>
      <c r="M23" s="45">
        <f>'Поставщик 4'!M17</f>
        <v/>
      </c>
      <c r="N23" s="45">
        <f>'Поставщик 4'!N17</f>
        <v/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46">
        <f>'Поставщик 4'!E19</f>
        <v/>
      </c>
      <c r="F24" s="46">
        <f>'Поставщик 4'!F19</f>
        <v/>
      </c>
      <c r="G24" s="46">
        <f>'Поставщик 4'!G19</f>
        <v/>
      </c>
      <c r="H24" s="46">
        <f>'Поставщик 4'!H19</f>
        <v/>
      </c>
      <c r="I24" s="46">
        <f>'Поставщик 4'!I19</f>
        <v/>
      </c>
      <c r="J24" s="46">
        <f>'Поставщик 4'!J19</f>
        <v/>
      </c>
      <c r="K24" s="46">
        <f>'Поставщик 4'!K19</f>
        <v/>
      </c>
      <c r="L24" s="46">
        <f>'Поставщик 4'!L19</f>
        <v/>
      </c>
      <c r="M24" s="46">
        <f>'Поставщик 4'!M19</f>
        <v/>
      </c>
      <c r="N24" s="46">
        <f>'Поставщик 4'!N19</f>
        <v/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47">
        <f>'Поставщик 4'!E20</f>
        <v/>
      </c>
      <c r="F25" s="47">
        <f>'Поставщик 4'!F20</f>
        <v/>
      </c>
      <c r="G25" s="47">
        <f>'Поставщик 4'!G20</f>
        <v/>
      </c>
      <c r="H25" s="47">
        <f>'Поставщик 4'!H20</f>
        <v/>
      </c>
      <c r="I25" s="47">
        <f>'Поставщик 4'!I20</f>
        <v/>
      </c>
      <c r="J25" s="47">
        <f>'Поставщик 4'!J20</f>
        <v/>
      </c>
      <c r="K25" s="47">
        <f>'Поставщик 4'!K20</f>
        <v/>
      </c>
      <c r="L25" s="47">
        <f>'Поставщик 4'!L20</f>
        <v/>
      </c>
      <c r="M25" s="47">
        <f>'Поставщик 4'!M20</f>
        <v/>
      </c>
      <c r="N25" s="47">
        <f>'Поставщик 4'!N20</f>
        <v/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43">
        <f>'Поставщик 5'!E11</f>
        <v/>
      </c>
      <c r="F27" s="43">
        <f>'Поставщик 5'!F11</f>
        <v/>
      </c>
      <c r="G27" s="43">
        <f>'Поставщик 5'!G11</f>
        <v/>
      </c>
      <c r="H27" s="43">
        <f>'Поставщик 5'!H11</f>
        <v/>
      </c>
      <c r="I27" s="43">
        <f>'Поставщик 5'!I11</f>
        <v/>
      </c>
      <c r="J27" s="43">
        <f>'Поставщик 5'!J11</f>
        <v/>
      </c>
      <c r="K27" s="43">
        <f>'Поставщик 5'!K11</f>
        <v/>
      </c>
      <c r="L27" s="43">
        <f>'Поставщик 5'!L11</f>
        <v/>
      </c>
      <c r="M27" s="43">
        <f>'Поставщик 5'!M11</f>
        <v/>
      </c>
      <c r="N27" s="43">
        <f>'Поставщик 5'!N11</f>
        <v/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44">
        <f>'Поставщик 5'!$D$5</f>
        <v/>
      </c>
      <c r="E28" s="45">
        <f>'Поставщик 5'!E17</f>
        <v/>
      </c>
      <c r="F28" s="45">
        <f>'Поставщик 5'!F17</f>
        <v/>
      </c>
      <c r="G28" s="45">
        <f>'Поставщик 5'!G17</f>
        <v/>
      </c>
      <c r="H28" s="45">
        <f>'Поставщик 5'!H17</f>
        <v/>
      </c>
      <c r="I28" s="45">
        <f>'Поставщик 5'!I17</f>
        <v/>
      </c>
      <c r="J28" s="45">
        <f>'Поставщик 5'!J17</f>
        <v/>
      </c>
      <c r="K28" s="45">
        <f>'Поставщик 5'!K17</f>
        <v/>
      </c>
      <c r="L28" s="45">
        <f>'Поставщик 5'!L17</f>
        <v/>
      </c>
      <c r="M28" s="45">
        <f>'Поставщик 5'!M17</f>
        <v/>
      </c>
      <c r="N28" s="45">
        <f>'Поставщик 5'!N17</f>
        <v/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46">
        <f>'Поставщик 5'!E19</f>
        <v/>
      </c>
      <c r="F29" s="46">
        <f>'Поставщик 5'!F19</f>
        <v/>
      </c>
      <c r="G29" s="46">
        <f>'Поставщик 5'!G19</f>
        <v/>
      </c>
      <c r="H29" s="46">
        <f>'Поставщик 5'!H19</f>
        <v/>
      </c>
      <c r="I29" s="46">
        <f>'Поставщик 5'!I19</f>
        <v/>
      </c>
      <c r="J29" s="46">
        <f>'Поставщик 5'!J19</f>
        <v/>
      </c>
      <c r="K29" s="46">
        <f>'Поставщик 5'!K19</f>
        <v/>
      </c>
      <c r="L29" s="46">
        <f>'Поставщик 5'!L19</f>
        <v/>
      </c>
      <c r="M29" s="46">
        <f>'Поставщик 5'!M19</f>
        <v/>
      </c>
      <c r="N29" s="46">
        <f>'Поставщик 5'!N19</f>
        <v/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47">
        <f>'Поставщик 5'!E20</f>
        <v/>
      </c>
      <c r="F30" s="47">
        <f>'Поставщик 5'!F20</f>
        <v/>
      </c>
      <c r="G30" s="47">
        <f>'Поставщик 5'!G20</f>
        <v/>
      </c>
      <c r="H30" s="47">
        <f>'Поставщик 5'!H20</f>
        <v/>
      </c>
      <c r="I30" s="47">
        <f>'Поставщик 5'!I20</f>
        <v/>
      </c>
      <c r="J30" s="47">
        <f>'Поставщик 5'!J20</f>
        <v/>
      </c>
      <c r="K30" s="47">
        <f>'Поставщик 5'!K20</f>
        <v/>
      </c>
      <c r="L30" s="47">
        <f>'Поставщик 5'!L20</f>
        <v/>
      </c>
      <c r="M30" s="47">
        <f>'Поставщик 5'!M20</f>
        <v/>
      </c>
      <c r="N30" s="47">
        <f>'Поставщик 5'!N20</f>
        <v/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43">
        <f>'Поставщик 6'!E11</f>
        <v/>
      </c>
      <c r="F32" s="43">
        <f>'Поставщик 6'!F11</f>
        <v/>
      </c>
      <c r="G32" s="43">
        <f>'Поставщик 6'!G11</f>
        <v/>
      </c>
      <c r="H32" s="43">
        <f>'Поставщик 6'!H11</f>
        <v/>
      </c>
      <c r="I32" s="43">
        <f>'Поставщик 6'!I11</f>
        <v/>
      </c>
      <c r="J32" s="43">
        <f>'Поставщик 6'!J11</f>
        <v/>
      </c>
      <c r="K32" s="43">
        <f>'Поставщик 6'!K11</f>
        <v/>
      </c>
      <c r="L32" s="43">
        <f>'Поставщик 6'!L11</f>
        <v/>
      </c>
      <c r="M32" s="43">
        <f>'Поставщик 6'!M11</f>
        <v/>
      </c>
      <c r="N32" s="43">
        <f>'Поставщик 6'!N11</f>
        <v/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44">
        <f>'Поставщик 6'!$D$5</f>
        <v/>
      </c>
      <c r="E33" s="45">
        <f>'Поставщик 6'!E17</f>
        <v/>
      </c>
      <c r="F33" s="45">
        <f>'Поставщик 6'!F17</f>
        <v/>
      </c>
      <c r="G33" s="45">
        <f>'Поставщик 6'!G17</f>
        <v/>
      </c>
      <c r="H33" s="45">
        <f>'Поставщик 6'!H17</f>
        <v/>
      </c>
      <c r="I33" s="45">
        <f>'Поставщик 6'!I17</f>
        <v/>
      </c>
      <c r="J33" s="45">
        <f>'Поставщик 6'!J17</f>
        <v/>
      </c>
      <c r="K33" s="45">
        <f>'Поставщик 6'!K17</f>
        <v/>
      </c>
      <c r="L33" s="45">
        <f>'Поставщик 6'!L17</f>
        <v/>
      </c>
      <c r="M33" s="45">
        <f>'Поставщик 6'!M17</f>
        <v/>
      </c>
      <c r="N33" s="45">
        <f>'Поставщик 6'!N17</f>
        <v/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46">
        <f>'Поставщик 6'!E19</f>
        <v/>
      </c>
      <c r="F34" s="46">
        <f>'Поставщик 6'!F19</f>
        <v/>
      </c>
      <c r="G34" s="46">
        <f>'Поставщик 6'!G19</f>
        <v/>
      </c>
      <c r="H34" s="46">
        <f>'Поставщик 6'!H19</f>
        <v/>
      </c>
      <c r="I34" s="46">
        <f>'Поставщик 6'!I19</f>
        <v/>
      </c>
      <c r="J34" s="46">
        <f>'Поставщик 6'!J19</f>
        <v/>
      </c>
      <c r="K34" s="46">
        <f>'Поставщик 6'!K19</f>
        <v/>
      </c>
      <c r="L34" s="46">
        <f>'Поставщик 6'!L19</f>
        <v/>
      </c>
      <c r="M34" s="46">
        <f>'Поставщик 6'!M19</f>
        <v/>
      </c>
      <c r="N34" s="46">
        <f>'Поставщик 6'!N19</f>
        <v/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47">
        <f>'Поставщик 6'!E20</f>
        <v/>
      </c>
      <c r="F35" s="47">
        <f>'Поставщик 6'!F20</f>
        <v/>
      </c>
      <c r="G35" s="47">
        <f>'Поставщик 6'!G20</f>
        <v/>
      </c>
      <c r="H35" s="47">
        <f>'Поставщик 6'!H20</f>
        <v/>
      </c>
      <c r="I35" s="47">
        <f>'Поставщик 6'!I20</f>
        <v/>
      </c>
      <c r="J35" s="47">
        <f>'Поставщик 6'!J20</f>
        <v/>
      </c>
      <c r="K35" s="47">
        <f>'Поставщик 6'!K20</f>
        <v/>
      </c>
      <c r="L35" s="47">
        <f>'Поставщик 6'!L20</f>
        <v/>
      </c>
      <c r="M35" s="47">
        <f>'Поставщик 6'!M20</f>
        <v/>
      </c>
      <c r="N35" s="47">
        <f>'Поставщик 6'!N20</f>
        <v/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48" t="inlineStr">
        <is>
          <t>Стоимость в рублях</t>
        </is>
      </c>
      <c r="C5" s="24" t="inlineStr">
        <is>
          <t>тыс.руб</t>
        </is>
      </c>
      <c r="D5" s="49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49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49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49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49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49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50">
        <f>'Ввод данных'!D16*'Параметры'!C27*('Параметры'!C29/'Параметры'!C28)*'Параметры'!C30</f>
        <v/>
      </c>
      <c r="E6" s="50">
        <f>'Ввод данных'!E16*'Параметры'!C27*('Параметры'!C29/'Параметры'!C28)*'Параметры'!C30</f>
        <v/>
      </c>
      <c r="F6" s="50">
        <f>'Ввод данных'!F16*'Параметры'!C27*('Параметры'!C29/'Параметры'!C28)*'Параметры'!C30</f>
        <v/>
      </c>
      <c r="G6" s="50">
        <f>'Ввод данных'!G16*'Параметры'!C27*('Параметры'!C29/'Параметры'!C28)*'Параметры'!C30</f>
        <v/>
      </c>
      <c r="H6" s="50">
        <f>'Ввод данных'!H16*'Параметры'!C27*('Параметры'!C29/'Параметры'!C28)*'Параметры'!C30</f>
        <v/>
      </c>
      <c r="I6" s="50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49">
        <f>ROUNDUP('Параметры'!C31/D6,0)</f>
        <v/>
      </c>
      <c r="E7" s="49">
        <f>ROUNDUP('Параметры'!C31/E6,0)</f>
        <v/>
      </c>
      <c r="F7" s="49">
        <f>ROUNDUP('Параметры'!C31/F6,0)</f>
        <v/>
      </c>
      <c r="G7" s="49">
        <f>ROUNDUP('Параметры'!C31/G6,0)</f>
        <v/>
      </c>
      <c r="H7" s="49">
        <f>ROUNDUP('Параметры'!C31/H6,0)</f>
        <v/>
      </c>
      <c r="I7" s="49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0">
        <f>3600/(D7*'Ввод данных'!D17+'Параметры'!C32)</f>
        <v/>
      </c>
      <c r="E8" s="50">
        <f>3600/(E7*'Ввод данных'!E17+'Параметры'!C32)</f>
        <v/>
      </c>
      <c r="F8" s="50">
        <f>3600/(F7*'Ввод данных'!F17+'Параметры'!C32)</f>
        <v/>
      </c>
      <c r="G8" s="50">
        <f>3600/(G7*'Ввод данных'!G17+'Параметры'!C32)</f>
        <v/>
      </c>
      <c r="H8" s="50">
        <f>3600/(H7*'Ввод данных'!H17+'Параметры'!C32)</f>
        <v/>
      </c>
      <c r="I8" s="50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49">
        <f>'Параметры'!C31*D8</f>
        <v/>
      </c>
      <c r="E9" s="49">
        <f>'Параметры'!C31*E8</f>
        <v/>
      </c>
      <c r="F9" s="49">
        <f>'Параметры'!C31*F8</f>
        <v/>
      </c>
      <c r="G9" s="49">
        <f>'Параметры'!C31*G8</f>
        <v/>
      </c>
      <c r="H9" s="49">
        <f>'Параметры'!C31*H8</f>
        <v/>
      </c>
      <c r="I9" s="49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1">
        <f>D9/'Параметры'!C27</f>
        <v/>
      </c>
      <c r="E10" s="51">
        <f>E9/'Параметры'!C27</f>
        <v/>
      </c>
      <c r="F10" s="51">
        <f>F9/'Параметры'!C27</f>
        <v/>
      </c>
      <c r="G10" s="51">
        <f>G9/'Параметры'!C27</f>
        <v/>
      </c>
      <c r="H10" s="51">
        <f>H9/'Параметры'!C27</f>
        <v/>
      </c>
      <c r="I10" s="51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49">
        <f>'Параметры'!C26*'Данные по годам'!E7</f>
        <v/>
      </c>
      <c r="E11" s="49">
        <f>'Параметры'!C26*'Данные по годам'!E12</f>
        <v/>
      </c>
      <c r="F11" s="49">
        <f>'Параметры'!C26*'Данные по годам'!E17</f>
        <v/>
      </c>
      <c r="G11" s="49">
        <f>'Параметры'!C26*'Данные по годам'!E22</f>
        <v/>
      </c>
      <c r="H11" s="49">
        <f>'Параметры'!C26*'Данные по годам'!E27</f>
        <v/>
      </c>
      <c r="I11" s="49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49">
        <f>D11*(1-'Ввод данных'!D18/(60*'Параметры'!C33))</f>
        <v/>
      </c>
      <c r="E12" s="49">
        <f>E11*(1-'Ввод данных'!E18/(60*'Параметры'!C33))</f>
        <v/>
      </c>
      <c r="F12" s="49">
        <f>F11*(1-'Ввод данных'!F18/(60*'Параметры'!C33))</f>
        <v/>
      </c>
      <c r="G12" s="49">
        <f>G11*(1-'Ввод данных'!G18/(60*'Параметры'!C33))</f>
        <v/>
      </c>
      <c r="H12" s="49">
        <f>H11*(1-'Ввод данных'!H18/(60*'Параметры'!C33))</f>
        <v/>
      </c>
      <c r="I12" s="49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2">
        <f>D12/'Параметры'!C26</f>
        <v/>
      </c>
      <c r="E13" s="52">
        <f>E12/'Параметры'!C26</f>
        <v/>
      </c>
      <c r="F13" s="52">
        <f>F12/'Параметры'!C26</f>
        <v/>
      </c>
      <c r="G13" s="52">
        <f>G12/'Параметры'!C26</f>
        <v/>
      </c>
      <c r="H13" s="52">
        <f>H12/'Параметры'!C26</f>
        <v/>
      </c>
      <c r="I13" s="52">
        <f>I12/'Параметры'!C26</f>
        <v/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53">
        <f>D10*D12/1000</f>
        <v/>
      </c>
      <c r="E14" s="53">
        <f>E10*E12/1000</f>
        <v/>
      </c>
      <c r="F14" s="53">
        <f>F10*F12/1000</f>
        <v/>
      </c>
      <c r="G14" s="53">
        <f>G10*G12/1000</f>
        <v/>
      </c>
      <c r="H14" s="53">
        <f>H10*H12/1000</f>
        <v/>
      </c>
      <c r="I14" s="53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4" t="inlineStr">
        <is>
          <t>Период</t>
        </is>
      </c>
      <c r="D4" s="55" t="n">
        <v>0</v>
      </c>
      <c r="E4" s="55" t="n">
        <v>1</v>
      </c>
      <c r="F4" s="55" t="n">
        <v>2</v>
      </c>
      <c r="G4" s="55" t="n">
        <v>3</v>
      </c>
      <c r="H4" s="55" t="n">
        <v>4</v>
      </c>
      <c r="I4" s="55" t="n">
        <v>5</v>
      </c>
      <c r="J4" s="55" t="n">
        <v>6</v>
      </c>
      <c r="K4" s="55" t="n">
        <v>7</v>
      </c>
      <c r="L4" s="55" t="n">
        <v>8</v>
      </c>
      <c r="M4" s="55" t="n">
        <v>9</v>
      </c>
      <c r="N4" s="55" t="n">
        <v>10</v>
      </c>
    </row>
    <row r="5">
      <c r="B5" s="56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54" t="inlineStr">
        <is>
          <t>Дисконт-фактор</t>
        </is>
      </c>
      <c r="D6" s="57">
        <f>1/(1+'Параметры'!C6)^D$4</f>
        <v/>
      </c>
      <c r="E6" s="57">
        <f>1/(1+'Параметры'!C6)^E$4</f>
        <v/>
      </c>
      <c r="F6" s="57">
        <f>1/(1+'Параметры'!C6)^F$4</f>
        <v/>
      </c>
      <c r="G6" s="57">
        <f>1/(1+'Параметры'!C6)^G$4</f>
        <v/>
      </c>
      <c r="H6" s="57">
        <f>1/(1+'Параметры'!C6)^H$4</f>
        <v/>
      </c>
      <c r="I6" s="57">
        <f>1/(1+'Параметры'!C6)^I$4</f>
        <v/>
      </c>
      <c r="J6" s="57">
        <f>1/(1+'Параметры'!C6)^J$4</f>
        <v/>
      </c>
      <c r="K6" s="57">
        <f>1/(1+'Параметры'!C6)^K$4</f>
        <v/>
      </c>
      <c r="L6" s="57">
        <f>1/(1+'Параметры'!C6)^L$4</f>
        <v/>
      </c>
      <c r="M6" s="57">
        <f>1/(1+'Параметры'!C6)^M$4</f>
        <v/>
      </c>
      <c r="N6" s="57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2" t="n"/>
      <c r="E9" s="52">
        <f>'Данные по годам'!E7</f>
        <v/>
      </c>
      <c r="F9" s="52">
        <f>'Данные по годам'!F7</f>
        <v/>
      </c>
      <c r="G9" s="52">
        <f>'Данные по годам'!G7</f>
        <v/>
      </c>
      <c r="H9" s="52">
        <f>'Данные по годам'!H7</f>
        <v/>
      </c>
      <c r="I9" s="52">
        <f>'Данные по годам'!I7</f>
        <v/>
      </c>
      <c r="J9" s="52">
        <f>'Данные по годам'!J7</f>
        <v/>
      </c>
      <c r="K9" s="52">
        <f>'Данные по годам'!K7</f>
        <v/>
      </c>
      <c r="L9" s="52">
        <f>'Данные по годам'!L7</f>
        <v/>
      </c>
      <c r="M9" s="52">
        <f>'Данные по годам'!M7</f>
        <v/>
      </c>
      <c r="N9" s="52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49" t="n"/>
      <c r="E10" s="49">
        <f>'Параметры'!C26*E9*(1-'Ввод данных'!D18/(60*'Параметры'!C33))</f>
        <v/>
      </c>
      <c r="F10" s="49">
        <f>'Параметры'!C26*F9*(1-'Ввод данных'!D18/(60*'Параметры'!C33))</f>
        <v/>
      </c>
      <c r="G10" s="49">
        <f>'Параметры'!C26*G9*(1-'Ввод данных'!D18/(60*'Параметры'!C33))</f>
        <v/>
      </c>
      <c r="H10" s="49">
        <f>'Параметры'!C26*H9*(1-'Ввод данных'!D18/(60*'Параметры'!C33))</f>
        <v/>
      </c>
      <c r="I10" s="49">
        <f>'Параметры'!C26*I9*(1-'Ввод данных'!D18/(60*'Параметры'!C33))</f>
        <v/>
      </c>
      <c r="J10" s="49">
        <f>'Параметры'!C26*J9*(1-'Ввод данных'!D18/(60*'Параметры'!C33))</f>
        <v/>
      </c>
      <c r="K10" s="49">
        <f>'Параметры'!C26*K9*(1-'Ввод данных'!D18/(60*'Параметры'!C33))</f>
        <v/>
      </c>
      <c r="L10" s="49">
        <f>'Параметры'!C26*L9*(1-'Ввод данных'!D18/(60*'Параметры'!C33))</f>
        <v/>
      </c>
      <c r="M10" s="49">
        <f>'Параметры'!C26*M9*(1-'Ввод данных'!D18/(60*'Параметры'!C33))</f>
        <v/>
      </c>
      <c r="N10" s="49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49" t="n"/>
      <c r="E11" s="49">
        <f>'Производительность'!D10*E10/1000</f>
        <v/>
      </c>
      <c r="F11" s="49">
        <f>'Производительность'!D10*F10/1000</f>
        <v/>
      </c>
      <c r="G11" s="49">
        <f>'Производительность'!D10*G10/1000</f>
        <v/>
      </c>
      <c r="H11" s="49">
        <f>'Производительность'!D10*H10/1000</f>
        <v/>
      </c>
      <c r="I11" s="49">
        <f>'Производительность'!D10*I10/1000</f>
        <v/>
      </c>
      <c r="J11" s="49">
        <f>'Производительность'!D10*J10/1000</f>
        <v/>
      </c>
      <c r="K11" s="49">
        <f>'Производительность'!D10*K10/1000</f>
        <v/>
      </c>
      <c r="L11" s="49">
        <f>'Производительность'!D10*L10/1000</f>
        <v/>
      </c>
      <c r="M11" s="49">
        <f>'Производительность'!D10*M10/1000</f>
        <v/>
      </c>
      <c r="N11" s="49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49" t="n"/>
      <c r="E12" s="49">
        <f>E10*'Данные по годам'!E9*'Параметры'!C10*(1+'Параметры'!C14)^(E$4-1)/1000</f>
        <v/>
      </c>
      <c r="F12" s="49">
        <f>F10*'Данные по годам'!F9*'Параметры'!C10*(1+'Параметры'!C14)^(F$4-1)/1000</f>
        <v/>
      </c>
      <c r="G12" s="49">
        <f>G10*'Данные по годам'!G9*'Параметры'!C10*(1+'Параметры'!C14)^(G$4-1)/1000</f>
        <v/>
      </c>
      <c r="H12" s="49">
        <f>H10*'Данные по годам'!H9*'Параметры'!C10*(1+'Параметры'!C14)^(H$4-1)/1000</f>
        <v/>
      </c>
      <c r="I12" s="49">
        <f>I10*'Данные по годам'!I9*'Параметры'!C10*(1+'Параметры'!C14)^(I$4-1)/1000</f>
        <v/>
      </c>
      <c r="J12" s="49">
        <f>J10*'Данные по годам'!J9*'Параметры'!C10*(1+'Параметры'!C14)^(J$4-1)/1000</f>
        <v/>
      </c>
      <c r="K12" s="49">
        <f>K10*'Данные по годам'!K9*'Параметры'!C10*(1+'Параметры'!C14)^(K$4-1)/1000</f>
        <v/>
      </c>
      <c r="L12" s="49">
        <f>L10*'Данные по годам'!L9*'Параметры'!C10*(1+'Параметры'!C14)^(L$4-1)/1000</f>
        <v/>
      </c>
      <c r="M12" s="49">
        <f>M10*'Данные по годам'!M9*'Параметры'!C10*(1+'Параметры'!C14)^(M$4-1)/1000</f>
        <v/>
      </c>
      <c r="N12" s="49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49" t="n"/>
      <c r="E13" s="49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49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49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49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49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49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49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49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49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49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49" t="n"/>
      <c r="E14" s="49">
        <f>'Данные по годам'!E10*E11*(1+'Параметры'!C15)^(E$4-1)</f>
        <v/>
      </c>
      <c r="F14" s="49">
        <f>'Данные по годам'!F10*F11*(1+'Параметры'!C15)^(F$4-1)</f>
        <v/>
      </c>
      <c r="G14" s="49">
        <f>'Данные по годам'!G10*G11*(1+'Параметры'!C15)^(G$4-1)</f>
        <v/>
      </c>
      <c r="H14" s="49">
        <f>'Данные по годам'!H10*H11*(1+'Параметры'!C15)^(H$4-1)</f>
        <v/>
      </c>
      <c r="I14" s="49">
        <f>'Данные по годам'!I10*I11*(1+'Параметры'!C15)^(I$4-1)</f>
        <v/>
      </c>
      <c r="J14" s="49">
        <f>'Данные по годам'!J10*J11*(1+'Параметры'!C15)^(J$4-1)</f>
        <v/>
      </c>
      <c r="K14" s="49">
        <f>'Данные по годам'!K10*K11*(1+'Параметры'!C15)^(K$4-1)</f>
        <v/>
      </c>
      <c r="L14" s="49">
        <f>'Данные по годам'!L10*L11*(1+'Параметры'!C15)^(L$4-1)</f>
        <v/>
      </c>
      <c r="M14" s="49">
        <f>'Данные по годам'!M10*M11*(1+'Параметры'!C15)^(M$4-1)</f>
        <v/>
      </c>
      <c r="N14" s="49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49" t="n"/>
      <c r="E15" s="49">
        <f>'Ввод данных'!D20*(1+'Параметры'!C16)^(E$4-1)</f>
        <v/>
      </c>
      <c r="F15" s="49">
        <f>'Ввод данных'!D20*(1+'Параметры'!C16)^(F$4-1)</f>
        <v/>
      </c>
      <c r="G15" s="49">
        <f>'Ввод данных'!D20*(1+'Параметры'!C16)^(G$4-1)</f>
        <v/>
      </c>
      <c r="H15" s="49">
        <f>'Ввод данных'!D20*(1+'Параметры'!C16)^(H$4-1)</f>
        <v/>
      </c>
      <c r="I15" s="49">
        <f>'Ввод данных'!D20*(1+'Параметры'!C16)^(I$4-1)</f>
        <v/>
      </c>
      <c r="J15" s="49">
        <f>'Ввод данных'!D20*(1+'Параметры'!C16)^(J$4-1)</f>
        <v/>
      </c>
      <c r="K15" s="49">
        <f>'Ввод данных'!D20*(1+'Параметры'!C16)^(K$4-1)</f>
        <v/>
      </c>
      <c r="L15" s="49">
        <f>'Ввод данных'!D20*(1+'Параметры'!C16)^(L$4-1)</f>
        <v/>
      </c>
      <c r="M15" s="49">
        <f>'Ввод данных'!D20*(1+'Параметры'!C16)^(M$4-1)</f>
        <v/>
      </c>
      <c r="N15" s="49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49" t="n"/>
      <c r="E16" s="58">
        <f>E12+E13+E14+E15</f>
        <v/>
      </c>
      <c r="F16" s="58">
        <f>F12+F13+F14+F15</f>
        <v/>
      </c>
      <c r="G16" s="58">
        <f>G12+G13+G14+G15</f>
        <v/>
      </c>
      <c r="H16" s="58">
        <f>H12+H13+H14+H15</f>
        <v/>
      </c>
      <c r="I16" s="58">
        <f>I12+I13+I14+I15</f>
        <v/>
      </c>
      <c r="J16" s="58">
        <f>J12+J13+J14+J15</f>
        <v/>
      </c>
      <c r="K16" s="58">
        <f>K12+K13+K14+K15</f>
        <v/>
      </c>
      <c r="L16" s="58">
        <f>L12+L13+L14+L15</f>
        <v/>
      </c>
      <c r="M16" s="58">
        <f>M12+M13+M14+M15</f>
        <v/>
      </c>
      <c r="N16" s="58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49" t="n"/>
      <c r="E17" s="49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49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49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49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49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49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49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49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49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49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49" t="n"/>
      <c r="E18" s="49">
        <f>E16+E17</f>
        <v/>
      </c>
      <c r="F18" s="49">
        <f>F16+F17</f>
        <v/>
      </c>
      <c r="G18" s="49">
        <f>G16+G17</f>
        <v/>
      </c>
      <c r="H18" s="49">
        <f>H16+H17</f>
        <v/>
      </c>
      <c r="I18" s="49">
        <f>I16+I17</f>
        <v/>
      </c>
      <c r="J18" s="49">
        <f>J16+J17</f>
        <v/>
      </c>
      <c r="K18" s="49">
        <f>K16+K17</f>
        <v/>
      </c>
      <c r="L18" s="49">
        <f>L16+L17</f>
        <v/>
      </c>
      <c r="M18" s="49">
        <f>M16+M17</f>
        <v/>
      </c>
      <c r="N18" s="49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49" t="n"/>
      <c r="E19" s="49">
        <f>-E18*'Параметры'!C7</f>
        <v/>
      </c>
      <c r="F19" s="49">
        <f>-F18*'Параметры'!C7</f>
        <v/>
      </c>
      <c r="G19" s="49">
        <f>-G18*'Параметры'!C7</f>
        <v/>
      </c>
      <c r="H19" s="49">
        <f>-H18*'Параметры'!C7</f>
        <v/>
      </c>
      <c r="I19" s="49">
        <f>-I18*'Параметры'!C7</f>
        <v/>
      </c>
      <c r="J19" s="49">
        <f>-J18*'Параметры'!C7</f>
        <v/>
      </c>
      <c r="K19" s="49">
        <f>-K18*'Параметры'!C7</f>
        <v/>
      </c>
      <c r="L19" s="49">
        <f>-L18*'Параметры'!C7</f>
        <v/>
      </c>
      <c r="M19" s="49">
        <f>-M18*'Параметры'!C7</f>
        <v/>
      </c>
      <c r="N19" s="49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49" t="n"/>
      <c r="E20" s="58">
        <f>E18+E19-E17</f>
        <v/>
      </c>
      <c r="F20" s="58">
        <f>F18+F19-F17</f>
        <v/>
      </c>
      <c r="G20" s="58">
        <f>G18+G19-G17</f>
        <v/>
      </c>
      <c r="H20" s="58">
        <f>H18+H19-H17</f>
        <v/>
      </c>
      <c r="I20" s="58">
        <f>I18+I19-I17</f>
        <v/>
      </c>
      <c r="J20" s="58">
        <f>J18+J19-J17</f>
        <v/>
      </c>
      <c r="K20" s="58">
        <f>K18+K19-K17</f>
        <v/>
      </c>
      <c r="L20" s="58">
        <f>L18+L19-L17</f>
        <v/>
      </c>
      <c r="M20" s="58">
        <f>M18+M19-M17</f>
        <v/>
      </c>
      <c r="N20" s="58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49">
        <f>IF(D$4=0,'Производительность'!D5,IF(D$4='Параметры'!C8,-'Ввод данных'!D14*'Производительность'!D5,0))</f>
        <v/>
      </c>
      <c r="E21" s="49">
        <f>IF(E$4=0,'Производительность'!D5,IF(E$4='Параметры'!C8,-'Ввод данных'!D14*'Производительность'!D5,0))</f>
        <v/>
      </c>
      <c r="F21" s="49">
        <f>IF(F$4=0,'Производительность'!D5,IF(F$4='Параметры'!C8,-'Ввод данных'!D14*'Производительность'!D5,0))</f>
        <v/>
      </c>
      <c r="G21" s="49">
        <f>IF(G$4=0,'Производительность'!D5,IF(G$4='Параметры'!C8,-'Ввод данных'!D14*'Производительность'!D5,0))</f>
        <v/>
      </c>
      <c r="H21" s="49">
        <f>IF(H$4=0,'Производительность'!D5,IF(H$4='Параметры'!C8,-'Ввод данных'!D14*'Производительность'!D5,0))</f>
        <v/>
      </c>
      <c r="I21" s="49">
        <f>IF(I$4=0,'Производительность'!D5,IF(I$4='Параметры'!C8,-'Ввод данных'!D14*'Производительность'!D5,0))</f>
        <v/>
      </c>
      <c r="J21" s="49">
        <f>IF(J$4=0,'Производительность'!D5,IF(J$4='Параметры'!C8,-'Ввод данных'!D14*'Производительность'!D5,0))</f>
        <v/>
      </c>
      <c r="K21" s="49">
        <f>IF(K$4=0,'Производительность'!D5,IF(K$4='Параметры'!C8,-'Ввод данных'!D14*'Производительность'!D5,0))</f>
        <v/>
      </c>
      <c r="L21" s="49">
        <f>IF(L$4=0,'Производительность'!D5,IF(L$4='Параметры'!C8,-'Ввод данных'!D14*'Производительность'!D5,0))</f>
        <v/>
      </c>
      <c r="M21" s="49">
        <f>IF(M$4=0,'Производительность'!D5,IF(M$4='Параметры'!C8,-'Ввод данных'!D14*'Производительность'!D5,0))</f>
        <v/>
      </c>
      <c r="N21" s="49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58">
        <f>0+D21</f>
        <v/>
      </c>
      <c r="E22" s="58">
        <f>E20+E21</f>
        <v/>
      </c>
      <c r="F22" s="58">
        <f>F20+F21</f>
        <v/>
      </c>
      <c r="G22" s="58">
        <f>G20+G21</f>
        <v/>
      </c>
      <c r="H22" s="58">
        <f>H20+H21</f>
        <v/>
      </c>
      <c r="I22" s="58">
        <f>I20+I21</f>
        <v/>
      </c>
      <c r="J22" s="58">
        <f>J20+J21</f>
        <v/>
      </c>
      <c r="K22" s="58">
        <f>K20+K21</f>
        <v/>
      </c>
      <c r="L22" s="58">
        <f>L20+L21</f>
        <v/>
      </c>
      <c r="M22" s="58">
        <f>M20+M21</f>
        <v/>
      </c>
      <c r="N22" s="58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49">
        <f>D22*D$6</f>
        <v/>
      </c>
      <c r="E23" s="49">
        <f>E22*E$6</f>
        <v/>
      </c>
      <c r="F23" s="49">
        <f>F22*F$6</f>
        <v/>
      </c>
      <c r="G23" s="49">
        <f>G22*G$6</f>
        <v/>
      </c>
      <c r="H23" s="49">
        <f>H22*H$6</f>
        <v/>
      </c>
      <c r="I23" s="49">
        <f>I22*I$6</f>
        <v/>
      </c>
      <c r="J23" s="49">
        <f>J22*J$6</f>
        <v/>
      </c>
      <c r="K23" s="49">
        <f>K22*K$6</f>
        <v/>
      </c>
      <c r="L23" s="49">
        <f>L22*L$6</f>
        <v/>
      </c>
      <c r="M23" s="49">
        <f>M22*M$6</f>
        <v/>
      </c>
      <c r="N23" s="49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49">
        <f>SUM($D23:D23)</f>
        <v/>
      </c>
      <c r="E24" s="49">
        <f>SUM($D23:E23)</f>
        <v/>
      </c>
      <c r="F24" s="49">
        <f>SUM($D23:F23)</f>
        <v/>
      </c>
      <c r="G24" s="49">
        <f>SUM($D23:G23)</f>
        <v/>
      </c>
      <c r="H24" s="49">
        <f>SUM($D23:H23)</f>
        <v/>
      </c>
      <c r="I24" s="49">
        <f>SUM($D23:I23)</f>
        <v/>
      </c>
      <c r="J24" s="49">
        <f>SUM($D23:J23)</f>
        <v/>
      </c>
      <c r="K24" s="49">
        <f>SUM($D23:K23)</f>
        <v/>
      </c>
      <c r="L24" s="49">
        <f>SUM($D23:L23)</f>
        <v/>
      </c>
      <c r="M24" s="49">
        <f>SUM($D23:M23)</f>
        <v/>
      </c>
      <c r="N24" s="49">
        <f>SUM($D23:N23)</f>
        <v/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59" t="n"/>
      <c r="E25" s="59">
        <f>SUM($D23:E23)/SUM($E$6:E$6)/(SUM($E11:E11)/E$4)</f>
        <v/>
      </c>
      <c r="F25" s="59">
        <f>SUM($D23:F23)/SUM($E$6:F$6)/(SUM($E11:F11)/F$4)</f>
        <v/>
      </c>
      <c r="G25" s="59">
        <f>SUM($D23:G23)/SUM($E$6:G$6)/(SUM($E11:G11)/G$4)</f>
        <v/>
      </c>
      <c r="H25" s="59">
        <f>SUM($D23:H23)/SUM($E$6:H$6)/(SUM($E11:H11)/H$4)</f>
        <v/>
      </c>
      <c r="I25" s="59">
        <f>SUM($D23:I23)/SUM($E$6:I$6)/(SUM($E11:I11)/I$4)</f>
        <v/>
      </c>
      <c r="J25" s="59">
        <f>SUM($D23:J23)/SUM($E$6:J$6)/(SUM($E11:J11)/J$4)</f>
        <v/>
      </c>
      <c r="K25" s="59">
        <f>SUM($D23:K23)/SUM($E$6:K$6)/(SUM($E11:K11)/K$4)</f>
        <v/>
      </c>
      <c r="L25" s="59">
        <f>SUM($D23:L23)/SUM($E$6:L$6)/(SUM($E11:L11)/L$4)</f>
        <v/>
      </c>
      <c r="M25" s="59">
        <f>SUM($D23:M23)/SUM($E$6:M$6)/(SUM($E11:M11)/M$4)</f>
        <v/>
      </c>
      <c r="N25" s="59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2" t="n"/>
      <c r="E28" s="52">
        <f>'Данные по годам'!E12</f>
        <v/>
      </c>
      <c r="F28" s="52">
        <f>'Данные по годам'!F12</f>
        <v/>
      </c>
      <c r="G28" s="52">
        <f>'Данные по годам'!G12</f>
        <v/>
      </c>
      <c r="H28" s="52">
        <f>'Данные по годам'!H12</f>
        <v/>
      </c>
      <c r="I28" s="52">
        <f>'Данные по годам'!I12</f>
        <v/>
      </c>
      <c r="J28" s="52">
        <f>'Данные по годам'!J12</f>
        <v/>
      </c>
      <c r="K28" s="52">
        <f>'Данные по годам'!K12</f>
        <v/>
      </c>
      <c r="L28" s="52">
        <f>'Данные по годам'!L12</f>
        <v/>
      </c>
      <c r="M28" s="52">
        <f>'Данные по годам'!M12</f>
        <v/>
      </c>
      <c r="N28" s="52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49" t="n"/>
      <c r="E29" s="49">
        <f>'Параметры'!C26*E28*(1-'Ввод данных'!E18/(60*'Параметры'!C33))</f>
        <v/>
      </c>
      <c r="F29" s="49">
        <f>'Параметры'!C26*F28*(1-'Ввод данных'!E18/(60*'Параметры'!C33))</f>
        <v/>
      </c>
      <c r="G29" s="49">
        <f>'Параметры'!C26*G28*(1-'Ввод данных'!E18/(60*'Параметры'!C33))</f>
        <v/>
      </c>
      <c r="H29" s="49">
        <f>'Параметры'!C26*H28*(1-'Ввод данных'!E18/(60*'Параметры'!C33))</f>
        <v/>
      </c>
      <c r="I29" s="49">
        <f>'Параметры'!C26*I28*(1-'Ввод данных'!E18/(60*'Параметры'!C33))</f>
        <v/>
      </c>
      <c r="J29" s="49">
        <f>'Параметры'!C26*J28*(1-'Ввод данных'!E18/(60*'Параметры'!C33))</f>
        <v/>
      </c>
      <c r="K29" s="49">
        <f>'Параметры'!C26*K28*(1-'Ввод данных'!E18/(60*'Параметры'!C33))</f>
        <v/>
      </c>
      <c r="L29" s="49">
        <f>'Параметры'!C26*L28*(1-'Ввод данных'!E18/(60*'Параметры'!C33))</f>
        <v/>
      </c>
      <c r="M29" s="49">
        <f>'Параметры'!C26*M28*(1-'Ввод данных'!E18/(60*'Параметры'!C33))</f>
        <v/>
      </c>
      <c r="N29" s="49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49" t="n"/>
      <c r="E30" s="49">
        <f>'Производительность'!E10*E29/1000</f>
        <v/>
      </c>
      <c r="F30" s="49">
        <f>'Производительность'!E10*F29/1000</f>
        <v/>
      </c>
      <c r="G30" s="49">
        <f>'Производительность'!E10*G29/1000</f>
        <v/>
      </c>
      <c r="H30" s="49">
        <f>'Производительность'!E10*H29/1000</f>
        <v/>
      </c>
      <c r="I30" s="49">
        <f>'Производительность'!E10*I29/1000</f>
        <v/>
      </c>
      <c r="J30" s="49">
        <f>'Производительность'!E10*J29/1000</f>
        <v/>
      </c>
      <c r="K30" s="49">
        <f>'Производительность'!E10*K29/1000</f>
        <v/>
      </c>
      <c r="L30" s="49">
        <f>'Производительность'!E10*L29/1000</f>
        <v/>
      </c>
      <c r="M30" s="49">
        <f>'Производительность'!E10*M29/1000</f>
        <v/>
      </c>
      <c r="N30" s="49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49" t="n"/>
      <c r="E31" s="49">
        <f>E29*'Данные по годам'!E14*'Параметры'!C10*(1+'Параметры'!C14)^(E$4-1)/1000</f>
        <v/>
      </c>
      <c r="F31" s="49">
        <f>F29*'Данные по годам'!F14*'Параметры'!C10*(1+'Параметры'!C14)^(F$4-1)/1000</f>
        <v/>
      </c>
      <c r="G31" s="49">
        <f>G29*'Данные по годам'!G14*'Параметры'!C10*(1+'Параметры'!C14)^(G$4-1)/1000</f>
        <v/>
      </c>
      <c r="H31" s="49">
        <f>H29*'Данные по годам'!H14*'Параметры'!C10*(1+'Параметры'!C14)^(H$4-1)/1000</f>
        <v/>
      </c>
      <c r="I31" s="49">
        <f>I29*'Данные по годам'!I14*'Параметры'!C10*(1+'Параметры'!C14)^(I$4-1)/1000</f>
        <v/>
      </c>
      <c r="J31" s="49">
        <f>J29*'Данные по годам'!J14*'Параметры'!C10*(1+'Параметры'!C14)^(J$4-1)/1000</f>
        <v/>
      </c>
      <c r="K31" s="49">
        <f>K29*'Данные по годам'!K14*'Параметры'!C10*(1+'Параметры'!C14)^(K$4-1)/1000</f>
        <v/>
      </c>
      <c r="L31" s="49">
        <f>L29*'Данные по годам'!L14*'Параметры'!C10*(1+'Параметры'!C14)^(L$4-1)/1000</f>
        <v/>
      </c>
      <c r="M31" s="49">
        <f>M29*'Данные по годам'!M14*'Параметры'!C10*(1+'Параметры'!C14)^(M$4-1)/1000</f>
        <v/>
      </c>
      <c r="N31" s="49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49" t="n"/>
      <c r="E32" s="49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49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49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49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49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49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49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49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49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49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49" t="n"/>
      <c r="E33" s="49">
        <f>'Данные по годам'!E15*E30*(1+'Параметры'!C15)^(E$4-1)</f>
        <v/>
      </c>
      <c r="F33" s="49">
        <f>'Данные по годам'!F15*F30*(1+'Параметры'!C15)^(F$4-1)</f>
        <v/>
      </c>
      <c r="G33" s="49">
        <f>'Данные по годам'!G15*G30*(1+'Параметры'!C15)^(G$4-1)</f>
        <v/>
      </c>
      <c r="H33" s="49">
        <f>'Данные по годам'!H15*H30*(1+'Параметры'!C15)^(H$4-1)</f>
        <v/>
      </c>
      <c r="I33" s="49">
        <f>'Данные по годам'!I15*I30*(1+'Параметры'!C15)^(I$4-1)</f>
        <v/>
      </c>
      <c r="J33" s="49">
        <f>'Данные по годам'!J15*J30*(1+'Параметры'!C15)^(J$4-1)</f>
        <v/>
      </c>
      <c r="K33" s="49">
        <f>'Данные по годам'!K15*K30*(1+'Параметры'!C15)^(K$4-1)</f>
        <v/>
      </c>
      <c r="L33" s="49">
        <f>'Данные по годам'!L15*L30*(1+'Параметры'!C15)^(L$4-1)</f>
        <v/>
      </c>
      <c r="M33" s="49">
        <f>'Данные по годам'!M15*M30*(1+'Параметры'!C15)^(M$4-1)</f>
        <v/>
      </c>
      <c r="N33" s="49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49" t="n"/>
      <c r="E34" s="49">
        <f>'Ввод данных'!E20*(1+'Параметры'!C16)^(E$4-1)</f>
        <v/>
      </c>
      <c r="F34" s="49">
        <f>'Ввод данных'!E20*(1+'Параметры'!C16)^(F$4-1)</f>
        <v/>
      </c>
      <c r="G34" s="49">
        <f>'Ввод данных'!E20*(1+'Параметры'!C16)^(G$4-1)</f>
        <v/>
      </c>
      <c r="H34" s="49">
        <f>'Ввод данных'!E20*(1+'Параметры'!C16)^(H$4-1)</f>
        <v/>
      </c>
      <c r="I34" s="49">
        <f>'Ввод данных'!E20*(1+'Параметры'!C16)^(I$4-1)</f>
        <v/>
      </c>
      <c r="J34" s="49">
        <f>'Ввод данных'!E20*(1+'Параметры'!C16)^(J$4-1)</f>
        <v/>
      </c>
      <c r="K34" s="49">
        <f>'Ввод данных'!E20*(1+'Параметры'!C16)^(K$4-1)</f>
        <v/>
      </c>
      <c r="L34" s="49">
        <f>'Ввод данных'!E20*(1+'Параметры'!C16)^(L$4-1)</f>
        <v/>
      </c>
      <c r="M34" s="49">
        <f>'Ввод данных'!E20*(1+'Параметры'!C16)^(M$4-1)</f>
        <v/>
      </c>
      <c r="N34" s="49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49" t="n"/>
      <c r="E35" s="58">
        <f>E31+E32+E33+E34</f>
        <v/>
      </c>
      <c r="F35" s="58">
        <f>F31+F32+F33+F34</f>
        <v/>
      </c>
      <c r="G35" s="58">
        <f>G31+G32+G33+G34</f>
        <v/>
      </c>
      <c r="H35" s="58">
        <f>H31+H32+H33+H34</f>
        <v/>
      </c>
      <c r="I35" s="58">
        <f>I31+I32+I33+I34</f>
        <v/>
      </c>
      <c r="J35" s="58">
        <f>J31+J32+J33+J34</f>
        <v/>
      </c>
      <c r="K35" s="58">
        <f>K31+K32+K33+K34</f>
        <v/>
      </c>
      <c r="L35" s="58">
        <f>L31+L32+L33+L34</f>
        <v/>
      </c>
      <c r="M35" s="58">
        <f>M31+M32+M33+M34</f>
        <v/>
      </c>
      <c r="N35" s="58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49" t="n"/>
      <c r="E36" s="49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49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49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49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49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49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49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49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49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49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49" t="n"/>
      <c r="E37" s="49">
        <f>E35+E36</f>
        <v/>
      </c>
      <c r="F37" s="49">
        <f>F35+F36</f>
        <v/>
      </c>
      <c r="G37" s="49">
        <f>G35+G36</f>
        <v/>
      </c>
      <c r="H37" s="49">
        <f>H35+H36</f>
        <v/>
      </c>
      <c r="I37" s="49">
        <f>I35+I36</f>
        <v/>
      </c>
      <c r="J37" s="49">
        <f>J35+J36</f>
        <v/>
      </c>
      <c r="K37" s="49">
        <f>K35+K36</f>
        <v/>
      </c>
      <c r="L37" s="49">
        <f>L35+L36</f>
        <v/>
      </c>
      <c r="M37" s="49">
        <f>M35+M36</f>
        <v/>
      </c>
      <c r="N37" s="49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49" t="n"/>
      <c r="E38" s="49">
        <f>-E37*'Параметры'!C7</f>
        <v/>
      </c>
      <c r="F38" s="49">
        <f>-F37*'Параметры'!C7</f>
        <v/>
      </c>
      <c r="G38" s="49">
        <f>-G37*'Параметры'!C7</f>
        <v/>
      </c>
      <c r="H38" s="49">
        <f>-H37*'Параметры'!C7</f>
        <v/>
      </c>
      <c r="I38" s="49">
        <f>-I37*'Параметры'!C7</f>
        <v/>
      </c>
      <c r="J38" s="49">
        <f>-J37*'Параметры'!C7</f>
        <v/>
      </c>
      <c r="K38" s="49">
        <f>-K37*'Параметры'!C7</f>
        <v/>
      </c>
      <c r="L38" s="49">
        <f>-L37*'Параметры'!C7</f>
        <v/>
      </c>
      <c r="M38" s="49">
        <f>-M37*'Параметры'!C7</f>
        <v/>
      </c>
      <c r="N38" s="49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49" t="n"/>
      <c r="E39" s="58">
        <f>E37+E38-E36</f>
        <v/>
      </c>
      <c r="F39" s="58">
        <f>F37+F38-F36</f>
        <v/>
      </c>
      <c r="G39" s="58">
        <f>G37+G38-G36</f>
        <v/>
      </c>
      <c r="H39" s="58">
        <f>H37+H38-H36</f>
        <v/>
      </c>
      <c r="I39" s="58">
        <f>I37+I38-I36</f>
        <v/>
      </c>
      <c r="J39" s="58">
        <f>J37+J38-J36</f>
        <v/>
      </c>
      <c r="K39" s="58">
        <f>K37+K38-K36</f>
        <v/>
      </c>
      <c r="L39" s="58">
        <f>L37+L38-L36</f>
        <v/>
      </c>
      <c r="M39" s="58">
        <f>M37+M38-M36</f>
        <v/>
      </c>
      <c r="N39" s="58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49">
        <f>IF(D$4=0,'Производительность'!E5,IF(D$4='Параметры'!C8,-'Ввод данных'!E14*'Производительность'!E5,0))</f>
        <v/>
      </c>
      <c r="E40" s="49">
        <f>IF(E$4=0,'Производительность'!E5,IF(E$4='Параметры'!C8,-'Ввод данных'!E14*'Производительность'!E5,0))</f>
        <v/>
      </c>
      <c r="F40" s="49">
        <f>IF(F$4=0,'Производительность'!E5,IF(F$4='Параметры'!C8,-'Ввод данных'!E14*'Производительность'!E5,0))</f>
        <v/>
      </c>
      <c r="G40" s="49">
        <f>IF(G$4=0,'Производительность'!E5,IF(G$4='Параметры'!C8,-'Ввод данных'!E14*'Производительность'!E5,0))</f>
        <v/>
      </c>
      <c r="H40" s="49">
        <f>IF(H$4=0,'Производительность'!E5,IF(H$4='Параметры'!C8,-'Ввод данных'!E14*'Производительность'!E5,0))</f>
        <v/>
      </c>
      <c r="I40" s="49">
        <f>IF(I$4=0,'Производительность'!E5,IF(I$4='Параметры'!C8,-'Ввод данных'!E14*'Производительность'!E5,0))</f>
        <v/>
      </c>
      <c r="J40" s="49">
        <f>IF(J$4=0,'Производительность'!E5,IF(J$4='Параметры'!C8,-'Ввод данных'!E14*'Производительность'!E5,0))</f>
        <v/>
      </c>
      <c r="K40" s="49">
        <f>IF(K$4=0,'Производительность'!E5,IF(K$4='Параметры'!C8,-'Ввод данных'!E14*'Производительность'!E5,0))</f>
        <v/>
      </c>
      <c r="L40" s="49">
        <f>IF(L$4=0,'Производительность'!E5,IF(L$4='Параметры'!C8,-'Ввод данных'!E14*'Производительность'!E5,0))</f>
        <v/>
      </c>
      <c r="M40" s="49">
        <f>IF(M$4=0,'Производительность'!E5,IF(M$4='Параметры'!C8,-'Ввод данных'!E14*'Производительность'!E5,0))</f>
        <v/>
      </c>
      <c r="N40" s="49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58">
        <f>0+D40</f>
        <v/>
      </c>
      <c r="E41" s="58">
        <f>E39+E40</f>
        <v/>
      </c>
      <c r="F41" s="58">
        <f>F39+F40</f>
        <v/>
      </c>
      <c r="G41" s="58">
        <f>G39+G40</f>
        <v/>
      </c>
      <c r="H41" s="58">
        <f>H39+H40</f>
        <v/>
      </c>
      <c r="I41" s="58">
        <f>I39+I40</f>
        <v/>
      </c>
      <c r="J41" s="58">
        <f>J39+J40</f>
        <v/>
      </c>
      <c r="K41" s="58">
        <f>K39+K40</f>
        <v/>
      </c>
      <c r="L41" s="58">
        <f>L39+L40</f>
        <v/>
      </c>
      <c r="M41" s="58">
        <f>M39+M40</f>
        <v/>
      </c>
      <c r="N41" s="58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49">
        <f>D41*D$6</f>
        <v/>
      </c>
      <c r="E42" s="49">
        <f>E41*E$6</f>
        <v/>
      </c>
      <c r="F42" s="49">
        <f>F41*F$6</f>
        <v/>
      </c>
      <c r="G42" s="49">
        <f>G41*G$6</f>
        <v/>
      </c>
      <c r="H42" s="49">
        <f>H41*H$6</f>
        <v/>
      </c>
      <c r="I42" s="49">
        <f>I41*I$6</f>
        <v/>
      </c>
      <c r="J42" s="49">
        <f>J41*J$6</f>
        <v/>
      </c>
      <c r="K42" s="49">
        <f>K41*K$6</f>
        <v/>
      </c>
      <c r="L42" s="49">
        <f>L41*L$6</f>
        <v/>
      </c>
      <c r="M42" s="49">
        <f>M41*M$6</f>
        <v/>
      </c>
      <c r="N42" s="49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49">
        <f>SUM($D42:D42)</f>
        <v/>
      </c>
      <c r="E43" s="49">
        <f>SUM($D42:E42)</f>
        <v/>
      </c>
      <c r="F43" s="49">
        <f>SUM($D42:F42)</f>
        <v/>
      </c>
      <c r="G43" s="49">
        <f>SUM($D42:G42)</f>
        <v/>
      </c>
      <c r="H43" s="49">
        <f>SUM($D42:H42)</f>
        <v/>
      </c>
      <c r="I43" s="49">
        <f>SUM($D42:I42)</f>
        <v/>
      </c>
      <c r="J43" s="49">
        <f>SUM($D42:J42)</f>
        <v/>
      </c>
      <c r="K43" s="49">
        <f>SUM($D42:K42)</f>
        <v/>
      </c>
      <c r="L43" s="49">
        <f>SUM($D42:L42)</f>
        <v/>
      </c>
      <c r="M43" s="49">
        <f>SUM($D42:M42)</f>
        <v/>
      </c>
      <c r="N43" s="49">
        <f>SUM($D42:N42)</f>
        <v/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59" t="n"/>
      <c r="E44" s="59">
        <f>SUM($D42:E42)/SUM($E$6:E$6)/(SUM($E30:E30)/E$4)</f>
        <v/>
      </c>
      <c r="F44" s="59">
        <f>SUM($D42:F42)/SUM($E$6:F$6)/(SUM($E30:F30)/F$4)</f>
        <v/>
      </c>
      <c r="G44" s="59">
        <f>SUM($D42:G42)/SUM($E$6:G$6)/(SUM($E30:G30)/G$4)</f>
        <v/>
      </c>
      <c r="H44" s="59">
        <f>SUM($D42:H42)/SUM($E$6:H$6)/(SUM($E30:H30)/H$4)</f>
        <v/>
      </c>
      <c r="I44" s="59">
        <f>SUM($D42:I42)/SUM($E$6:I$6)/(SUM($E30:I30)/I$4)</f>
        <v/>
      </c>
      <c r="J44" s="59">
        <f>SUM($D42:J42)/SUM($E$6:J$6)/(SUM($E30:J30)/J$4)</f>
        <v/>
      </c>
      <c r="K44" s="59">
        <f>SUM($D42:K42)/SUM($E$6:K$6)/(SUM($E30:K30)/K$4)</f>
        <v/>
      </c>
      <c r="L44" s="59">
        <f>SUM($D42:L42)/SUM($E$6:L$6)/(SUM($E30:L30)/L$4)</f>
        <v/>
      </c>
      <c r="M44" s="59">
        <f>SUM($D42:M42)/SUM($E$6:M$6)/(SUM($E30:M30)/M$4)</f>
        <v/>
      </c>
      <c r="N44" s="59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2" t="n"/>
      <c r="E47" s="52">
        <f>'Данные по годам'!E17</f>
        <v/>
      </c>
      <c r="F47" s="52">
        <f>'Данные по годам'!F17</f>
        <v/>
      </c>
      <c r="G47" s="52">
        <f>'Данные по годам'!G17</f>
        <v/>
      </c>
      <c r="H47" s="52">
        <f>'Данные по годам'!H17</f>
        <v/>
      </c>
      <c r="I47" s="52">
        <f>'Данные по годам'!I17</f>
        <v/>
      </c>
      <c r="J47" s="52">
        <f>'Данные по годам'!J17</f>
        <v/>
      </c>
      <c r="K47" s="52">
        <f>'Данные по годам'!K17</f>
        <v/>
      </c>
      <c r="L47" s="52">
        <f>'Данные по годам'!L17</f>
        <v/>
      </c>
      <c r="M47" s="52">
        <f>'Данные по годам'!M17</f>
        <v/>
      </c>
      <c r="N47" s="52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49" t="n"/>
      <c r="E48" s="49">
        <f>'Параметры'!C26*E47*(1-'Ввод данных'!F18/(60*'Параметры'!C33))</f>
        <v/>
      </c>
      <c r="F48" s="49">
        <f>'Параметры'!C26*F47*(1-'Ввод данных'!F18/(60*'Параметры'!C33))</f>
        <v/>
      </c>
      <c r="G48" s="49">
        <f>'Параметры'!C26*G47*(1-'Ввод данных'!F18/(60*'Параметры'!C33))</f>
        <v/>
      </c>
      <c r="H48" s="49">
        <f>'Параметры'!C26*H47*(1-'Ввод данных'!F18/(60*'Параметры'!C33))</f>
        <v/>
      </c>
      <c r="I48" s="49">
        <f>'Параметры'!C26*I47*(1-'Ввод данных'!F18/(60*'Параметры'!C33))</f>
        <v/>
      </c>
      <c r="J48" s="49">
        <f>'Параметры'!C26*J47*(1-'Ввод данных'!F18/(60*'Параметры'!C33))</f>
        <v/>
      </c>
      <c r="K48" s="49">
        <f>'Параметры'!C26*K47*(1-'Ввод данных'!F18/(60*'Параметры'!C33))</f>
        <v/>
      </c>
      <c r="L48" s="49">
        <f>'Параметры'!C26*L47*(1-'Ввод данных'!F18/(60*'Параметры'!C33))</f>
        <v/>
      </c>
      <c r="M48" s="49">
        <f>'Параметры'!C26*M47*(1-'Ввод данных'!F18/(60*'Параметры'!C33))</f>
        <v/>
      </c>
      <c r="N48" s="49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49" t="n"/>
      <c r="E49" s="49">
        <f>'Производительность'!F10*E48/1000</f>
        <v/>
      </c>
      <c r="F49" s="49">
        <f>'Производительность'!F10*F48/1000</f>
        <v/>
      </c>
      <c r="G49" s="49">
        <f>'Производительность'!F10*G48/1000</f>
        <v/>
      </c>
      <c r="H49" s="49">
        <f>'Производительность'!F10*H48/1000</f>
        <v/>
      </c>
      <c r="I49" s="49">
        <f>'Производительность'!F10*I48/1000</f>
        <v/>
      </c>
      <c r="J49" s="49">
        <f>'Производительность'!F10*J48/1000</f>
        <v/>
      </c>
      <c r="K49" s="49">
        <f>'Производительность'!F10*K48/1000</f>
        <v/>
      </c>
      <c r="L49" s="49">
        <f>'Производительность'!F10*L48/1000</f>
        <v/>
      </c>
      <c r="M49" s="49">
        <f>'Производительность'!F10*M48/1000</f>
        <v/>
      </c>
      <c r="N49" s="49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49" t="n"/>
      <c r="E50" s="49">
        <f>E48*'Данные по годам'!E19*'Параметры'!C10*(1+'Параметры'!C14)^(E$4-1)/1000</f>
        <v/>
      </c>
      <c r="F50" s="49">
        <f>F48*'Данные по годам'!F19*'Параметры'!C10*(1+'Параметры'!C14)^(F$4-1)/1000</f>
        <v/>
      </c>
      <c r="G50" s="49">
        <f>G48*'Данные по годам'!G19*'Параметры'!C10*(1+'Параметры'!C14)^(G$4-1)/1000</f>
        <v/>
      </c>
      <c r="H50" s="49">
        <f>H48*'Данные по годам'!H19*'Параметры'!C10*(1+'Параметры'!C14)^(H$4-1)/1000</f>
        <v/>
      </c>
      <c r="I50" s="49">
        <f>I48*'Данные по годам'!I19*'Параметры'!C10*(1+'Параметры'!C14)^(I$4-1)/1000</f>
        <v/>
      </c>
      <c r="J50" s="49">
        <f>J48*'Данные по годам'!J19*'Параметры'!C10*(1+'Параметры'!C14)^(J$4-1)/1000</f>
        <v/>
      </c>
      <c r="K50" s="49">
        <f>K48*'Данные по годам'!K19*'Параметры'!C10*(1+'Параметры'!C14)^(K$4-1)/1000</f>
        <v/>
      </c>
      <c r="L50" s="49">
        <f>L48*'Данные по годам'!L19*'Параметры'!C10*(1+'Параметры'!C14)^(L$4-1)/1000</f>
        <v/>
      </c>
      <c r="M50" s="49">
        <f>M48*'Данные по годам'!M19*'Параметры'!C10*(1+'Параметры'!C14)^(M$4-1)/1000</f>
        <v/>
      </c>
      <c r="N50" s="49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49" t="n"/>
      <c r="E51" s="49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49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49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49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49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49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49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49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49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49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49" t="n"/>
      <c r="E52" s="49">
        <f>'Данные по годам'!E20*E49*(1+'Параметры'!C15)^(E$4-1)</f>
        <v/>
      </c>
      <c r="F52" s="49">
        <f>'Данные по годам'!F20*F49*(1+'Параметры'!C15)^(F$4-1)</f>
        <v/>
      </c>
      <c r="G52" s="49">
        <f>'Данные по годам'!G20*G49*(1+'Параметры'!C15)^(G$4-1)</f>
        <v/>
      </c>
      <c r="H52" s="49">
        <f>'Данные по годам'!H20*H49*(1+'Параметры'!C15)^(H$4-1)</f>
        <v/>
      </c>
      <c r="I52" s="49">
        <f>'Данные по годам'!I20*I49*(1+'Параметры'!C15)^(I$4-1)</f>
        <v/>
      </c>
      <c r="J52" s="49">
        <f>'Данные по годам'!J20*J49*(1+'Параметры'!C15)^(J$4-1)</f>
        <v/>
      </c>
      <c r="K52" s="49">
        <f>'Данные по годам'!K20*K49*(1+'Параметры'!C15)^(K$4-1)</f>
        <v/>
      </c>
      <c r="L52" s="49">
        <f>'Данные по годам'!L20*L49*(1+'Параметры'!C15)^(L$4-1)</f>
        <v/>
      </c>
      <c r="M52" s="49">
        <f>'Данные по годам'!M20*M49*(1+'Параметры'!C15)^(M$4-1)</f>
        <v/>
      </c>
      <c r="N52" s="49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49" t="n"/>
      <c r="E53" s="49">
        <f>'Ввод данных'!F20*(1+'Параметры'!C16)^(E$4-1)</f>
        <v/>
      </c>
      <c r="F53" s="49">
        <f>'Ввод данных'!F20*(1+'Параметры'!C16)^(F$4-1)</f>
        <v/>
      </c>
      <c r="G53" s="49">
        <f>'Ввод данных'!F20*(1+'Параметры'!C16)^(G$4-1)</f>
        <v/>
      </c>
      <c r="H53" s="49">
        <f>'Ввод данных'!F20*(1+'Параметры'!C16)^(H$4-1)</f>
        <v/>
      </c>
      <c r="I53" s="49">
        <f>'Ввод данных'!F20*(1+'Параметры'!C16)^(I$4-1)</f>
        <v/>
      </c>
      <c r="J53" s="49">
        <f>'Ввод данных'!F20*(1+'Параметры'!C16)^(J$4-1)</f>
        <v/>
      </c>
      <c r="K53" s="49">
        <f>'Ввод данных'!F20*(1+'Параметры'!C16)^(K$4-1)</f>
        <v/>
      </c>
      <c r="L53" s="49">
        <f>'Ввод данных'!F20*(1+'Параметры'!C16)^(L$4-1)</f>
        <v/>
      </c>
      <c r="M53" s="49">
        <f>'Ввод данных'!F20*(1+'Параметры'!C16)^(M$4-1)</f>
        <v/>
      </c>
      <c r="N53" s="49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49" t="n"/>
      <c r="E54" s="58">
        <f>E50+E51+E52+E53</f>
        <v/>
      </c>
      <c r="F54" s="58">
        <f>F50+F51+F52+F53</f>
        <v/>
      </c>
      <c r="G54" s="58">
        <f>G50+G51+G52+G53</f>
        <v/>
      </c>
      <c r="H54" s="58">
        <f>H50+H51+H52+H53</f>
        <v/>
      </c>
      <c r="I54" s="58">
        <f>I50+I51+I52+I53</f>
        <v/>
      </c>
      <c r="J54" s="58">
        <f>J50+J51+J52+J53</f>
        <v/>
      </c>
      <c r="K54" s="58">
        <f>K50+K51+K52+K53</f>
        <v/>
      </c>
      <c r="L54" s="58">
        <f>L50+L51+L52+L53</f>
        <v/>
      </c>
      <c r="M54" s="58">
        <f>M50+M51+M52+M53</f>
        <v/>
      </c>
      <c r="N54" s="58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49" t="n"/>
      <c r="E55" s="49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49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49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49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49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49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49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49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49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49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49" t="n"/>
      <c r="E56" s="49">
        <f>E54+E55</f>
        <v/>
      </c>
      <c r="F56" s="49">
        <f>F54+F55</f>
        <v/>
      </c>
      <c r="G56" s="49">
        <f>G54+G55</f>
        <v/>
      </c>
      <c r="H56" s="49">
        <f>H54+H55</f>
        <v/>
      </c>
      <c r="I56" s="49">
        <f>I54+I55</f>
        <v/>
      </c>
      <c r="J56" s="49">
        <f>J54+J55</f>
        <v/>
      </c>
      <c r="K56" s="49">
        <f>K54+K55</f>
        <v/>
      </c>
      <c r="L56" s="49">
        <f>L54+L55</f>
        <v/>
      </c>
      <c r="M56" s="49">
        <f>M54+M55</f>
        <v/>
      </c>
      <c r="N56" s="49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49" t="n"/>
      <c r="E57" s="49">
        <f>-E56*'Параметры'!C7</f>
        <v/>
      </c>
      <c r="F57" s="49">
        <f>-F56*'Параметры'!C7</f>
        <v/>
      </c>
      <c r="G57" s="49">
        <f>-G56*'Параметры'!C7</f>
        <v/>
      </c>
      <c r="H57" s="49">
        <f>-H56*'Параметры'!C7</f>
        <v/>
      </c>
      <c r="I57" s="49">
        <f>-I56*'Параметры'!C7</f>
        <v/>
      </c>
      <c r="J57" s="49">
        <f>-J56*'Параметры'!C7</f>
        <v/>
      </c>
      <c r="K57" s="49">
        <f>-K56*'Параметры'!C7</f>
        <v/>
      </c>
      <c r="L57" s="49">
        <f>-L56*'Параметры'!C7</f>
        <v/>
      </c>
      <c r="M57" s="49">
        <f>-M56*'Параметры'!C7</f>
        <v/>
      </c>
      <c r="N57" s="49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49" t="n"/>
      <c r="E58" s="58">
        <f>E56+E57-E55</f>
        <v/>
      </c>
      <c r="F58" s="58">
        <f>F56+F57-F55</f>
        <v/>
      </c>
      <c r="G58" s="58">
        <f>G56+G57-G55</f>
        <v/>
      </c>
      <c r="H58" s="58">
        <f>H56+H57-H55</f>
        <v/>
      </c>
      <c r="I58" s="58">
        <f>I56+I57-I55</f>
        <v/>
      </c>
      <c r="J58" s="58">
        <f>J56+J57-J55</f>
        <v/>
      </c>
      <c r="K58" s="58">
        <f>K56+K57-K55</f>
        <v/>
      </c>
      <c r="L58" s="58">
        <f>L56+L57-L55</f>
        <v/>
      </c>
      <c r="M58" s="58">
        <f>M56+M57-M55</f>
        <v/>
      </c>
      <c r="N58" s="58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49">
        <f>IF(D$4=0,'Производительность'!F5,IF(D$4='Параметры'!C8,-'Ввод данных'!F14*'Производительность'!F5,0))</f>
        <v/>
      </c>
      <c r="E59" s="49">
        <f>IF(E$4=0,'Производительность'!F5,IF(E$4='Параметры'!C8,-'Ввод данных'!F14*'Производительность'!F5,0))</f>
        <v/>
      </c>
      <c r="F59" s="49">
        <f>IF(F$4=0,'Производительность'!F5,IF(F$4='Параметры'!C8,-'Ввод данных'!F14*'Производительность'!F5,0))</f>
        <v/>
      </c>
      <c r="G59" s="49">
        <f>IF(G$4=0,'Производительность'!F5,IF(G$4='Параметры'!C8,-'Ввод данных'!F14*'Производительность'!F5,0))</f>
        <v/>
      </c>
      <c r="H59" s="49">
        <f>IF(H$4=0,'Производительность'!F5,IF(H$4='Параметры'!C8,-'Ввод данных'!F14*'Производительность'!F5,0))</f>
        <v/>
      </c>
      <c r="I59" s="49">
        <f>IF(I$4=0,'Производительность'!F5,IF(I$4='Параметры'!C8,-'Ввод данных'!F14*'Производительность'!F5,0))</f>
        <v/>
      </c>
      <c r="J59" s="49">
        <f>IF(J$4=0,'Производительность'!F5,IF(J$4='Параметры'!C8,-'Ввод данных'!F14*'Производительность'!F5,0))</f>
        <v/>
      </c>
      <c r="K59" s="49">
        <f>IF(K$4=0,'Производительность'!F5,IF(K$4='Параметры'!C8,-'Ввод данных'!F14*'Производительность'!F5,0))</f>
        <v/>
      </c>
      <c r="L59" s="49">
        <f>IF(L$4=0,'Производительность'!F5,IF(L$4='Параметры'!C8,-'Ввод данных'!F14*'Производительность'!F5,0))</f>
        <v/>
      </c>
      <c r="M59" s="49">
        <f>IF(M$4=0,'Производительность'!F5,IF(M$4='Параметры'!C8,-'Ввод данных'!F14*'Производительность'!F5,0))</f>
        <v/>
      </c>
      <c r="N59" s="49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58">
        <f>0+D59</f>
        <v/>
      </c>
      <c r="E60" s="58">
        <f>E58+E59</f>
        <v/>
      </c>
      <c r="F60" s="58">
        <f>F58+F59</f>
        <v/>
      </c>
      <c r="G60" s="58">
        <f>G58+G59</f>
        <v/>
      </c>
      <c r="H60" s="58">
        <f>H58+H59</f>
        <v/>
      </c>
      <c r="I60" s="58">
        <f>I58+I59</f>
        <v/>
      </c>
      <c r="J60" s="58">
        <f>J58+J59</f>
        <v/>
      </c>
      <c r="K60" s="58">
        <f>K58+K59</f>
        <v/>
      </c>
      <c r="L60" s="58">
        <f>L58+L59</f>
        <v/>
      </c>
      <c r="M60" s="58">
        <f>M58+M59</f>
        <v/>
      </c>
      <c r="N60" s="58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49">
        <f>D60*D$6</f>
        <v/>
      </c>
      <c r="E61" s="49">
        <f>E60*E$6</f>
        <v/>
      </c>
      <c r="F61" s="49">
        <f>F60*F$6</f>
        <v/>
      </c>
      <c r="G61" s="49">
        <f>G60*G$6</f>
        <v/>
      </c>
      <c r="H61" s="49">
        <f>H60*H$6</f>
        <v/>
      </c>
      <c r="I61" s="49">
        <f>I60*I$6</f>
        <v/>
      </c>
      <c r="J61" s="49">
        <f>J60*J$6</f>
        <v/>
      </c>
      <c r="K61" s="49">
        <f>K60*K$6</f>
        <v/>
      </c>
      <c r="L61" s="49">
        <f>L60*L$6</f>
        <v/>
      </c>
      <c r="M61" s="49">
        <f>M60*M$6</f>
        <v/>
      </c>
      <c r="N61" s="49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49">
        <f>SUM($D61:D61)</f>
        <v/>
      </c>
      <c r="E62" s="49">
        <f>SUM($D61:E61)</f>
        <v/>
      </c>
      <c r="F62" s="49">
        <f>SUM($D61:F61)</f>
        <v/>
      </c>
      <c r="G62" s="49">
        <f>SUM($D61:G61)</f>
        <v/>
      </c>
      <c r="H62" s="49">
        <f>SUM($D61:H61)</f>
        <v/>
      </c>
      <c r="I62" s="49">
        <f>SUM($D61:I61)</f>
        <v/>
      </c>
      <c r="J62" s="49">
        <f>SUM($D61:J61)</f>
        <v/>
      </c>
      <c r="K62" s="49">
        <f>SUM($D61:K61)</f>
        <v/>
      </c>
      <c r="L62" s="49">
        <f>SUM($D61:L61)</f>
        <v/>
      </c>
      <c r="M62" s="49">
        <f>SUM($D61:M61)</f>
        <v/>
      </c>
      <c r="N62" s="49">
        <f>SUM($D61:N61)</f>
        <v/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59" t="n"/>
      <c r="E63" s="59">
        <f>SUM($D61:E61)/SUM($E$6:E$6)/(SUM($E49:E49)/E$4)</f>
        <v/>
      </c>
      <c r="F63" s="59">
        <f>SUM($D61:F61)/SUM($E$6:F$6)/(SUM($E49:F49)/F$4)</f>
        <v/>
      </c>
      <c r="G63" s="59">
        <f>SUM($D61:G61)/SUM($E$6:G$6)/(SUM($E49:G49)/G$4)</f>
        <v/>
      </c>
      <c r="H63" s="59">
        <f>SUM($D61:H61)/SUM($E$6:H$6)/(SUM($E49:H49)/H$4)</f>
        <v/>
      </c>
      <c r="I63" s="59">
        <f>SUM($D61:I61)/SUM($E$6:I$6)/(SUM($E49:I49)/I$4)</f>
        <v/>
      </c>
      <c r="J63" s="59">
        <f>SUM($D61:J61)/SUM($E$6:J$6)/(SUM($E49:J49)/J$4)</f>
        <v/>
      </c>
      <c r="K63" s="59">
        <f>SUM($D61:K61)/SUM($E$6:K$6)/(SUM($E49:K49)/K$4)</f>
        <v/>
      </c>
      <c r="L63" s="59">
        <f>SUM($D61:L61)/SUM($E$6:L$6)/(SUM($E49:L49)/L$4)</f>
        <v/>
      </c>
      <c r="M63" s="59">
        <f>SUM($D61:M61)/SUM($E$6:M$6)/(SUM($E49:M49)/M$4)</f>
        <v/>
      </c>
      <c r="N63" s="59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2" t="n"/>
      <c r="E66" s="52">
        <f>'Данные по годам'!E22</f>
        <v/>
      </c>
      <c r="F66" s="52">
        <f>'Данные по годам'!F22</f>
        <v/>
      </c>
      <c r="G66" s="52">
        <f>'Данные по годам'!G22</f>
        <v/>
      </c>
      <c r="H66" s="52">
        <f>'Данные по годам'!H22</f>
        <v/>
      </c>
      <c r="I66" s="52">
        <f>'Данные по годам'!I22</f>
        <v/>
      </c>
      <c r="J66" s="52">
        <f>'Данные по годам'!J22</f>
        <v/>
      </c>
      <c r="K66" s="52">
        <f>'Данные по годам'!K22</f>
        <v/>
      </c>
      <c r="L66" s="52">
        <f>'Данные по годам'!L22</f>
        <v/>
      </c>
      <c r="M66" s="52">
        <f>'Данные по годам'!M22</f>
        <v/>
      </c>
      <c r="N66" s="52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49" t="n"/>
      <c r="E67" s="49">
        <f>'Параметры'!C26*E66*(1-'Ввод данных'!G18/(60*'Параметры'!C33))</f>
        <v/>
      </c>
      <c r="F67" s="49">
        <f>'Параметры'!C26*F66*(1-'Ввод данных'!G18/(60*'Параметры'!C33))</f>
        <v/>
      </c>
      <c r="G67" s="49">
        <f>'Параметры'!C26*G66*(1-'Ввод данных'!G18/(60*'Параметры'!C33))</f>
        <v/>
      </c>
      <c r="H67" s="49">
        <f>'Параметры'!C26*H66*(1-'Ввод данных'!G18/(60*'Параметры'!C33))</f>
        <v/>
      </c>
      <c r="I67" s="49">
        <f>'Параметры'!C26*I66*(1-'Ввод данных'!G18/(60*'Параметры'!C33))</f>
        <v/>
      </c>
      <c r="J67" s="49">
        <f>'Параметры'!C26*J66*(1-'Ввод данных'!G18/(60*'Параметры'!C33))</f>
        <v/>
      </c>
      <c r="K67" s="49">
        <f>'Параметры'!C26*K66*(1-'Ввод данных'!G18/(60*'Параметры'!C33))</f>
        <v/>
      </c>
      <c r="L67" s="49">
        <f>'Параметры'!C26*L66*(1-'Ввод данных'!G18/(60*'Параметры'!C33))</f>
        <v/>
      </c>
      <c r="M67" s="49">
        <f>'Параметры'!C26*M66*(1-'Ввод данных'!G18/(60*'Параметры'!C33))</f>
        <v/>
      </c>
      <c r="N67" s="49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49" t="n"/>
      <c r="E68" s="49">
        <f>'Производительность'!G10*E67/1000</f>
        <v/>
      </c>
      <c r="F68" s="49">
        <f>'Производительность'!G10*F67/1000</f>
        <v/>
      </c>
      <c r="G68" s="49">
        <f>'Производительность'!G10*G67/1000</f>
        <v/>
      </c>
      <c r="H68" s="49">
        <f>'Производительность'!G10*H67/1000</f>
        <v/>
      </c>
      <c r="I68" s="49">
        <f>'Производительность'!G10*I67/1000</f>
        <v/>
      </c>
      <c r="J68" s="49">
        <f>'Производительность'!G10*J67/1000</f>
        <v/>
      </c>
      <c r="K68" s="49">
        <f>'Производительность'!G10*K67/1000</f>
        <v/>
      </c>
      <c r="L68" s="49">
        <f>'Производительность'!G10*L67/1000</f>
        <v/>
      </c>
      <c r="M68" s="49">
        <f>'Производительность'!G10*M67/1000</f>
        <v/>
      </c>
      <c r="N68" s="49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49" t="n"/>
      <c r="E69" s="49">
        <f>E67*'Данные по годам'!E24*'Параметры'!C10*(1+'Параметры'!C14)^(E$4-1)/1000</f>
        <v/>
      </c>
      <c r="F69" s="49">
        <f>F67*'Данные по годам'!F24*'Параметры'!C10*(1+'Параметры'!C14)^(F$4-1)/1000</f>
        <v/>
      </c>
      <c r="G69" s="49">
        <f>G67*'Данные по годам'!G24*'Параметры'!C10*(1+'Параметры'!C14)^(G$4-1)/1000</f>
        <v/>
      </c>
      <c r="H69" s="49">
        <f>H67*'Данные по годам'!H24*'Параметры'!C10*(1+'Параметры'!C14)^(H$4-1)/1000</f>
        <v/>
      </c>
      <c r="I69" s="49">
        <f>I67*'Данные по годам'!I24*'Параметры'!C10*(1+'Параметры'!C14)^(I$4-1)/1000</f>
        <v/>
      </c>
      <c r="J69" s="49">
        <f>J67*'Данные по годам'!J24*'Параметры'!C10*(1+'Параметры'!C14)^(J$4-1)/1000</f>
        <v/>
      </c>
      <c r="K69" s="49">
        <f>K67*'Данные по годам'!K24*'Параметры'!C10*(1+'Параметры'!C14)^(K$4-1)/1000</f>
        <v/>
      </c>
      <c r="L69" s="49">
        <f>L67*'Данные по годам'!L24*'Параметры'!C10*(1+'Параметры'!C14)^(L$4-1)/1000</f>
        <v/>
      </c>
      <c r="M69" s="49">
        <f>M67*'Данные по годам'!M24*'Параметры'!C10*(1+'Параметры'!C14)^(M$4-1)/1000</f>
        <v/>
      </c>
      <c r="N69" s="49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49" t="n"/>
      <c r="E70" s="49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49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49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49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49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49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49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49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49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49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49" t="n"/>
      <c r="E71" s="49">
        <f>'Данные по годам'!E25*E68*(1+'Параметры'!C15)^(E$4-1)</f>
        <v/>
      </c>
      <c r="F71" s="49">
        <f>'Данные по годам'!F25*F68*(1+'Параметры'!C15)^(F$4-1)</f>
        <v/>
      </c>
      <c r="G71" s="49">
        <f>'Данные по годам'!G25*G68*(1+'Параметры'!C15)^(G$4-1)</f>
        <v/>
      </c>
      <c r="H71" s="49">
        <f>'Данные по годам'!H25*H68*(1+'Параметры'!C15)^(H$4-1)</f>
        <v/>
      </c>
      <c r="I71" s="49">
        <f>'Данные по годам'!I25*I68*(1+'Параметры'!C15)^(I$4-1)</f>
        <v/>
      </c>
      <c r="J71" s="49">
        <f>'Данные по годам'!J25*J68*(1+'Параметры'!C15)^(J$4-1)</f>
        <v/>
      </c>
      <c r="K71" s="49">
        <f>'Данные по годам'!K25*K68*(1+'Параметры'!C15)^(K$4-1)</f>
        <v/>
      </c>
      <c r="L71" s="49">
        <f>'Данные по годам'!L25*L68*(1+'Параметры'!C15)^(L$4-1)</f>
        <v/>
      </c>
      <c r="M71" s="49">
        <f>'Данные по годам'!M25*M68*(1+'Параметры'!C15)^(M$4-1)</f>
        <v/>
      </c>
      <c r="N71" s="49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49" t="n"/>
      <c r="E72" s="49">
        <f>'Ввод данных'!G20*(1+'Параметры'!C16)^(E$4-1)</f>
        <v/>
      </c>
      <c r="F72" s="49">
        <f>'Ввод данных'!G20*(1+'Параметры'!C16)^(F$4-1)</f>
        <v/>
      </c>
      <c r="G72" s="49">
        <f>'Ввод данных'!G20*(1+'Параметры'!C16)^(G$4-1)</f>
        <v/>
      </c>
      <c r="H72" s="49">
        <f>'Ввод данных'!G20*(1+'Параметры'!C16)^(H$4-1)</f>
        <v/>
      </c>
      <c r="I72" s="49">
        <f>'Ввод данных'!G20*(1+'Параметры'!C16)^(I$4-1)</f>
        <v/>
      </c>
      <c r="J72" s="49">
        <f>'Ввод данных'!G20*(1+'Параметры'!C16)^(J$4-1)</f>
        <v/>
      </c>
      <c r="K72" s="49">
        <f>'Ввод данных'!G20*(1+'Параметры'!C16)^(K$4-1)</f>
        <v/>
      </c>
      <c r="L72" s="49">
        <f>'Ввод данных'!G20*(1+'Параметры'!C16)^(L$4-1)</f>
        <v/>
      </c>
      <c r="M72" s="49">
        <f>'Ввод данных'!G20*(1+'Параметры'!C16)^(M$4-1)</f>
        <v/>
      </c>
      <c r="N72" s="49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49" t="n"/>
      <c r="E73" s="58">
        <f>E69+E70+E71+E72</f>
        <v/>
      </c>
      <c r="F73" s="58">
        <f>F69+F70+F71+F72</f>
        <v/>
      </c>
      <c r="G73" s="58">
        <f>G69+G70+G71+G72</f>
        <v/>
      </c>
      <c r="H73" s="58">
        <f>H69+H70+H71+H72</f>
        <v/>
      </c>
      <c r="I73" s="58">
        <f>I69+I70+I71+I72</f>
        <v/>
      </c>
      <c r="J73" s="58">
        <f>J69+J70+J71+J72</f>
        <v/>
      </c>
      <c r="K73" s="58">
        <f>K69+K70+K71+K72</f>
        <v/>
      </c>
      <c r="L73" s="58">
        <f>L69+L70+L71+L72</f>
        <v/>
      </c>
      <c r="M73" s="58">
        <f>M69+M70+M71+M72</f>
        <v/>
      </c>
      <c r="N73" s="58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49" t="n"/>
      <c r="E74" s="49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49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49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49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49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49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49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49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49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49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49" t="n"/>
      <c r="E75" s="49">
        <f>E73+E74</f>
        <v/>
      </c>
      <c r="F75" s="49">
        <f>F73+F74</f>
        <v/>
      </c>
      <c r="G75" s="49">
        <f>G73+G74</f>
        <v/>
      </c>
      <c r="H75" s="49">
        <f>H73+H74</f>
        <v/>
      </c>
      <c r="I75" s="49">
        <f>I73+I74</f>
        <v/>
      </c>
      <c r="J75" s="49">
        <f>J73+J74</f>
        <v/>
      </c>
      <c r="K75" s="49">
        <f>K73+K74</f>
        <v/>
      </c>
      <c r="L75" s="49">
        <f>L73+L74</f>
        <v/>
      </c>
      <c r="M75" s="49">
        <f>M73+M74</f>
        <v/>
      </c>
      <c r="N75" s="49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49" t="n"/>
      <c r="E76" s="49">
        <f>-E75*'Параметры'!C7</f>
        <v/>
      </c>
      <c r="F76" s="49">
        <f>-F75*'Параметры'!C7</f>
        <v/>
      </c>
      <c r="G76" s="49">
        <f>-G75*'Параметры'!C7</f>
        <v/>
      </c>
      <c r="H76" s="49">
        <f>-H75*'Параметры'!C7</f>
        <v/>
      </c>
      <c r="I76" s="49">
        <f>-I75*'Параметры'!C7</f>
        <v/>
      </c>
      <c r="J76" s="49">
        <f>-J75*'Параметры'!C7</f>
        <v/>
      </c>
      <c r="K76" s="49">
        <f>-K75*'Параметры'!C7</f>
        <v/>
      </c>
      <c r="L76" s="49">
        <f>-L75*'Параметры'!C7</f>
        <v/>
      </c>
      <c r="M76" s="49">
        <f>-M75*'Параметры'!C7</f>
        <v/>
      </c>
      <c r="N76" s="49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49" t="n"/>
      <c r="E77" s="58">
        <f>E75+E76-E74</f>
        <v/>
      </c>
      <c r="F77" s="58">
        <f>F75+F76-F74</f>
        <v/>
      </c>
      <c r="G77" s="58">
        <f>G75+G76-G74</f>
        <v/>
      </c>
      <c r="H77" s="58">
        <f>H75+H76-H74</f>
        <v/>
      </c>
      <c r="I77" s="58">
        <f>I75+I76-I74</f>
        <v/>
      </c>
      <c r="J77" s="58">
        <f>J75+J76-J74</f>
        <v/>
      </c>
      <c r="K77" s="58">
        <f>K75+K76-K74</f>
        <v/>
      </c>
      <c r="L77" s="58">
        <f>L75+L76-L74</f>
        <v/>
      </c>
      <c r="M77" s="58">
        <f>M75+M76-M74</f>
        <v/>
      </c>
      <c r="N77" s="58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49">
        <f>IF(D$4=0,'Производительность'!G5,IF(D$4='Параметры'!C8,-'Ввод данных'!G14*'Производительность'!G5,0))</f>
        <v/>
      </c>
      <c r="E78" s="49">
        <f>IF(E$4=0,'Производительность'!G5,IF(E$4='Параметры'!C8,-'Ввод данных'!G14*'Производительность'!G5,0))</f>
        <v/>
      </c>
      <c r="F78" s="49">
        <f>IF(F$4=0,'Производительность'!G5,IF(F$4='Параметры'!C8,-'Ввод данных'!G14*'Производительность'!G5,0))</f>
        <v/>
      </c>
      <c r="G78" s="49">
        <f>IF(G$4=0,'Производительность'!G5,IF(G$4='Параметры'!C8,-'Ввод данных'!G14*'Производительность'!G5,0))</f>
        <v/>
      </c>
      <c r="H78" s="49">
        <f>IF(H$4=0,'Производительность'!G5,IF(H$4='Параметры'!C8,-'Ввод данных'!G14*'Производительность'!G5,0))</f>
        <v/>
      </c>
      <c r="I78" s="49">
        <f>IF(I$4=0,'Производительность'!G5,IF(I$4='Параметры'!C8,-'Ввод данных'!G14*'Производительность'!G5,0))</f>
        <v/>
      </c>
      <c r="J78" s="49">
        <f>IF(J$4=0,'Производительность'!G5,IF(J$4='Параметры'!C8,-'Ввод данных'!G14*'Производительность'!G5,0))</f>
        <v/>
      </c>
      <c r="K78" s="49">
        <f>IF(K$4=0,'Производительность'!G5,IF(K$4='Параметры'!C8,-'Ввод данных'!G14*'Производительность'!G5,0))</f>
        <v/>
      </c>
      <c r="L78" s="49">
        <f>IF(L$4=0,'Производительность'!G5,IF(L$4='Параметры'!C8,-'Ввод данных'!G14*'Производительность'!G5,0))</f>
        <v/>
      </c>
      <c r="M78" s="49">
        <f>IF(M$4=0,'Производительность'!G5,IF(M$4='Параметры'!C8,-'Ввод данных'!G14*'Производительность'!G5,0))</f>
        <v/>
      </c>
      <c r="N78" s="49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58">
        <f>0+D78</f>
        <v/>
      </c>
      <c r="E79" s="58">
        <f>E77+E78</f>
        <v/>
      </c>
      <c r="F79" s="58">
        <f>F77+F78</f>
        <v/>
      </c>
      <c r="G79" s="58">
        <f>G77+G78</f>
        <v/>
      </c>
      <c r="H79" s="58">
        <f>H77+H78</f>
        <v/>
      </c>
      <c r="I79" s="58">
        <f>I77+I78</f>
        <v/>
      </c>
      <c r="J79" s="58">
        <f>J77+J78</f>
        <v/>
      </c>
      <c r="K79" s="58">
        <f>K77+K78</f>
        <v/>
      </c>
      <c r="L79" s="58">
        <f>L77+L78</f>
        <v/>
      </c>
      <c r="M79" s="58">
        <f>M77+M78</f>
        <v/>
      </c>
      <c r="N79" s="58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49">
        <f>D79*D$6</f>
        <v/>
      </c>
      <c r="E80" s="49">
        <f>E79*E$6</f>
        <v/>
      </c>
      <c r="F80" s="49">
        <f>F79*F$6</f>
        <v/>
      </c>
      <c r="G80" s="49">
        <f>G79*G$6</f>
        <v/>
      </c>
      <c r="H80" s="49">
        <f>H79*H$6</f>
        <v/>
      </c>
      <c r="I80" s="49">
        <f>I79*I$6</f>
        <v/>
      </c>
      <c r="J80" s="49">
        <f>J79*J$6</f>
        <v/>
      </c>
      <c r="K80" s="49">
        <f>K79*K$6</f>
        <v/>
      </c>
      <c r="L80" s="49">
        <f>L79*L$6</f>
        <v/>
      </c>
      <c r="M80" s="49">
        <f>M79*M$6</f>
        <v/>
      </c>
      <c r="N80" s="49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49">
        <f>SUM($D80:D80)</f>
        <v/>
      </c>
      <c r="E81" s="49">
        <f>SUM($D80:E80)</f>
        <v/>
      </c>
      <c r="F81" s="49">
        <f>SUM($D80:F80)</f>
        <v/>
      </c>
      <c r="G81" s="49">
        <f>SUM($D80:G80)</f>
        <v/>
      </c>
      <c r="H81" s="49">
        <f>SUM($D80:H80)</f>
        <v/>
      </c>
      <c r="I81" s="49">
        <f>SUM($D80:I80)</f>
        <v/>
      </c>
      <c r="J81" s="49">
        <f>SUM($D80:J80)</f>
        <v/>
      </c>
      <c r="K81" s="49">
        <f>SUM($D80:K80)</f>
        <v/>
      </c>
      <c r="L81" s="49">
        <f>SUM($D80:L80)</f>
        <v/>
      </c>
      <c r="M81" s="49">
        <f>SUM($D80:M80)</f>
        <v/>
      </c>
      <c r="N81" s="49">
        <f>SUM($D80:N80)</f>
        <v/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59" t="n"/>
      <c r="E82" s="59">
        <f>SUM($D80:E80)/SUM($E$6:E$6)/(SUM($E68:E68)/E$4)</f>
        <v/>
      </c>
      <c r="F82" s="59">
        <f>SUM($D80:F80)/SUM($E$6:F$6)/(SUM($E68:F68)/F$4)</f>
        <v/>
      </c>
      <c r="G82" s="59">
        <f>SUM($D80:G80)/SUM($E$6:G$6)/(SUM($E68:G68)/G$4)</f>
        <v/>
      </c>
      <c r="H82" s="59">
        <f>SUM($D80:H80)/SUM($E$6:H$6)/(SUM($E68:H68)/H$4)</f>
        <v/>
      </c>
      <c r="I82" s="59">
        <f>SUM($D80:I80)/SUM($E$6:I$6)/(SUM($E68:I68)/I$4)</f>
        <v/>
      </c>
      <c r="J82" s="59">
        <f>SUM($D80:J80)/SUM($E$6:J$6)/(SUM($E68:J68)/J$4)</f>
        <v/>
      </c>
      <c r="K82" s="59">
        <f>SUM($D80:K80)/SUM($E$6:K$6)/(SUM($E68:K68)/K$4)</f>
        <v/>
      </c>
      <c r="L82" s="59">
        <f>SUM($D80:L80)/SUM($E$6:L$6)/(SUM($E68:L68)/L$4)</f>
        <v/>
      </c>
      <c r="M82" s="59">
        <f>SUM($D80:M80)/SUM($E$6:M$6)/(SUM($E68:M68)/M$4)</f>
        <v/>
      </c>
      <c r="N82" s="59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2" t="n"/>
      <c r="E85" s="52">
        <f>'Данные по годам'!E27</f>
        <v/>
      </c>
      <c r="F85" s="52">
        <f>'Данные по годам'!F27</f>
        <v/>
      </c>
      <c r="G85" s="52">
        <f>'Данные по годам'!G27</f>
        <v/>
      </c>
      <c r="H85" s="52">
        <f>'Данные по годам'!H27</f>
        <v/>
      </c>
      <c r="I85" s="52">
        <f>'Данные по годам'!I27</f>
        <v/>
      </c>
      <c r="J85" s="52">
        <f>'Данные по годам'!J27</f>
        <v/>
      </c>
      <c r="K85" s="52">
        <f>'Данные по годам'!K27</f>
        <v/>
      </c>
      <c r="L85" s="52">
        <f>'Данные по годам'!L27</f>
        <v/>
      </c>
      <c r="M85" s="52">
        <f>'Данные по годам'!M27</f>
        <v/>
      </c>
      <c r="N85" s="52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49" t="n"/>
      <c r="E86" s="49">
        <f>'Параметры'!C26*E85*(1-'Ввод данных'!H18/(60*'Параметры'!C33))</f>
        <v/>
      </c>
      <c r="F86" s="49">
        <f>'Параметры'!C26*F85*(1-'Ввод данных'!H18/(60*'Параметры'!C33))</f>
        <v/>
      </c>
      <c r="G86" s="49">
        <f>'Параметры'!C26*G85*(1-'Ввод данных'!H18/(60*'Параметры'!C33))</f>
        <v/>
      </c>
      <c r="H86" s="49">
        <f>'Параметры'!C26*H85*(1-'Ввод данных'!H18/(60*'Параметры'!C33))</f>
        <v/>
      </c>
      <c r="I86" s="49">
        <f>'Параметры'!C26*I85*(1-'Ввод данных'!H18/(60*'Параметры'!C33))</f>
        <v/>
      </c>
      <c r="J86" s="49">
        <f>'Параметры'!C26*J85*(1-'Ввод данных'!H18/(60*'Параметры'!C33))</f>
        <v/>
      </c>
      <c r="K86" s="49">
        <f>'Параметры'!C26*K85*(1-'Ввод данных'!H18/(60*'Параметры'!C33))</f>
        <v/>
      </c>
      <c r="L86" s="49">
        <f>'Параметры'!C26*L85*(1-'Ввод данных'!H18/(60*'Параметры'!C33))</f>
        <v/>
      </c>
      <c r="M86" s="49">
        <f>'Параметры'!C26*M85*(1-'Ввод данных'!H18/(60*'Параметры'!C33))</f>
        <v/>
      </c>
      <c r="N86" s="49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49" t="n"/>
      <c r="E87" s="49">
        <f>'Производительность'!H10*E86/1000</f>
        <v/>
      </c>
      <c r="F87" s="49">
        <f>'Производительность'!H10*F86/1000</f>
        <v/>
      </c>
      <c r="G87" s="49">
        <f>'Производительность'!H10*G86/1000</f>
        <v/>
      </c>
      <c r="H87" s="49">
        <f>'Производительность'!H10*H86/1000</f>
        <v/>
      </c>
      <c r="I87" s="49">
        <f>'Производительность'!H10*I86/1000</f>
        <v/>
      </c>
      <c r="J87" s="49">
        <f>'Производительность'!H10*J86/1000</f>
        <v/>
      </c>
      <c r="K87" s="49">
        <f>'Производительность'!H10*K86/1000</f>
        <v/>
      </c>
      <c r="L87" s="49">
        <f>'Производительность'!H10*L86/1000</f>
        <v/>
      </c>
      <c r="M87" s="49">
        <f>'Производительность'!H10*M86/1000</f>
        <v/>
      </c>
      <c r="N87" s="49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49" t="n"/>
      <c r="E88" s="49">
        <f>E86*'Данные по годам'!E29*'Параметры'!C10*(1+'Параметры'!C14)^(E$4-1)/1000</f>
        <v/>
      </c>
      <c r="F88" s="49">
        <f>F86*'Данные по годам'!F29*'Параметры'!C10*(1+'Параметры'!C14)^(F$4-1)/1000</f>
        <v/>
      </c>
      <c r="G88" s="49">
        <f>G86*'Данные по годам'!G29*'Параметры'!C10*(1+'Параметры'!C14)^(G$4-1)/1000</f>
        <v/>
      </c>
      <c r="H88" s="49">
        <f>H86*'Данные по годам'!H29*'Параметры'!C10*(1+'Параметры'!C14)^(H$4-1)/1000</f>
        <v/>
      </c>
      <c r="I88" s="49">
        <f>I86*'Данные по годам'!I29*'Параметры'!C10*(1+'Параметры'!C14)^(I$4-1)/1000</f>
        <v/>
      </c>
      <c r="J88" s="49">
        <f>J86*'Данные по годам'!J29*'Параметры'!C10*(1+'Параметры'!C14)^(J$4-1)/1000</f>
        <v/>
      </c>
      <c r="K88" s="49">
        <f>K86*'Данные по годам'!K29*'Параметры'!C10*(1+'Параметры'!C14)^(K$4-1)/1000</f>
        <v/>
      </c>
      <c r="L88" s="49">
        <f>L86*'Данные по годам'!L29*'Параметры'!C10*(1+'Параметры'!C14)^(L$4-1)/1000</f>
        <v/>
      </c>
      <c r="M88" s="49">
        <f>M86*'Данные по годам'!M29*'Параметры'!C10*(1+'Параметры'!C14)^(M$4-1)/1000</f>
        <v/>
      </c>
      <c r="N88" s="49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49" t="n"/>
      <c r="E89" s="49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49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49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49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49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49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49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49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49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49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49" t="n"/>
      <c r="E90" s="49">
        <f>'Данные по годам'!E30*E87*(1+'Параметры'!C15)^(E$4-1)</f>
        <v/>
      </c>
      <c r="F90" s="49">
        <f>'Данные по годам'!F30*F87*(1+'Параметры'!C15)^(F$4-1)</f>
        <v/>
      </c>
      <c r="G90" s="49">
        <f>'Данные по годам'!G30*G87*(1+'Параметры'!C15)^(G$4-1)</f>
        <v/>
      </c>
      <c r="H90" s="49">
        <f>'Данные по годам'!H30*H87*(1+'Параметры'!C15)^(H$4-1)</f>
        <v/>
      </c>
      <c r="I90" s="49">
        <f>'Данные по годам'!I30*I87*(1+'Параметры'!C15)^(I$4-1)</f>
        <v/>
      </c>
      <c r="J90" s="49">
        <f>'Данные по годам'!J30*J87*(1+'Параметры'!C15)^(J$4-1)</f>
        <v/>
      </c>
      <c r="K90" s="49">
        <f>'Данные по годам'!K30*K87*(1+'Параметры'!C15)^(K$4-1)</f>
        <v/>
      </c>
      <c r="L90" s="49">
        <f>'Данные по годам'!L30*L87*(1+'Параметры'!C15)^(L$4-1)</f>
        <v/>
      </c>
      <c r="M90" s="49">
        <f>'Данные по годам'!M30*M87*(1+'Параметры'!C15)^(M$4-1)</f>
        <v/>
      </c>
      <c r="N90" s="49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49" t="n"/>
      <c r="E91" s="49">
        <f>'Ввод данных'!H20*(1+'Параметры'!C16)^(E$4-1)</f>
        <v/>
      </c>
      <c r="F91" s="49">
        <f>'Ввод данных'!H20*(1+'Параметры'!C16)^(F$4-1)</f>
        <v/>
      </c>
      <c r="G91" s="49">
        <f>'Ввод данных'!H20*(1+'Параметры'!C16)^(G$4-1)</f>
        <v/>
      </c>
      <c r="H91" s="49">
        <f>'Ввод данных'!H20*(1+'Параметры'!C16)^(H$4-1)</f>
        <v/>
      </c>
      <c r="I91" s="49">
        <f>'Ввод данных'!H20*(1+'Параметры'!C16)^(I$4-1)</f>
        <v/>
      </c>
      <c r="J91" s="49">
        <f>'Ввод данных'!H20*(1+'Параметры'!C16)^(J$4-1)</f>
        <v/>
      </c>
      <c r="K91" s="49">
        <f>'Ввод данных'!H20*(1+'Параметры'!C16)^(K$4-1)</f>
        <v/>
      </c>
      <c r="L91" s="49">
        <f>'Ввод данных'!H20*(1+'Параметры'!C16)^(L$4-1)</f>
        <v/>
      </c>
      <c r="M91" s="49">
        <f>'Ввод данных'!H20*(1+'Параметры'!C16)^(M$4-1)</f>
        <v/>
      </c>
      <c r="N91" s="49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49" t="n"/>
      <c r="E92" s="58">
        <f>E88+E89+E90+E91</f>
        <v/>
      </c>
      <c r="F92" s="58">
        <f>F88+F89+F90+F91</f>
        <v/>
      </c>
      <c r="G92" s="58">
        <f>G88+G89+G90+G91</f>
        <v/>
      </c>
      <c r="H92" s="58">
        <f>H88+H89+H90+H91</f>
        <v/>
      </c>
      <c r="I92" s="58">
        <f>I88+I89+I90+I91</f>
        <v/>
      </c>
      <c r="J92" s="58">
        <f>J88+J89+J90+J91</f>
        <v/>
      </c>
      <c r="K92" s="58">
        <f>K88+K89+K90+K91</f>
        <v/>
      </c>
      <c r="L92" s="58">
        <f>L88+L89+L90+L91</f>
        <v/>
      </c>
      <c r="M92" s="58">
        <f>M88+M89+M90+M91</f>
        <v/>
      </c>
      <c r="N92" s="58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49" t="n"/>
      <c r="E93" s="49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49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49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49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49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49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49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49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49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49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49" t="n"/>
      <c r="E94" s="49">
        <f>E92+E93</f>
        <v/>
      </c>
      <c r="F94" s="49">
        <f>F92+F93</f>
        <v/>
      </c>
      <c r="G94" s="49">
        <f>G92+G93</f>
        <v/>
      </c>
      <c r="H94" s="49">
        <f>H92+H93</f>
        <v/>
      </c>
      <c r="I94" s="49">
        <f>I92+I93</f>
        <v/>
      </c>
      <c r="J94" s="49">
        <f>J92+J93</f>
        <v/>
      </c>
      <c r="K94" s="49">
        <f>K92+K93</f>
        <v/>
      </c>
      <c r="L94" s="49">
        <f>L92+L93</f>
        <v/>
      </c>
      <c r="M94" s="49">
        <f>M92+M93</f>
        <v/>
      </c>
      <c r="N94" s="49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49" t="n"/>
      <c r="E95" s="49">
        <f>-E94*'Параметры'!C7</f>
        <v/>
      </c>
      <c r="F95" s="49">
        <f>-F94*'Параметры'!C7</f>
        <v/>
      </c>
      <c r="G95" s="49">
        <f>-G94*'Параметры'!C7</f>
        <v/>
      </c>
      <c r="H95" s="49">
        <f>-H94*'Параметры'!C7</f>
        <v/>
      </c>
      <c r="I95" s="49">
        <f>-I94*'Параметры'!C7</f>
        <v/>
      </c>
      <c r="J95" s="49">
        <f>-J94*'Параметры'!C7</f>
        <v/>
      </c>
      <c r="K95" s="49">
        <f>-K94*'Параметры'!C7</f>
        <v/>
      </c>
      <c r="L95" s="49">
        <f>-L94*'Параметры'!C7</f>
        <v/>
      </c>
      <c r="M95" s="49">
        <f>-M94*'Параметры'!C7</f>
        <v/>
      </c>
      <c r="N95" s="49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49" t="n"/>
      <c r="E96" s="58">
        <f>E94+E95-E93</f>
        <v/>
      </c>
      <c r="F96" s="58">
        <f>F94+F95-F93</f>
        <v/>
      </c>
      <c r="G96" s="58">
        <f>G94+G95-G93</f>
        <v/>
      </c>
      <c r="H96" s="58">
        <f>H94+H95-H93</f>
        <v/>
      </c>
      <c r="I96" s="58">
        <f>I94+I95-I93</f>
        <v/>
      </c>
      <c r="J96" s="58">
        <f>J94+J95-J93</f>
        <v/>
      </c>
      <c r="K96" s="58">
        <f>K94+K95-K93</f>
        <v/>
      </c>
      <c r="L96" s="58">
        <f>L94+L95-L93</f>
        <v/>
      </c>
      <c r="M96" s="58">
        <f>M94+M95-M93</f>
        <v/>
      </c>
      <c r="N96" s="58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49">
        <f>IF(D$4=0,'Производительность'!H5,IF(D$4='Параметры'!C8,-'Ввод данных'!H14*'Производительность'!H5,0))</f>
        <v/>
      </c>
      <c r="E97" s="49">
        <f>IF(E$4=0,'Производительность'!H5,IF(E$4='Параметры'!C8,-'Ввод данных'!H14*'Производительность'!H5,0))</f>
        <v/>
      </c>
      <c r="F97" s="49">
        <f>IF(F$4=0,'Производительность'!H5,IF(F$4='Параметры'!C8,-'Ввод данных'!H14*'Производительность'!H5,0))</f>
        <v/>
      </c>
      <c r="G97" s="49">
        <f>IF(G$4=0,'Производительность'!H5,IF(G$4='Параметры'!C8,-'Ввод данных'!H14*'Производительность'!H5,0))</f>
        <v/>
      </c>
      <c r="H97" s="49">
        <f>IF(H$4=0,'Производительность'!H5,IF(H$4='Параметры'!C8,-'Ввод данных'!H14*'Производительность'!H5,0))</f>
        <v/>
      </c>
      <c r="I97" s="49">
        <f>IF(I$4=0,'Производительность'!H5,IF(I$4='Параметры'!C8,-'Ввод данных'!H14*'Производительность'!H5,0))</f>
        <v/>
      </c>
      <c r="J97" s="49">
        <f>IF(J$4=0,'Производительность'!H5,IF(J$4='Параметры'!C8,-'Ввод данных'!H14*'Производительность'!H5,0))</f>
        <v/>
      </c>
      <c r="K97" s="49">
        <f>IF(K$4=0,'Производительность'!H5,IF(K$4='Параметры'!C8,-'Ввод данных'!H14*'Производительность'!H5,0))</f>
        <v/>
      </c>
      <c r="L97" s="49">
        <f>IF(L$4=0,'Производительность'!H5,IF(L$4='Параметры'!C8,-'Ввод данных'!H14*'Производительность'!H5,0))</f>
        <v/>
      </c>
      <c r="M97" s="49">
        <f>IF(M$4=0,'Производительность'!H5,IF(M$4='Параметры'!C8,-'Ввод данных'!H14*'Производительность'!H5,0))</f>
        <v/>
      </c>
      <c r="N97" s="49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58">
        <f>0+D97</f>
        <v/>
      </c>
      <c r="E98" s="58">
        <f>E96+E97</f>
        <v/>
      </c>
      <c r="F98" s="58">
        <f>F96+F97</f>
        <v/>
      </c>
      <c r="G98" s="58">
        <f>G96+G97</f>
        <v/>
      </c>
      <c r="H98" s="58">
        <f>H96+H97</f>
        <v/>
      </c>
      <c r="I98" s="58">
        <f>I96+I97</f>
        <v/>
      </c>
      <c r="J98" s="58">
        <f>J96+J97</f>
        <v/>
      </c>
      <c r="K98" s="58">
        <f>K96+K97</f>
        <v/>
      </c>
      <c r="L98" s="58">
        <f>L96+L97</f>
        <v/>
      </c>
      <c r="M98" s="58">
        <f>M96+M97</f>
        <v/>
      </c>
      <c r="N98" s="58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49">
        <f>D98*D$6</f>
        <v/>
      </c>
      <c r="E99" s="49">
        <f>E98*E$6</f>
        <v/>
      </c>
      <c r="F99" s="49">
        <f>F98*F$6</f>
        <v/>
      </c>
      <c r="G99" s="49">
        <f>G98*G$6</f>
        <v/>
      </c>
      <c r="H99" s="49">
        <f>H98*H$6</f>
        <v/>
      </c>
      <c r="I99" s="49">
        <f>I98*I$6</f>
        <v/>
      </c>
      <c r="J99" s="49">
        <f>J98*J$6</f>
        <v/>
      </c>
      <c r="K99" s="49">
        <f>K98*K$6</f>
        <v/>
      </c>
      <c r="L99" s="49">
        <f>L98*L$6</f>
        <v/>
      </c>
      <c r="M99" s="49">
        <f>M98*M$6</f>
        <v/>
      </c>
      <c r="N99" s="49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49">
        <f>SUM($D99:D99)</f>
        <v/>
      </c>
      <c r="E100" s="49">
        <f>SUM($D99:E99)</f>
        <v/>
      </c>
      <c r="F100" s="49">
        <f>SUM($D99:F99)</f>
        <v/>
      </c>
      <c r="G100" s="49">
        <f>SUM($D99:G99)</f>
        <v/>
      </c>
      <c r="H100" s="49">
        <f>SUM($D99:H99)</f>
        <v/>
      </c>
      <c r="I100" s="49">
        <f>SUM($D99:I99)</f>
        <v/>
      </c>
      <c r="J100" s="49">
        <f>SUM($D99:J99)</f>
        <v/>
      </c>
      <c r="K100" s="49">
        <f>SUM($D99:K99)</f>
        <v/>
      </c>
      <c r="L100" s="49">
        <f>SUM($D99:L99)</f>
        <v/>
      </c>
      <c r="M100" s="49">
        <f>SUM($D99:M99)</f>
        <v/>
      </c>
      <c r="N100" s="49">
        <f>SUM($D99:N99)</f>
        <v/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59" t="n"/>
      <c r="E101" s="59">
        <f>SUM($D99:E99)/SUM($E$6:E$6)/(SUM($E87:E87)/E$4)</f>
        <v/>
      </c>
      <c r="F101" s="59">
        <f>SUM($D99:F99)/SUM($E$6:F$6)/(SUM($E87:F87)/F$4)</f>
        <v/>
      </c>
      <c r="G101" s="59">
        <f>SUM($D99:G99)/SUM($E$6:G$6)/(SUM($E87:G87)/G$4)</f>
        <v/>
      </c>
      <c r="H101" s="59">
        <f>SUM($D99:H99)/SUM($E$6:H$6)/(SUM($E87:H87)/H$4)</f>
        <v/>
      </c>
      <c r="I101" s="59">
        <f>SUM($D99:I99)/SUM($E$6:I$6)/(SUM($E87:I87)/I$4)</f>
        <v/>
      </c>
      <c r="J101" s="59">
        <f>SUM($D99:J99)/SUM($E$6:J$6)/(SUM($E87:J87)/J$4)</f>
        <v/>
      </c>
      <c r="K101" s="59">
        <f>SUM($D99:K99)/SUM($E$6:K$6)/(SUM($E87:K87)/K$4)</f>
        <v/>
      </c>
      <c r="L101" s="59">
        <f>SUM($D99:L99)/SUM($E$6:L$6)/(SUM($E87:L87)/L$4)</f>
        <v/>
      </c>
      <c r="M101" s="59">
        <f>SUM($D99:M99)/SUM($E$6:M$6)/(SUM($E87:M87)/M$4)</f>
        <v/>
      </c>
      <c r="N101" s="59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2" t="n"/>
      <c r="E104" s="52">
        <f>'Данные по годам'!E32</f>
        <v/>
      </c>
      <c r="F104" s="52">
        <f>'Данные по годам'!F32</f>
        <v/>
      </c>
      <c r="G104" s="52">
        <f>'Данные по годам'!G32</f>
        <v/>
      </c>
      <c r="H104" s="52">
        <f>'Данные по годам'!H32</f>
        <v/>
      </c>
      <c r="I104" s="52">
        <f>'Данные по годам'!I32</f>
        <v/>
      </c>
      <c r="J104" s="52">
        <f>'Данные по годам'!J32</f>
        <v/>
      </c>
      <c r="K104" s="52">
        <f>'Данные по годам'!K32</f>
        <v/>
      </c>
      <c r="L104" s="52">
        <f>'Данные по годам'!L32</f>
        <v/>
      </c>
      <c r="M104" s="52">
        <f>'Данные по годам'!M32</f>
        <v/>
      </c>
      <c r="N104" s="52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49" t="n"/>
      <c r="E105" s="49">
        <f>'Параметры'!C26*E104*(1-'Ввод данных'!I18/(60*'Параметры'!C33))</f>
        <v/>
      </c>
      <c r="F105" s="49">
        <f>'Параметры'!C26*F104*(1-'Ввод данных'!I18/(60*'Параметры'!C33))</f>
        <v/>
      </c>
      <c r="G105" s="49">
        <f>'Параметры'!C26*G104*(1-'Ввод данных'!I18/(60*'Параметры'!C33))</f>
        <v/>
      </c>
      <c r="H105" s="49">
        <f>'Параметры'!C26*H104*(1-'Ввод данных'!I18/(60*'Параметры'!C33))</f>
        <v/>
      </c>
      <c r="I105" s="49">
        <f>'Параметры'!C26*I104*(1-'Ввод данных'!I18/(60*'Параметры'!C33))</f>
        <v/>
      </c>
      <c r="J105" s="49">
        <f>'Параметры'!C26*J104*(1-'Ввод данных'!I18/(60*'Параметры'!C33))</f>
        <v/>
      </c>
      <c r="K105" s="49">
        <f>'Параметры'!C26*K104*(1-'Ввод данных'!I18/(60*'Параметры'!C33))</f>
        <v/>
      </c>
      <c r="L105" s="49">
        <f>'Параметры'!C26*L104*(1-'Ввод данных'!I18/(60*'Параметры'!C33))</f>
        <v/>
      </c>
      <c r="M105" s="49">
        <f>'Параметры'!C26*M104*(1-'Ввод данных'!I18/(60*'Параметры'!C33))</f>
        <v/>
      </c>
      <c r="N105" s="49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49" t="n"/>
      <c r="E106" s="49">
        <f>'Производительность'!I10*E105/1000</f>
        <v/>
      </c>
      <c r="F106" s="49">
        <f>'Производительность'!I10*F105/1000</f>
        <v/>
      </c>
      <c r="G106" s="49">
        <f>'Производительность'!I10*G105/1000</f>
        <v/>
      </c>
      <c r="H106" s="49">
        <f>'Производительность'!I10*H105/1000</f>
        <v/>
      </c>
      <c r="I106" s="49">
        <f>'Производительность'!I10*I105/1000</f>
        <v/>
      </c>
      <c r="J106" s="49">
        <f>'Производительность'!I10*J105/1000</f>
        <v/>
      </c>
      <c r="K106" s="49">
        <f>'Производительность'!I10*K105/1000</f>
        <v/>
      </c>
      <c r="L106" s="49">
        <f>'Производительность'!I10*L105/1000</f>
        <v/>
      </c>
      <c r="M106" s="49">
        <f>'Производительность'!I10*M105/1000</f>
        <v/>
      </c>
      <c r="N106" s="49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49" t="n"/>
      <c r="E107" s="49">
        <f>E105*'Данные по годам'!E34*'Параметры'!C10*(1+'Параметры'!C14)^(E$4-1)/1000</f>
        <v/>
      </c>
      <c r="F107" s="49">
        <f>F105*'Данные по годам'!F34*'Параметры'!C10*(1+'Параметры'!C14)^(F$4-1)/1000</f>
        <v/>
      </c>
      <c r="G107" s="49">
        <f>G105*'Данные по годам'!G34*'Параметры'!C10*(1+'Параметры'!C14)^(G$4-1)/1000</f>
        <v/>
      </c>
      <c r="H107" s="49">
        <f>H105*'Данные по годам'!H34*'Параметры'!C10*(1+'Параметры'!C14)^(H$4-1)/1000</f>
        <v/>
      </c>
      <c r="I107" s="49">
        <f>I105*'Данные по годам'!I34*'Параметры'!C10*(1+'Параметры'!C14)^(I$4-1)/1000</f>
        <v/>
      </c>
      <c r="J107" s="49">
        <f>J105*'Данные по годам'!J34*'Параметры'!C10*(1+'Параметры'!C14)^(J$4-1)/1000</f>
        <v/>
      </c>
      <c r="K107" s="49">
        <f>K105*'Данные по годам'!K34*'Параметры'!C10*(1+'Параметры'!C14)^(K$4-1)/1000</f>
        <v/>
      </c>
      <c r="L107" s="49">
        <f>L105*'Данные по годам'!L34*'Параметры'!C10*(1+'Параметры'!C14)^(L$4-1)/1000</f>
        <v/>
      </c>
      <c r="M107" s="49">
        <f>M105*'Данные по годам'!M34*'Параметры'!C10*(1+'Параметры'!C14)^(M$4-1)/1000</f>
        <v/>
      </c>
      <c r="N107" s="49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49" t="n"/>
      <c r="E108" s="49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49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49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49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49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49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49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49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49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49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49" t="n"/>
      <c r="E109" s="49">
        <f>'Данные по годам'!E35*E106*(1+'Параметры'!C15)^(E$4-1)</f>
        <v/>
      </c>
      <c r="F109" s="49">
        <f>'Данные по годам'!F35*F106*(1+'Параметры'!C15)^(F$4-1)</f>
        <v/>
      </c>
      <c r="G109" s="49">
        <f>'Данные по годам'!G35*G106*(1+'Параметры'!C15)^(G$4-1)</f>
        <v/>
      </c>
      <c r="H109" s="49">
        <f>'Данные по годам'!H35*H106*(1+'Параметры'!C15)^(H$4-1)</f>
        <v/>
      </c>
      <c r="I109" s="49">
        <f>'Данные по годам'!I35*I106*(1+'Параметры'!C15)^(I$4-1)</f>
        <v/>
      </c>
      <c r="J109" s="49">
        <f>'Данные по годам'!J35*J106*(1+'Параметры'!C15)^(J$4-1)</f>
        <v/>
      </c>
      <c r="K109" s="49">
        <f>'Данные по годам'!K35*K106*(1+'Параметры'!C15)^(K$4-1)</f>
        <v/>
      </c>
      <c r="L109" s="49">
        <f>'Данные по годам'!L35*L106*(1+'Параметры'!C15)^(L$4-1)</f>
        <v/>
      </c>
      <c r="M109" s="49">
        <f>'Данные по годам'!M35*M106*(1+'Параметры'!C15)^(M$4-1)</f>
        <v/>
      </c>
      <c r="N109" s="49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49" t="n"/>
      <c r="E110" s="49">
        <f>'Ввод данных'!I20*(1+'Параметры'!C16)^(E$4-1)</f>
        <v/>
      </c>
      <c r="F110" s="49">
        <f>'Ввод данных'!I20*(1+'Параметры'!C16)^(F$4-1)</f>
        <v/>
      </c>
      <c r="G110" s="49">
        <f>'Ввод данных'!I20*(1+'Параметры'!C16)^(G$4-1)</f>
        <v/>
      </c>
      <c r="H110" s="49">
        <f>'Ввод данных'!I20*(1+'Параметры'!C16)^(H$4-1)</f>
        <v/>
      </c>
      <c r="I110" s="49">
        <f>'Ввод данных'!I20*(1+'Параметры'!C16)^(I$4-1)</f>
        <v/>
      </c>
      <c r="J110" s="49">
        <f>'Ввод данных'!I20*(1+'Параметры'!C16)^(J$4-1)</f>
        <v/>
      </c>
      <c r="K110" s="49">
        <f>'Ввод данных'!I20*(1+'Параметры'!C16)^(K$4-1)</f>
        <v/>
      </c>
      <c r="L110" s="49">
        <f>'Ввод данных'!I20*(1+'Параметры'!C16)^(L$4-1)</f>
        <v/>
      </c>
      <c r="M110" s="49">
        <f>'Ввод данных'!I20*(1+'Параметры'!C16)^(M$4-1)</f>
        <v/>
      </c>
      <c r="N110" s="49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49" t="n"/>
      <c r="E111" s="58">
        <f>E107+E108+E109+E110</f>
        <v/>
      </c>
      <c r="F111" s="58">
        <f>F107+F108+F109+F110</f>
        <v/>
      </c>
      <c r="G111" s="58">
        <f>G107+G108+G109+G110</f>
        <v/>
      </c>
      <c r="H111" s="58">
        <f>H107+H108+H109+H110</f>
        <v/>
      </c>
      <c r="I111" s="58">
        <f>I107+I108+I109+I110</f>
        <v/>
      </c>
      <c r="J111" s="58">
        <f>J107+J108+J109+J110</f>
        <v/>
      </c>
      <c r="K111" s="58">
        <f>K107+K108+K109+K110</f>
        <v/>
      </c>
      <c r="L111" s="58">
        <f>L107+L108+L109+L110</f>
        <v/>
      </c>
      <c r="M111" s="58">
        <f>M107+M108+M109+M110</f>
        <v/>
      </c>
      <c r="N111" s="58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49" t="n"/>
      <c r="E112" s="49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49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49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49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49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49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49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49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49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49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49" t="n"/>
      <c r="E113" s="49">
        <f>E111+E112</f>
        <v/>
      </c>
      <c r="F113" s="49">
        <f>F111+F112</f>
        <v/>
      </c>
      <c r="G113" s="49">
        <f>G111+G112</f>
        <v/>
      </c>
      <c r="H113" s="49">
        <f>H111+H112</f>
        <v/>
      </c>
      <c r="I113" s="49">
        <f>I111+I112</f>
        <v/>
      </c>
      <c r="J113" s="49">
        <f>J111+J112</f>
        <v/>
      </c>
      <c r="K113" s="49">
        <f>K111+K112</f>
        <v/>
      </c>
      <c r="L113" s="49">
        <f>L111+L112</f>
        <v/>
      </c>
      <c r="M113" s="49">
        <f>M111+M112</f>
        <v/>
      </c>
      <c r="N113" s="49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49" t="n"/>
      <c r="E114" s="49">
        <f>-E113*'Параметры'!C7</f>
        <v/>
      </c>
      <c r="F114" s="49">
        <f>-F113*'Параметры'!C7</f>
        <v/>
      </c>
      <c r="G114" s="49">
        <f>-G113*'Параметры'!C7</f>
        <v/>
      </c>
      <c r="H114" s="49">
        <f>-H113*'Параметры'!C7</f>
        <v/>
      </c>
      <c r="I114" s="49">
        <f>-I113*'Параметры'!C7</f>
        <v/>
      </c>
      <c r="J114" s="49">
        <f>-J113*'Параметры'!C7</f>
        <v/>
      </c>
      <c r="K114" s="49">
        <f>-K113*'Параметры'!C7</f>
        <v/>
      </c>
      <c r="L114" s="49">
        <f>-L113*'Параметры'!C7</f>
        <v/>
      </c>
      <c r="M114" s="49">
        <f>-M113*'Параметры'!C7</f>
        <v/>
      </c>
      <c r="N114" s="49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49" t="n"/>
      <c r="E115" s="58">
        <f>E113+E114-E112</f>
        <v/>
      </c>
      <c r="F115" s="58">
        <f>F113+F114-F112</f>
        <v/>
      </c>
      <c r="G115" s="58">
        <f>G113+G114-G112</f>
        <v/>
      </c>
      <c r="H115" s="58">
        <f>H113+H114-H112</f>
        <v/>
      </c>
      <c r="I115" s="58">
        <f>I113+I114-I112</f>
        <v/>
      </c>
      <c r="J115" s="58">
        <f>J113+J114-J112</f>
        <v/>
      </c>
      <c r="K115" s="58">
        <f>K113+K114-K112</f>
        <v/>
      </c>
      <c r="L115" s="58">
        <f>L113+L114-L112</f>
        <v/>
      </c>
      <c r="M115" s="58">
        <f>M113+M114-M112</f>
        <v/>
      </c>
      <c r="N115" s="58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49">
        <f>IF(D$4=0,'Производительность'!I5,IF(D$4='Параметры'!C8,-'Ввод данных'!I14*'Производительность'!I5,0))</f>
        <v/>
      </c>
      <c r="E116" s="49">
        <f>IF(E$4=0,'Производительность'!I5,IF(E$4='Параметры'!C8,-'Ввод данных'!I14*'Производительность'!I5,0))</f>
        <v/>
      </c>
      <c r="F116" s="49">
        <f>IF(F$4=0,'Производительность'!I5,IF(F$4='Параметры'!C8,-'Ввод данных'!I14*'Производительность'!I5,0))</f>
        <v/>
      </c>
      <c r="G116" s="49">
        <f>IF(G$4=0,'Производительность'!I5,IF(G$4='Параметры'!C8,-'Ввод данных'!I14*'Производительность'!I5,0))</f>
        <v/>
      </c>
      <c r="H116" s="49">
        <f>IF(H$4=0,'Производительность'!I5,IF(H$4='Параметры'!C8,-'Ввод данных'!I14*'Производительность'!I5,0))</f>
        <v/>
      </c>
      <c r="I116" s="49">
        <f>IF(I$4=0,'Производительность'!I5,IF(I$4='Параметры'!C8,-'Ввод данных'!I14*'Производительность'!I5,0))</f>
        <v/>
      </c>
      <c r="J116" s="49">
        <f>IF(J$4=0,'Производительность'!I5,IF(J$4='Параметры'!C8,-'Ввод данных'!I14*'Производительность'!I5,0))</f>
        <v/>
      </c>
      <c r="K116" s="49">
        <f>IF(K$4=0,'Производительность'!I5,IF(K$4='Параметры'!C8,-'Ввод данных'!I14*'Производительность'!I5,0))</f>
        <v/>
      </c>
      <c r="L116" s="49">
        <f>IF(L$4=0,'Производительность'!I5,IF(L$4='Параметры'!C8,-'Ввод данных'!I14*'Производительность'!I5,0))</f>
        <v/>
      </c>
      <c r="M116" s="49">
        <f>IF(M$4=0,'Производительность'!I5,IF(M$4='Параметры'!C8,-'Ввод данных'!I14*'Производительность'!I5,0))</f>
        <v/>
      </c>
      <c r="N116" s="49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58">
        <f>0+D116</f>
        <v/>
      </c>
      <c r="E117" s="58">
        <f>E115+E116</f>
        <v/>
      </c>
      <c r="F117" s="58">
        <f>F115+F116</f>
        <v/>
      </c>
      <c r="G117" s="58">
        <f>G115+G116</f>
        <v/>
      </c>
      <c r="H117" s="58">
        <f>H115+H116</f>
        <v/>
      </c>
      <c r="I117" s="58">
        <f>I115+I116</f>
        <v/>
      </c>
      <c r="J117" s="58">
        <f>J115+J116</f>
        <v/>
      </c>
      <c r="K117" s="58">
        <f>K115+K116</f>
        <v/>
      </c>
      <c r="L117" s="58">
        <f>L115+L116</f>
        <v/>
      </c>
      <c r="M117" s="58">
        <f>M115+M116</f>
        <v/>
      </c>
      <c r="N117" s="58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49">
        <f>D117*D$6</f>
        <v/>
      </c>
      <c r="E118" s="49">
        <f>E117*E$6</f>
        <v/>
      </c>
      <c r="F118" s="49">
        <f>F117*F$6</f>
        <v/>
      </c>
      <c r="G118" s="49">
        <f>G117*G$6</f>
        <v/>
      </c>
      <c r="H118" s="49">
        <f>H117*H$6</f>
        <v/>
      </c>
      <c r="I118" s="49">
        <f>I117*I$6</f>
        <v/>
      </c>
      <c r="J118" s="49">
        <f>J117*J$6</f>
        <v/>
      </c>
      <c r="K118" s="49">
        <f>K117*K$6</f>
        <v/>
      </c>
      <c r="L118" s="49">
        <f>L117*L$6</f>
        <v/>
      </c>
      <c r="M118" s="49">
        <f>M117*M$6</f>
        <v/>
      </c>
      <c r="N118" s="49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49">
        <f>SUM($D118:D118)</f>
        <v/>
      </c>
      <c r="E119" s="49">
        <f>SUM($D118:E118)</f>
        <v/>
      </c>
      <c r="F119" s="49">
        <f>SUM($D118:F118)</f>
        <v/>
      </c>
      <c r="G119" s="49">
        <f>SUM($D118:G118)</f>
        <v/>
      </c>
      <c r="H119" s="49">
        <f>SUM($D118:H118)</f>
        <v/>
      </c>
      <c r="I119" s="49">
        <f>SUM($D118:I118)</f>
        <v/>
      </c>
      <c r="J119" s="49">
        <f>SUM($D118:J118)</f>
        <v/>
      </c>
      <c r="K119" s="49">
        <f>SUM($D118:K118)</f>
        <v/>
      </c>
      <c r="L119" s="49">
        <f>SUM($D118:L118)</f>
        <v/>
      </c>
      <c r="M119" s="49">
        <f>SUM($D118:M118)</f>
        <v/>
      </c>
      <c r="N119" s="49">
        <f>SUM($D118:N118)</f>
        <v/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59" t="n"/>
      <c r="E120" s="59">
        <f>SUM($D118:E118)/SUM($E$6:E$6)/(SUM($E106:E106)/E$4)</f>
        <v/>
      </c>
      <c r="F120" s="59">
        <f>SUM($D118:F118)/SUM($E$6:F$6)/(SUM($E106:F106)/F$4)</f>
        <v/>
      </c>
      <c r="G120" s="59">
        <f>SUM($D118:G118)/SUM($E$6:G$6)/(SUM($E106:G106)/G$4)</f>
        <v/>
      </c>
      <c r="H120" s="59">
        <f>SUM($D118:H118)/SUM($E$6:H$6)/(SUM($E106:H106)/H$4)</f>
        <v/>
      </c>
      <c r="I120" s="59">
        <f>SUM($D118:I118)/SUM($E$6:I$6)/(SUM($E106:I106)/I$4)</f>
        <v/>
      </c>
      <c r="J120" s="59">
        <f>SUM($D118:J118)/SUM($E$6:J$6)/(SUM($E106:J106)/J$4)</f>
        <v/>
      </c>
      <c r="K120" s="59">
        <f>SUM($D118:K118)/SUM($E$6:K$6)/(SUM($E106:K106)/K$4)</f>
        <v/>
      </c>
      <c r="L120" s="59">
        <f>SUM($D118:L118)/SUM($E$6:L$6)/(SUM($E106:L106)/L$4)</f>
        <v/>
      </c>
      <c r="M120" s="59">
        <f>SUM($D118:M118)/SUM($E$6:M$6)/(SUM($E106:M106)/M$4)</f>
        <v/>
      </c>
      <c r="N120" s="59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49">
        <f>SUMPRODUCT('Денежный поток'!E12:N12,'Денежный поток'!$E$6:$N$6)</f>
        <v/>
      </c>
      <c r="E6" s="49">
        <f>SUMPRODUCT('Денежный поток'!E31:N31,'Денежный поток'!$E$6:$N$6)</f>
        <v/>
      </c>
      <c r="F6" s="49">
        <f>SUMPRODUCT('Денежный поток'!E50:N50,'Денежный поток'!$E$6:$N$6)</f>
        <v/>
      </c>
      <c r="G6" s="49">
        <f>SUMPRODUCT('Денежный поток'!E69:N69,'Денежный поток'!$E$6:$N$6)</f>
        <v/>
      </c>
      <c r="H6" s="49">
        <f>SUMPRODUCT('Денежный поток'!E88:N88,'Денежный поток'!$E$6:$N$6)</f>
        <v/>
      </c>
      <c r="I6" s="49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49">
        <f>SUMPRODUCT('Денежный поток'!E13:N13,'Денежный поток'!$E$6:$N$6)</f>
        <v/>
      </c>
      <c r="E7" s="49">
        <f>SUMPRODUCT('Денежный поток'!E32:N32,'Денежный поток'!$E$6:$N$6)</f>
        <v/>
      </c>
      <c r="F7" s="49">
        <f>SUMPRODUCT('Денежный поток'!E51:N51,'Денежный поток'!$E$6:$N$6)</f>
        <v/>
      </c>
      <c r="G7" s="49">
        <f>SUMPRODUCT('Денежный поток'!E70:N70,'Денежный поток'!$E$6:$N$6)</f>
        <v/>
      </c>
      <c r="H7" s="49">
        <f>SUMPRODUCT('Денежный поток'!E89:N89,'Денежный поток'!$E$6:$N$6)</f>
        <v/>
      </c>
      <c r="I7" s="49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49">
        <f>SUMPRODUCT('Денежный поток'!E14:N14,'Денежный поток'!$E$6:$N$6)</f>
        <v/>
      </c>
      <c r="E8" s="49">
        <f>SUMPRODUCT('Денежный поток'!E33:N33,'Денежный поток'!$E$6:$N$6)</f>
        <v/>
      </c>
      <c r="F8" s="49">
        <f>SUMPRODUCT('Денежный поток'!E52:N52,'Денежный поток'!$E$6:$N$6)</f>
        <v/>
      </c>
      <c r="G8" s="49">
        <f>SUMPRODUCT('Денежный поток'!E71:N71,'Денежный поток'!$E$6:$N$6)</f>
        <v/>
      </c>
      <c r="H8" s="49">
        <f>SUMPRODUCT('Денежный поток'!E90:N90,'Денежный поток'!$E$6:$N$6)</f>
        <v/>
      </c>
      <c r="I8" s="49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49">
        <f>SUMPRODUCT('Денежный поток'!E15:N15,'Денежный поток'!$E$6:$N$6)</f>
        <v/>
      </c>
      <c r="E9" s="49">
        <f>SUMPRODUCT('Денежный поток'!E34:N34,'Денежный поток'!$E$6:$N$6)</f>
        <v/>
      </c>
      <c r="F9" s="49">
        <f>SUMPRODUCT('Денежный поток'!E53:N53,'Денежный поток'!$E$6:$N$6)</f>
        <v/>
      </c>
      <c r="G9" s="49">
        <f>SUMPRODUCT('Денежный поток'!E72:N72,'Денежный поток'!$E$6:$N$6)</f>
        <v/>
      </c>
      <c r="H9" s="49">
        <f>SUMPRODUCT('Денежный поток'!E91:N91,'Денежный поток'!$E$6:$N$6)</f>
        <v/>
      </c>
      <c r="I9" s="49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49">
        <f>SUMPRODUCT('Денежный поток'!E19:N19,'Денежный поток'!$E$6:$N$6)</f>
        <v/>
      </c>
      <c r="E10" s="49">
        <f>SUMPRODUCT('Денежный поток'!E38:N38,'Денежный поток'!$E$6:$N$6)</f>
        <v/>
      </c>
      <c r="F10" s="49">
        <f>SUMPRODUCT('Денежный поток'!E57:N57,'Денежный поток'!$E$6:$N$6)</f>
        <v/>
      </c>
      <c r="G10" s="49">
        <f>SUMPRODUCT('Денежный поток'!E76:N76,'Денежный поток'!$E$6:$N$6)</f>
        <v/>
      </c>
      <c r="H10" s="49">
        <f>SUMPRODUCT('Денежный поток'!E95:N95,'Денежный поток'!$E$6:$N$6)</f>
        <v/>
      </c>
      <c r="I10" s="49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49">
        <f>'Производительность'!D5*(1-'Ввод данных'!D14*'Денежный поток'!$N$6)</f>
        <v/>
      </c>
      <c r="E11" s="49">
        <f>'Производительность'!E5*(1-'Ввод данных'!E14*'Денежный поток'!$N$6)</f>
        <v/>
      </c>
      <c r="F11" s="49">
        <f>'Производительность'!F5*(1-'Ввод данных'!F14*'Денежный поток'!$N$6)</f>
        <v/>
      </c>
      <c r="G11" s="49">
        <f>'Производительность'!G5*(1-'Ввод данных'!G14*'Денежный поток'!$N$6)</f>
        <v/>
      </c>
      <c r="H11" s="49">
        <f>'Производительность'!H5*(1-'Ввод данных'!H14*'Денежный поток'!$N$6)</f>
        <v/>
      </c>
      <c r="I11" s="49">
        <f>'Производительность'!I5*(1-'Ввод данных'!I14*'Денежный поток'!$N$6)</f>
        <v/>
      </c>
    </row>
    <row r="12">
      <c r="B12" s="48" t="inlineStr">
        <is>
          <t>NPV операционных затрат</t>
        </is>
      </c>
      <c r="C12" s="24" t="inlineStr">
        <is>
          <t>тыс.руб</t>
        </is>
      </c>
      <c r="D12" s="58">
        <f>D6+D7+D8+D9+D10</f>
        <v/>
      </c>
      <c r="E12" s="58">
        <f>E6+E7+E8+E9+E10</f>
        <v/>
      </c>
      <c r="F12" s="58">
        <f>F6+F7+F8+F9+F10</f>
        <v/>
      </c>
      <c r="G12" s="58">
        <f>G6+G7+G8+G9+G10</f>
        <v/>
      </c>
      <c r="H12" s="58">
        <f>H6+H7+H8+H9+H10</f>
        <v/>
      </c>
      <c r="I12" s="58">
        <f>I6+I7+I8+I9+I10</f>
        <v/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53">
        <f>D11+D12</f>
        <v/>
      </c>
      <c r="E13" s="53">
        <f>E11+E12</f>
        <v/>
      </c>
      <c r="F13" s="53">
        <f>F11+F12</f>
        <v/>
      </c>
      <c r="G13" s="53">
        <f>G11+G12</f>
        <v/>
      </c>
      <c r="H13" s="53">
        <f>H11+H12</f>
        <v/>
      </c>
      <c r="I13" s="53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49">
        <f>AVERAGE('Денежный поток'!E11:N11)</f>
        <v/>
      </c>
      <c r="E14" s="49">
        <f>AVERAGE('Денежный поток'!E30:N30)</f>
        <v/>
      </c>
      <c r="F14" s="49">
        <f>AVERAGE('Денежный поток'!E49:N49)</f>
        <v/>
      </c>
      <c r="G14" s="49">
        <f>AVERAGE('Денежный поток'!E68:N68)</f>
        <v/>
      </c>
      <c r="H14" s="49">
        <f>AVERAGE('Денежный поток'!E87:N87)</f>
        <v/>
      </c>
      <c r="I14" s="49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0">
        <f>D11/'Параметры'!C37/D14</f>
        <v/>
      </c>
      <c r="E16" s="50">
        <f>E11/'Параметры'!C37/E14</f>
        <v/>
      </c>
      <c r="F16" s="50">
        <f>F11/'Параметры'!C37/F14</f>
        <v/>
      </c>
      <c r="G16" s="50">
        <f>G11/'Параметры'!C37/G14</f>
        <v/>
      </c>
      <c r="H16" s="50">
        <f>H11/'Параметры'!C37/H14</f>
        <v/>
      </c>
      <c r="I16" s="50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0">
        <f>D6/'Параметры'!C37/D14</f>
        <v/>
      </c>
      <c r="E17" s="50">
        <f>E6/'Параметры'!C37/E14</f>
        <v/>
      </c>
      <c r="F17" s="50">
        <f>F6/'Параметры'!C37/F14</f>
        <v/>
      </c>
      <c r="G17" s="50">
        <f>G6/'Параметры'!C37/G14</f>
        <v/>
      </c>
      <c r="H17" s="50">
        <f>H6/'Параметры'!C37/H14</f>
        <v/>
      </c>
      <c r="I17" s="50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0">
        <f>D7/'Параметры'!C37/D14</f>
        <v/>
      </c>
      <c r="E18" s="50">
        <f>E7/'Параметры'!C37/E14</f>
        <v/>
      </c>
      <c r="F18" s="50">
        <f>F7/'Параметры'!C37/F14</f>
        <v/>
      </c>
      <c r="G18" s="50">
        <f>G7/'Параметры'!C37/G14</f>
        <v/>
      </c>
      <c r="H18" s="50">
        <f>H7/'Параметры'!C37/H14</f>
        <v/>
      </c>
      <c r="I18" s="50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0">
        <f>D8/'Параметры'!C37/D14</f>
        <v/>
      </c>
      <c r="E19" s="50">
        <f>E8/'Параметры'!C37/E14</f>
        <v/>
      </c>
      <c r="F19" s="50">
        <f>F8/'Параметры'!C37/F14</f>
        <v/>
      </c>
      <c r="G19" s="50">
        <f>G8/'Параметры'!C37/G14</f>
        <v/>
      </c>
      <c r="H19" s="50">
        <f>H8/'Параметры'!C37/H14</f>
        <v/>
      </c>
      <c r="I19" s="50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50">
        <f>D9/'Параметры'!C37/D14</f>
        <v/>
      </c>
      <c r="E20" s="50">
        <f>E9/'Параметры'!C37/E14</f>
        <v/>
      </c>
      <c r="F20" s="50">
        <f>F9/'Параметры'!C37/F14</f>
        <v/>
      </c>
      <c r="G20" s="50">
        <f>G9/'Параметры'!C37/G14</f>
        <v/>
      </c>
      <c r="H20" s="50">
        <f>H9/'Параметры'!C37/H14</f>
        <v/>
      </c>
      <c r="I20" s="50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0">
        <f>D10/'Параметры'!C37/D14</f>
        <v/>
      </c>
      <c r="E21" s="50">
        <f>E10/'Параметры'!C37/E14</f>
        <v/>
      </c>
      <c r="F21" s="50">
        <f>F10/'Параметры'!C37/F14</f>
        <v/>
      </c>
      <c r="G21" s="50">
        <f>G10/'Параметры'!C37/G14</f>
        <v/>
      </c>
      <c r="H21" s="50">
        <f>H10/'Параметры'!C37/H14</f>
        <v/>
      </c>
      <c r="I21" s="50">
        <f>I10/'Параметры'!C37/I14</f>
        <v/>
      </c>
    </row>
    <row r="22">
      <c r="B22" s="48" t="inlineStr">
        <is>
          <t>Операционный аннуитет</t>
        </is>
      </c>
      <c r="C22" s="24" t="inlineStr">
        <is>
          <t>руб/м³</t>
        </is>
      </c>
      <c r="D22" s="60">
        <f>D12/'Параметры'!C37/D14</f>
        <v/>
      </c>
      <c r="E22" s="60">
        <f>E12/'Параметры'!C37/E14</f>
        <v/>
      </c>
      <c r="F22" s="60">
        <f>F12/'Параметры'!C37/F14</f>
        <v/>
      </c>
      <c r="G22" s="60">
        <f>G12/'Параметры'!C37/G14</f>
        <v/>
      </c>
      <c r="H22" s="60">
        <f>H12/'Параметры'!C37/H14</f>
        <v/>
      </c>
      <c r="I22" s="60">
        <f>I12/'Параметры'!C37/I14</f>
        <v/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1">
        <f>D13/'Параметры'!C37/D14</f>
        <v/>
      </c>
      <c r="E23" s="61">
        <f>E13/'Параметры'!C37/E14</f>
        <v/>
      </c>
      <c r="F23" s="61">
        <f>F13/'Параметры'!C37/F14</f>
        <v/>
      </c>
      <c r="G23" s="61">
        <f>G13/'Параметры'!C37/G14</f>
        <v/>
      </c>
      <c r="H23" s="61">
        <f>H13/'Параметры'!C37/H14</f>
        <v/>
      </c>
      <c r="I23" s="61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48" t="inlineStr">
        <is>
          <t>Удельный аннуитет на тонну</t>
        </is>
      </c>
      <c r="C25" s="24" t="inlineStr">
        <is>
          <t>руб/т</t>
        </is>
      </c>
      <c r="D25" s="60">
        <f>D23/'Параметры'!C27</f>
        <v/>
      </c>
      <c r="E25" s="60">
        <f>E23/'Параметры'!C27</f>
        <v/>
      </c>
      <c r="F25" s="60">
        <f>F23/'Параметры'!C27</f>
        <v/>
      </c>
      <c r="G25" s="60">
        <f>G23/'Параметры'!C27</f>
        <v/>
      </c>
      <c r="H25" s="60">
        <f>H23/'Параметры'!C27</f>
        <v/>
      </c>
      <c r="I25" s="60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0">
        <f>AVERAGE('Денежный поток'!E16:N16)/D14</f>
        <v/>
      </c>
      <c r="E26" s="50">
        <f>AVERAGE('Денежный поток'!E35:N35)/E14</f>
        <v/>
      </c>
      <c r="F26" s="50">
        <f>AVERAGE('Денежный поток'!E54:N54)/F14</f>
        <v/>
      </c>
      <c r="G26" s="50">
        <f>AVERAGE('Денежный поток'!E73:N73)/G14</f>
        <v/>
      </c>
      <c r="H26" s="50">
        <f>AVERAGE('Денежный поток'!E92:N92)/H14</f>
        <v/>
      </c>
      <c r="I26" s="50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2">
        <f>D16/D23</f>
        <v/>
      </c>
      <c r="E27" s="52">
        <f>E16/E23</f>
        <v/>
      </c>
      <c r="F27" s="52">
        <f>F16/F23</f>
        <v/>
      </c>
      <c r="G27" s="52">
        <f>G16/G23</f>
        <v/>
      </c>
      <c r="H27" s="52">
        <f>H16/H23</f>
        <v/>
      </c>
      <c r="I27" s="52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49">
        <f>'Производительность'!D5</f>
        <v/>
      </c>
      <c r="E5" s="49">
        <f>'Производительность'!E5</f>
        <v/>
      </c>
      <c r="F5" s="49">
        <f>'Производительность'!F5</f>
        <v/>
      </c>
      <c r="G5" s="49">
        <f>'Производительность'!G5</f>
        <v/>
      </c>
      <c r="H5" s="49">
        <f>'Производительность'!H5</f>
        <v/>
      </c>
      <c r="I5" s="49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49">
        <f>'Расчёт аннуитета'!D14</f>
        <v/>
      </c>
      <c r="E6" s="49">
        <f>'Расчёт аннуитета'!E14</f>
        <v/>
      </c>
      <c r="F6" s="49">
        <f>'Расчёт аннуитета'!F14</f>
        <v/>
      </c>
      <c r="G6" s="49">
        <f>'Расчёт аннуитета'!G14</f>
        <v/>
      </c>
      <c r="H6" s="49">
        <f>'Расчёт аннуитета'!H14</f>
        <v/>
      </c>
      <c r="I6" s="49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52">
        <f>'Производительность'!D13</f>
        <v/>
      </c>
      <c r="E7" s="52">
        <f>'Производительность'!E13</f>
        <v/>
      </c>
      <c r="F7" s="52">
        <f>'Производительность'!F13</f>
        <v/>
      </c>
      <c r="G7" s="52">
        <f>'Производительность'!G13</f>
        <v/>
      </c>
      <c r="H7" s="52">
        <f>'Производительность'!H13</f>
        <v/>
      </c>
      <c r="I7" s="52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49">
        <f>'Расчёт аннуитета'!D13</f>
        <v/>
      </c>
      <c r="E8" s="49">
        <f>'Расчёт аннуитета'!E13</f>
        <v/>
      </c>
      <c r="F8" s="49">
        <f>'Расчёт аннуитета'!F13</f>
        <v/>
      </c>
      <c r="G8" s="49">
        <f>'Расчёт аннуитета'!G13</f>
        <v/>
      </c>
      <c r="H8" s="49">
        <f>'Расчёт аннуитета'!H13</f>
        <v/>
      </c>
      <c r="I8" s="49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0">
        <f>'Расчёт аннуитета'!D26</f>
        <v/>
      </c>
      <c r="E9" s="50">
        <f>'Расчёт аннуитета'!E26</f>
        <v/>
      </c>
      <c r="F9" s="50">
        <f>'Расчёт аннуитета'!F26</f>
        <v/>
      </c>
      <c r="G9" s="50">
        <f>'Расчёт аннуитета'!G26</f>
        <v/>
      </c>
      <c r="H9" s="50">
        <f>'Расчёт аннуитета'!H26</f>
        <v/>
      </c>
      <c r="I9" s="50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0">
        <f>'Расчёт аннуитета'!D16</f>
        <v/>
      </c>
      <c r="E10" s="50">
        <f>'Расчёт аннуитета'!E16</f>
        <v/>
      </c>
      <c r="F10" s="50">
        <f>'Расчёт аннуитета'!F16</f>
        <v/>
      </c>
      <c r="G10" s="50">
        <f>'Расчёт аннуитета'!G16</f>
        <v/>
      </c>
      <c r="H10" s="50">
        <f>'Расчёт аннуитета'!H16</f>
        <v/>
      </c>
      <c r="I10" s="50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0">
        <f>'Расчёт аннуитета'!D22</f>
        <v/>
      </c>
      <c r="E11" s="50">
        <f>'Расчёт аннуитета'!E22</f>
        <v/>
      </c>
      <c r="F11" s="50">
        <f>'Расчёт аннуитета'!F22</f>
        <v/>
      </c>
      <c r="G11" s="50">
        <f>'Расчёт аннуитета'!G22</f>
        <v/>
      </c>
      <c r="H11" s="50">
        <f>'Расчёт аннуитета'!H22</f>
        <v/>
      </c>
      <c r="I11" s="50">
        <f>'Расчёт аннуитета'!I22</f>
        <v/>
      </c>
    </row>
    <row r="12">
      <c r="B12" s="48" t="inlineStr">
        <is>
          <t>ОБЩИЙ АННУИТЕТ</t>
        </is>
      </c>
      <c r="C12" s="24" t="inlineStr">
        <is>
          <t>руб/м³</t>
        </is>
      </c>
      <c r="D12" s="62">
        <f>'Расчёт аннуитета'!D23</f>
        <v/>
      </c>
      <c r="E12" s="62">
        <f>'Расчёт аннуитета'!E23</f>
        <v/>
      </c>
      <c r="F12" s="62">
        <f>'Расчёт аннуитета'!F23</f>
        <v/>
      </c>
      <c r="G12" s="62">
        <f>'Расчёт аннуитета'!G23</f>
        <v/>
      </c>
      <c r="H12" s="62">
        <f>'Расчёт аннуитета'!H23</f>
        <v/>
      </c>
      <c r="I12" s="62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0">
        <f>'Расчёт аннуитета'!D25</f>
        <v/>
      </c>
      <c r="E13" s="50">
        <f>'Расчёт аннуитета'!E25</f>
        <v/>
      </c>
      <c r="F13" s="50">
        <f>'Расчёт аннуитета'!F25</f>
        <v/>
      </c>
      <c r="G13" s="50">
        <f>'Расчёт аннуитета'!G25</f>
        <v/>
      </c>
      <c r="H13" s="50">
        <f>'Расчёт аннуитета'!H25</f>
        <v/>
      </c>
      <c r="I13" s="50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63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64" t="inlineStr">
        <is>
          <t>Отклонение от лучшего</t>
        </is>
      </c>
      <c r="D16" s="65">
        <f>D12/MIN(D12:I12)-1</f>
        <v/>
      </c>
      <c r="E16" s="65">
        <f>E12/MIN(D12:I12)-1</f>
        <v/>
      </c>
      <c r="F16" s="65">
        <f>F12/MIN(D12:I12)-1</f>
        <v/>
      </c>
      <c r="G16" s="65">
        <f>G12/MIN(D12:I12)-1</f>
        <v/>
      </c>
      <c r="H16" s="65">
        <f>H12/MIN(D12:I12)-1</f>
        <v/>
      </c>
      <c r="I16" s="65">
        <f>I12/MIN(D12:I12)-1</f>
        <v/>
      </c>
    </row>
    <row r="18">
      <c r="B18" s="66" t="inlineStr">
        <is>
          <t>РЕКОМЕНДУЕМЫЙ ВАРИАНТ:</t>
        </is>
      </c>
      <c r="C18" s="67">
        <f>INDEX(D4:I4,MATCH(MIN(D12:I12),D12:I12,0))&amp;"  ("&amp;TEXT(MIN(D12:I12),"0.00")&amp;" руб/м³)"</f>
        <v/>
      </c>
      <c r="D18" s="68" t="n"/>
      <c r="E18" s="68" t="n"/>
      <c r="F18" s="68" t="n"/>
      <c r="G18" s="68" t="n"/>
      <c r="H18" s="68" t="n"/>
      <c r="I18" s="68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69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50">
        <f>'Расчёт аннуитета'!D16</f>
        <v/>
      </c>
      <c r="E22" s="50">
        <f>'Расчёт аннуитета'!E16</f>
        <v/>
      </c>
      <c r="F22" s="50">
        <f>'Расчёт аннуитета'!F16</f>
        <v/>
      </c>
      <c r="G22" s="50">
        <f>'Расчёт аннуитета'!G16</f>
        <v/>
      </c>
      <c r="H22" s="50">
        <f>'Расчёт аннуитета'!H16</f>
        <v/>
      </c>
      <c r="I22" s="50">
        <f>'Расчёт аннуитета'!I16</f>
        <v/>
      </c>
    </row>
    <row r="23">
      <c r="B23" s="22" t="inlineStr">
        <is>
          <t>Дизтопливо</t>
        </is>
      </c>
      <c r="D23" s="50">
        <f>'Расчёт аннуитета'!D17</f>
        <v/>
      </c>
      <c r="E23" s="50">
        <f>'Расчёт аннуитета'!E17</f>
        <v/>
      </c>
      <c r="F23" s="50">
        <f>'Расчёт аннуитета'!F17</f>
        <v/>
      </c>
      <c r="G23" s="50">
        <f>'Расчёт аннуитета'!G17</f>
        <v/>
      </c>
      <c r="H23" s="50">
        <f>'Расчёт аннуитета'!H17</f>
        <v/>
      </c>
      <c r="I23" s="50">
        <f>'Расчёт аннуитета'!I17</f>
        <v/>
      </c>
    </row>
    <row r="24">
      <c r="B24" s="22" t="inlineStr">
        <is>
          <t>ТОиР + капремонты</t>
        </is>
      </c>
      <c r="D24" s="50">
        <f>'Расчёт аннуитета'!D18</f>
        <v/>
      </c>
      <c r="E24" s="50">
        <f>'Расчёт аннуитета'!E18</f>
        <v/>
      </c>
      <c r="F24" s="50">
        <f>'Расчёт аннуитета'!F18</f>
        <v/>
      </c>
      <c r="G24" s="50">
        <f>'Расчёт аннуитета'!G18</f>
        <v/>
      </c>
      <c r="H24" s="50">
        <f>'Расчёт аннуитета'!H18</f>
        <v/>
      </c>
      <c r="I24" s="50">
        <f>'Расчёт аннуитета'!I18</f>
        <v/>
      </c>
    </row>
    <row r="25">
      <c r="B25" s="22" t="inlineStr">
        <is>
          <t>Расходники на ковш</t>
        </is>
      </c>
      <c r="D25" s="50">
        <f>'Расчёт аннуитета'!D19</f>
        <v/>
      </c>
      <c r="E25" s="50">
        <f>'Расчёт аннуитета'!E19</f>
        <v/>
      </c>
      <c r="F25" s="50">
        <f>'Расчёт аннуитета'!F19</f>
        <v/>
      </c>
      <c r="G25" s="50">
        <f>'Расчёт аннуитета'!G19</f>
        <v/>
      </c>
      <c r="H25" s="50">
        <f>'Расчёт аннуитета'!H19</f>
        <v/>
      </c>
      <c r="I25" s="50">
        <f>'Расчёт аннуитета'!I19</f>
        <v/>
      </c>
    </row>
    <row r="26">
      <c r="B26" s="22" t="inlineStr">
        <is>
          <t>Персонал</t>
        </is>
      </c>
      <c r="D26" s="50">
        <f>'Расчёт аннуитета'!D20</f>
        <v/>
      </c>
      <c r="E26" s="50">
        <f>'Расчёт аннуитета'!E20</f>
        <v/>
      </c>
      <c r="F26" s="50">
        <f>'Расчёт аннуитета'!F20</f>
        <v/>
      </c>
      <c r="G26" s="50">
        <f>'Расчёт аннуитета'!G20</f>
        <v/>
      </c>
      <c r="H26" s="50">
        <f>'Расчёт аннуитета'!H20</f>
        <v/>
      </c>
      <c r="I26" s="50">
        <f>'Расчёт аннуитета'!I20</f>
        <v/>
      </c>
    </row>
    <row r="27">
      <c r="B27" s="22" t="inlineStr">
        <is>
          <t>Налог (щит)</t>
        </is>
      </c>
      <c r="D27" s="50">
        <f>'Расчёт аннуитета'!D21</f>
        <v/>
      </c>
      <c r="E27" s="50">
        <f>'Расчёт аннуитета'!E21</f>
        <v/>
      </c>
      <c r="F27" s="50">
        <f>'Расчёт аннуитета'!F21</f>
        <v/>
      </c>
      <c r="G27" s="50">
        <f>'Расчёт аннуитета'!G21</f>
        <v/>
      </c>
      <c r="H27" s="50">
        <f>'Расчёт аннуитета'!H21</f>
        <v/>
      </c>
      <c r="I27" s="50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0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0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0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0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0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0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49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49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0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0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71" t="inlineStr">
        <is>
          <t>низкое</t>
        </is>
      </c>
      <c r="J18" s="71" t="inlineStr">
        <is>
          <t>высокое</t>
        </is>
      </c>
    </row>
    <row r="19">
      <c r="B19" s="22" t="inlineStr">
        <is>
          <t>Расход / цена ДТ</t>
        </is>
      </c>
      <c r="C19" s="72" t="inlineStr">
        <is>
          <t>±20%</t>
        </is>
      </c>
      <c r="D19" s="50">
        <f>$D$7-0.2*($D$9*(1-'Параметры'!C7))</f>
        <v/>
      </c>
      <c r="E19" s="50">
        <f>$D$7+0.2*($D$9*(1-'Параметры'!C7))</f>
        <v/>
      </c>
      <c r="F19" s="50">
        <f>E19-D19</f>
        <v/>
      </c>
      <c r="I19" s="73">
        <f>D19-$D$7</f>
        <v/>
      </c>
      <c r="J19" s="73">
        <f>E19-$D$7</f>
        <v/>
      </c>
    </row>
    <row r="20">
      <c r="B20" s="22" t="inlineStr">
        <is>
          <t>Затраты на ТОиР/ремонты</t>
        </is>
      </c>
      <c r="C20" s="72" t="inlineStr">
        <is>
          <t>±25%</t>
        </is>
      </c>
      <c r="D20" s="50">
        <f>$D$7-0.25*($D$10*(1-'Параметры'!C7))</f>
        <v/>
      </c>
      <c r="E20" s="50">
        <f>$D$7+0.25*($D$10*(1-'Параметры'!C7))</f>
        <v/>
      </c>
      <c r="F20" s="50">
        <f>E20-D20</f>
        <v/>
      </c>
      <c r="I20" s="73">
        <f>D20-$D$7</f>
        <v/>
      </c>
      <c r="J20" s="73">
        <f>E20-$D$7</f>
        <v/>
      </c>
    </row>
    <row r="21">
      <c r="B21" s="22" t="inlineStr">
        <is>
          <t>Цена приобретения</t>
        </is>
      </c>
      <c r="C21" s="72" t="inlineStr">
        <is>
          <t>±15%</t>
        </is>
      </c>
      <c r="D21" s="50">
        <f>$D$7-0.15*($D$8*(1-'Параметры'!C7*'Параметры'!C38))</f>
        <v/>
      </c>
      <c r="E21" s="50">
        <f>$D$7+0.15*($D$8*(1-'Параметры'!C7*'Параметры'!C38))</f>
        <v/>
      </c>
      <c r="F21" s="50">
        <f>E21-D21</f>
        <v/>
      </c>
      <c r="I21" s="73">
        <f>D21-$D$7</f>
        <v/>
      </c>
      <c r="J21" s="73">
        <f>E21-$D$7</f>
        <v/>
      </c>
    </row>
    <row r="22">
      <c r="B22" s="22" t="inlineStr">
        <is>
          <t>Расходы на персонал</t>
        </is>
      </c>
      <c r="C22" s="72" t="inlineStr">
        <is>
          <t>±15%</t>
        </is>
      </c>
      <c r="D22" s="50">
        <f>$D$7-0.15*($D$11*(1-'Параметры'!C7))</f>
        <v/>
      </c>
      <c r="E22" s="50">
        <f>$D$7+0.15*($D$11*(1-'Параметры'!C7))</f>
        <v/>
      </c>
      <c r="F22" s="50">
        <f>E22-D22</f>
        <v/>
      </c>
      <c r="I22" s="73">
        <f>D22-$D$7</f>
        <v/>
      </c>
      <c r="J22" s="73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48" t="inlineStr">
        <is>
          <t>Общий аннуитет, руб/м³</t>
        </is>
      </c>
      <c r="C27" s="60">
        <f>$D$14/(1+-0.15)+$D$15</f>
        <v/>
      </c>
      <c r="D27" s="60">
        <f>$D$14/(1+-0.1)+$D$15</f>
        <v/>
      </c>
      <c r="E27" s="62">
        <f>$D$14/(1+0.0)+$D$15</f>
        <v/>
      </c>
      <c r="F27" s="60">
        <f>$D$14/(1+0.1)+$D$15</f>
        <v/>
      </c>
      <c r="G27" s="60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74" t="n">
        <v>0.08</v>
      </c>
      <c r="D30" s="74" t="n">
        <v>0.1</v>
      </c>
      <c r="E30" s="74" t="n">
        <v>0.12</v>
      </c>
      <c r="F30" s="74" t="n">
        <v>0.14</v>
      </c>
      <c r="G30" s="74" t="n">
        <v>0.16</v>
      </c>
    </row>
    <row r="31">
      <c r="B31" s="48" t="inlineStr">
        <is>
          <t>Общий аннуитет, руб/м³ (оценка)</t>
        </is>
      </c>
      <c r="C31" s="60">
        <f>$D$13*(1-INDEX('Ввод данных'!D14:I14,$C$4)/(1+C30)^'Параметры'!C8)/((1-(1+C30)^-'Параметры'!C8)/C30)/$D$12+$D$7-$D$8</f>
        <v/>
      </c>
      <c r="D31" s="60">
        <f>$D$13*(1-INDEX('Ввод данных'!D14:I14,$C$4)/(1+D30)^'Параметры'!C8)/((1-(1+D30)^-'Параметры'!C8)/D30)/$D$12+$D$7-$D$8</f>
        <v/>
      </c>
      <c r="E31" s="62">
        <f>$D$13*(1-INDEX('Ввод данных'!D14:I14,$C$4)/(1+E30)^'Параметры'!C8)/((1-(1+E30)^-'Параметры'!C8)/E30)/$D$12+$D$7-$D$8</f>
        <v/>
      </c>
      <c r="F31" s="60">
        <f>$D$13*(1-INDEX('Ввод данных'!D14:I14,$C$4)/(1+F30)^'Параметры'!C8)/((1-(1+F30)^-'Параметры'!C8)/F30)/$D$12+$D$7-$D$8</f>
        <v/>
      </c>
      <c r="G31" s="60">
        <f>$D$13*(1-INDEX('Ввод данных'!D14:I14,$C$4)/(1+G30)^'Параметры'!C8)/((1-(1+G30)^-'Параметры'!C8)/G30)/$D$12+$D$7-$D$8</f>
        <v/>
      </c>
    </row>
    <row r="33">
      <c r="B33" s="56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72" t="inlineStr">
        <is>
          <t>12%</t>
        </is>
      </c>
      <c r="D5" s="72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75" t="inlineStr">
        <is>
          <t>Налог на прибыль</t>
        </is>
      </c>
      <c r="C6" s="76" t="inlineStr">
        <is>
          <t>25%</t>
        </is>
      </c>
      <c r="D6" s="76" t="inlineStr">
        <is>
          <t>20–25%</t>
        </is>
      </c>
      <c r="E6" s="75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72" t="inlineStr">
        <is>
          <t>0,74–0,84</t>
        </is>
      </c>
      <c r="D7" s="72" t="inlineStr">
        <is>
          <t>0,70–0,90</t>
        </is>
      </c>
      <c r="E7" s="22" t="inlineStr">
        <is>
          <t>Зависит от бренда и сервиса</t>
        </is>
      </c>
    </row>
    <row r="8">
      <c r="B8" s="75" t="inlineStr">
        <is>
          <t>КИО (использование)</t>
        </is>
      </c>
      <c r="C8" s="76" t="inlineStr">
        <is>
          <t>0,47–0,58</t>
        </is>
      </c>
      <c r="D8" s="76" t="inlineStr">
        <is>
          <t>0,40–0,65</t>
        </is>
      </c>
      <c r="E8" s="75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72" t="inlineStr">
        <is>
          <t>85–120</t>
        </is>
      </c>
      <c r="D9" s="72" t="inlineStr">
        <is>
          <t>70–140 кг/ч</t>
        </is>
      </c>
      <c r="E9" s="22" t="inlineStr">
        <is>
          <t>Двигатель и режим</t>
        </is>
      </c>
    </row>
    <row r="10">
      <c r="B10" s="75" t="inlineStr">
        <is>
          <t>Срок амортизации (НУ)</t>
        </is>
      </c>
      <c r="C10" s="76" t="inlineStr">
        <is>
          <t>62 мес</t>
        </is>
      </c>
      <c r="D10" s="76" t="inlineStr">
        <is>
          <t>5–7 лет</t>
        </is>
      </c>
      <c r="E10" s="75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72" t="inlineStr">
        <is>
          <t>10%</t>
        </is>
      </c>
      <c r="D11" s="72" t="inlineStr">
        <is>
          <t>8–20%</t>
        </is>
      </c>
      <c r="E11" s="22" t="inlineStr">
        <is>
          <t>Реализация в конце срока</t>
        </is>
      </c>
    </row>
    <row r="12">
      <c r="B12" s="75" t="inlineStr">
        <is>
          <t>Время цикла экскавации</t>
        </is>
      </c>
      <c r="C12" s="76" t="inlineStr">
        <is>
          <t>37 сек</t>
        </is>
      </c>
      <c r="D12" s="76" t="inlineStr">
        <is>
          <t>28–45 сек</t>
        </is>
      </c>
      <c r="E12" s="75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72" t="inlineStr">
        <is>
          <t>0,87</t>
        </is>
      </c>
      <c r="D13" s="72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75" t="inlineStr">
        <is>
          <t>Эскалация ДТ / ТОиР / ФОТ</t>
        </is>
      </c>
      <c r="C14" s="76" t="inlineStr">
        <is>
          <t>4 / 5 / 6%</t>
        </is>
      </c>
      <c r="D14" s="76" t="inlineStr">
        <is>
          <t>3–8%/год</t>
        </is>
      </c>
      <c r="E14" s="75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77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77" t="inlineStr">
        <is>
          <t>•  Расход ДТ — ключевой драйвер OPEX; уточняйте по факту двигателя, а не по паспорту.</t>
        </is>
      </c>
    </row>
    <row r="19">
      <c r="B19" s="77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2026-07-17T09:02:27Z</dcterms:created>
  <dcterms:modified xsi:type="dcterms:W3CDTF">2026-07-17T09:02:27Z</dcterms:modified>
</cp:coreProperties>
</file>