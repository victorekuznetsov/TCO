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 t="str">
        <f>INDEX('Ввод данных'!D7:I7,MATCH(MIN('Расчёт аннуитета'!D23:I23),'Расчёт аннуитета'!D23:I23,0))</f>
        <v>TZCO TZ2000
Дзикай</v>
      </c>
      <c r="C6" s="13">
        <f>MIN('Расчёт аннуитета'!D23:I23)</f>
        <v>32.4301822102753</v>
      </c>
      <c r="D6" s="14">
        <f>MIN('Расчёт аннуитета'!D13:I13)</f>
        <v>397308.26787182206</v>
      </c>
      <c r="E6" s="13">
        <f>MAX('Расчёт аннуитета'!D23:I23)-MIN('Расчёт аннуитета'!D23:I23)</f>
        <v>114.55328278992022</v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 t="str">
        <f>INDEX('Ввод данных'!D7:I7,MATCH(SMALL('Расчёт аннуитета'!D23:I23,1),'Расчёт аннуитета'!D23:I23,0))</f>
        <v>TZCO TZ2000
Дзикай</v>
      </c>
      <c r="G10" s="20">
        <f>SMALL('Расчёт аннуитета'!D23:I23,1)</f>
        <v>32.4301822102753</v>
      </c>
      <c r="I10" s="21">
        <f>INDEX('Расчёт аннуитета'!$D$25:$I$25,MATCH(SMALL('Расчёт аннуитета'!D23:I23,1),'Расчёт аннуитета'!D23:I23,0))</f>
        <v>11.636233301139326</v>
      </c>
    </row>
    <row r="11">
      <c r="B11" s="18" t="n">
        <v>2</v>
      </c>
      <c r="C11" s="22" t="str">
        <f>INDEX('Ввод данных'!D7:I7,MATCH(SMALL('Расчёт аннуитета'!D23:I23,2),'Расчёт аннуитета'!D23:I23,0))</f>
        <v>Sany SY2000
АСТ</v>
      </c>
      <c r="G11" s="21">
        <f>SMALL('Расчёт аннуитета'!D23:I23,2)</f>
        <v>46.52360799892994</v>
      </c>
      <c r="I11" s="21">
        <f>INDEX('Расчёт аннуитета'!$D$25:$I$25,MATCH(SMALL('Расчёт аннуитета'!D23:I23,2),'Расчёт аннуитета'!D23:I23,0))</f>
        <v>16.693077861115874</v>
      </c>
    </row>
    <row r="12">
      <c r="B12" s="18" t="n">
        <v>3</v>
      </c>
      <c r="C12" s="22" t="str">
        <f>INDEX('Ввод данных'!D7:I7,MATCH(SMALL('Расчёт аннуитета'!D23:I23,3),'Расчёт аннуитета'!D23:I23,0))</f>
        <v>Zoomlion ZE2000G
Орикс</v>
      </c>
      <c r="G12" s="21">
        <f>SMALL('Расчёт аннуитета'!D23:I23,3)</f>
        <v>46.81769187841925</v>
      </c>
      <c r="I12" s="21">
        <f>INDEX('Расчёт аннуитета'!$D$25:$I$25,MATCH(SMALL('Расчёт аннуитета'!D23:I23,3),'Расчёт аннуитета'!D23:I23,0))</f>
        <v>16.798597731761483</v>
      </c>
    </row>
    <row r="13">
      <c r="B13" s="18" t="n">
        <v>4</v>
      </c>
      <c r="C13" s="22" t="str">
        <f>INDEX('Ввод данных'!D7:I7,MATCH(SMALL('Расчёт аннуитета'!D23:I23,4),'Расчёт аннуитета'!D23:I23,0))</f>
        <v>Komatsu PC2000-11R
ИСТК</v>
      </c>
      <c r="G13" s="21">
        <f>SMALL('Расчёт аннуитета'!D23:I23,4)</f>
        <v>48.70275606837497</v>
      </c>
      <c r="I13" s="21">
        <f>INDEX('Расчёт аннуитета'!$D$25:$I$25,MATCH(SMALL('Расчёт аннуитета'!D23:I23,4),'Расчёт аннуитета'!D23:I23,0))</f>
        <v>17.474975266729448</v>
      </c>
    </row>
    <row r="14">
      <c r="B14" s="18" t="n">
        <v>5</v>
      </c>
      <c r="C14" s="22" t="str">
        <f>INDEX('Ввод данных'!D7:I7,MATCH(SMALL('Расчёт аннуитета'!D23:I23,5),'Расчёт аннуитета'!D23:I23,0))</f>
        <v>Komatsu PC2000-8
Mining Solutions</v>
      </c>
      <c r="G14" s="21">
        <f>SMALL('Расчёт аннуитета'!D23:I23,5)</f>
        <v>67.89452309645975</v>
      </c>
      <c r="I14" s="21">
        <f>INDEX('Расчёт аннуитета'!$D$25:$I$25,MATCH(SMALL('Расчёт аннуитета'!D23:I23,5),'Расчёт аннуитета'!D23:I23,0))</f>
        <v>24.361149299052656</v>
      </c>
    </row>
    <row r="15">
      <c r="B15" s="18" t="n">
        <v>6</v>
      </c>
      <c r="C15" s="22" t="str">
        <f>INDEX('Ввод данных'!D7:I7,MATCH(SMALL('Расчёт аннуитета'!D23:I23,6),'Расчёт аннуитета'!D23:I23,0))</f>
        <v>Shantui SE2000LCW</v>
      </c>
      <c r="G15" s="21">
        <f>SMALL('Расчёт аннуитета'!D23:I23,6)</f>
        <v>146.9834650001955</v>
      </c>
      <c r="I15" s="21">
        <f>INDEX('Расчёт аннуитета'!$D$25:$I$25,MATCH(SMALL('Расчёт аннуитета'!D23:I23,6),'Расчёт аннуитета'!D23:I23,0))</f>
        <v>52.73895407254952</v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>5.650223028410867</v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>0.713907832291132</v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данных'!D7</f>
        <v>Komatsu PC2000-8
Mining Solutions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160.72</v>
      </c>
      <c r="F9" s="38">
        <f>F32</f>
        <v>377.53</v>
      </c>
      <c r="G9" s="38">
        <f>G32</f>
        <v>737.94</v>
      </c>
      <c r="H9" s="38">
        <f>H32</f>
        <v>828.05</v>
      </c>
      <c r="I9" s="38">
        <f>I32</f>
        <v>737.94</v>
      </c>
      <c r="J9" s="38">
        <f>J32</f>
        <v>1169.1</v>
      </c>
      <c r="K9" s="38">
        <f>K32</f>
        <v>1399.63</v>
      </c>
      <c r="L9" s="38">
        <f>L32</f>
        <v>894.37</v>
      </c>
      <c r="M9" s="38">
        <f>M32</f>
        <v>1842.78</v>
      </c>
      <c r="N9" s="38">
        <f>N32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225.25722222222223</v>
      </c>
      <c r="G10" s="38">
        <f>('Параметры'!C26-G8-G9)/'Параметры'!C33*20/60</f>
        <v>215.24583333333337</v>
      </c>
      <c r="H10" s="38">
        <f>('Параметры'!C26-H8-H9)/'Параметры'!C33*20/60</f>
        <v>212.7427777777778</v>
      </c>
      <c r="I10" s="38">
        <f>('Параметры'!C26-I8-I9)/'Параметры'!C33*20/60</f>
        <v>215.24583333333337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0.9000003170979199</v>
      </c>
      <c r="G11" s="39">
        <f>('Параметры'!C26-G8-G9-G10)/'Параметры'!C26</f>
        <v>0.8600004756468798</v>
      </c>
      <c r="H11" s="39">
        <f>('Параметры'!C26-H8-H9-H10)/'Параметры'!C26</f>
        <v>0.8499996829020803</v>
      </c>
      <c r="I11" s="39">
        <f>('Параметры'!C26-I8-I9-I10)/'Параметры'!C26</f>
        <v>0.8600004756468798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1.74</v>
      </c>
      <c r="F13" s="38">
        <f>F33</f>
        <v>1.74</v>
      </c>
      <c r="G13" s="38">
        <f>G33</f>
        <v>1.74</v>
      </c>
      <c r="H13" s="38">
        <f>H33</f>
        <v>1.74</v>
      </c>
      <c r="I13" s="38">
        <f>I33</f>
        <v>1.74</v>
      </c>
      <c r="J13" s="38">
        <f>J33</f>
        <v>1.74</v>
      </c>
      <c r="K13" s="38">
        <f>K33</f>
        <v>1.74</v>
      </c>
      <c r="L13" s="38">
        <f>L33</f>
        <v>1.74</v>
      </c>
      <c r="M13" s="38">
        <f>M33</f>
        <v>1.74</v>
      </c>
      <c r="N13" s="38">
        <f>N33</f>
        <v>1.74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1350.21</v>
      </c>
      <c r="G14" s="38">
        <f>G34</f>
        <v>1437.82</v>
      </c>
      <c r="H14" s="38">
        <f>H34</f>
        <v>1348.47</v>
      </c>
      <c r="I14" s="38">
        <f>I34</f>
        <v>7.51</v>
      </c>
      <c r="J14" s="38">
        <f>J34</f>
        <v>2736.9600000000005</v>
      </c>
      <c r="K14" s="38">
        <f>K34</f>
        <v>50.199999999999996</v>
      </c>
      <c r="L14" s="38">
        <f>L34</f>
        <v>2736.09</v>
      </c>
      <c r="M14" s="38">
        <f>M34</f>
        <v>51.93999999999999</v>
      </c>
      <c r="N14" s="38">
        <f>N34</f>
        <v>1305.78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28.520999999999997</v>
      </c>
      <c r="F15" s="38">
        <f>$E$30+F35</f>
        <v>51.321</v>
      </c>
      <c r="G15" s="38">
        <f>$E$30+G35</f>
        <v>48.921</v>
      </c>
      <c r="H15" s="38">
        <f>$E$30+H35</f>
        <v>50.120999999999995</v>
      </c>
      <c r="I15" s="38">
        <f>$E$30+I35</f>
        <v>30.921</v>
      </c>
      <c r="J15" s="38">
        <f>$E$30+J35</f>
        <v>63.321</v>
      </c>
      <c r="K15" s="38">
        <f>$E$30+K35</f>
        <v>36.921</v>
      </c>
      <c r="L15" s="38">
        <f>$E$30+L35</f>
        <v>62.120999999999995</v>
      </c>
      <c r="M15" s="38">
        <f>$E$30+M35</f>
        <v>38.120999999999995</v>
      </c>
      <c r="N15" s="38">
        <f>$E$30+N35</f>
        <v>44.120999999999995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137.78071999999997</v>
      </c>
      <c r="F16" s="38">
        <f>F12+F13+F14+F15</f>
        <v>1510.79072</v>
      </c>
      <c r="G16" s="38">
        <f>G12+G13+G14+G15</f>
        <v>1596.00072</v>
      </c>
      <c r="H16" s="38">
        <f>H12+H13+H14+H15</f>
        <v>1507.8507200000001</v>
      </c>
      <c r="I16" s="38">
        <f>I12+I13+I14+I15</f>
        <v>147.69072</v>
      </c>
      <c r="J16" s="38">
        <f>J12+J13+J14+J15</f>
        <v>2909.5407200000004</v>
      </c>
      <c r="K16" s="38">
        <f>K12+K13+K14+K15</f>
        <v>196.38071999999997</v>
      </c>
      <c r="L16" s="38">
        <f>L12+L13+L14+L15</f>
        <v>2907.4707200000003</v>
      </c>
      <c r="M16" s="38">
        <f>M12+M13+M14+M15</f>
        <v>199.32072</v>
      </c>
      <c r="N16" s="38">
        <f>N12+N13+N14+N15</f>
        <v>1459.16072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377.53</v>
      </c>
      <c r="G32" s="31" t="n">
        <v>737.9400000000001</v>
      </c>
      <c r="H32" s="31" t="n">
        <v>828.05</v>
      </c>
      <c r="I32" s="31" t="n">
        <v>737.9400000000001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1.74</v>
      </c>
      <c r="F33" s="38">
        <f>SUM(F70:F70)*$E$36</f>
        <v>1.74</v>
      </c>
      <c r="G33" s="38">
        <f>SUM(G70:G70)*$E$36</f>
        <v>1.74</v>
      </c>
      <c r="H33" s="38">
        <f>SUM(H70:H70)*$E$36</f>
        <v>1.74</v>
      </c>
      <c r="I33" s="38">
        <f>SUM(I70:I70)*$E$36</f>
        <v>1.74</v>
      </c>
      <c r="J33" s="38">
        <f>SUM(J70:J70)*$E$36</f>
        <v>1.74</v>
      </c>
      <c r="K33" s="38">
        <f>SUM(K70:K70)*$E$36</f>
        <v>1.74</v>
      </c>
      <c r="L33" s="38">
        <f>SUM(L70:L70)*$E$36</f>
        <v>1.74</v>
      </c>
      <c r="M33" s="38">
        <f>SUM(M70:M70)*$E$36</f>
        <v>1.74</v>
      </c>
      <c r="N33" s="38">
        <f>SUM(N70:N70)*$E$36</f>
        <v>1.74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>0.0</v>
      </c>
      <c r="F34" s="38">
        <f>SUM(F74:F103)*$E$36</f>
        <v>1350.21</v>
      </c>
      <c r="G34" s="38">
        <f>SUM(G74:G103)*$E$36</f>
        <v>1437.82</v>
      </c>
      <c r="H34" s="38">
        <f>SUM(H74:H103)*$E$36</f>
        <v>1348.47</v>
      </c>
      <c r="I34" s="38">
        <f>SUM(I74:I103)*$E$36</f>
        <v>7.51</v>
      </c>
      <c r="J34" s="38">
        <f>SUM(J74:J103)*$E$36</f>
        <v>2736.9600000000005</v>
      </c>
      <c r="K34" s="38">
        <f>SUM(K74:K103)*$E$36</f>
        <v>50.199999999999996</v>
      </c>
      <c r="L34" s="38">
        <f>SUM(L74:L103)*$E$36</f>
        <v>2736.09</v>
      </c>
      <c r="M34" s="38">
        <f>SUM(M74:M103)*$E$36</f>
        <v>51.93999999999999</v>
      </c>
      <c r="N34" s="38">
        <f>SUM(N74:N103)*$E$36</f>
        <v>1305.78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(SUMPRODUCT($P$70:$P$70,(E70:E70&gt;0)*1)+SUMPRODUCT($P$74:$P$103,(E74:E103&gt;0)*1))*$E$29/1000</f>
        <v>1.2</v>
      </c>
      <c r="F35" s="38">
        <f>(SUMPRODUCT($P$70:$P$70,(F70:F70&gt;0)*1)+SUMPRODUCT($P$74:$P$103,(F74:F103&gt;0)*1))*$E$29/1000</f>
        <v>24.0</v>
      </c>
      <c r="G35" s="38">
        <f>(SUMPRODUCT($P$70:$P$70,(G70:G70&gt;0)*1)+SUMPRODUCT($P$74:$P$103,(G74:G103&gt;0)*1))*$E$29/1000</f>
        <v>21.6</v>
      </c>
      <c r="H35" s="38">
        <f>(SUMPRODUCT($P$70:$P$70,(H70:H70&gt;0)*1)+SUMPRODUCT($P$74:$P$103,(H74:H103&gt;0)*1))*$E$29/1000</f>
        <v>22.8</v>
      </c>
      <c r="I35" s="38">
        <f>(SUMPRODUCT($P$70:$P$70,(I70:I70&gt;0)*1)+SUMPRODUCT($P$74:$P$103,(I74:I103&gt;0)*1))*$E$29/1000</f>
        <v>3.6</v>
      </c>
      <c r="J35" s="38">
        <f>(SUMPRODUCT($P$70:$P$70,(J70:J70&gt;0)*1)+SUMPRODUCT($P$74:$P$103,(J74:J103&gt;0)*1))*$E$29/1000</f>
        <v>36.0</v>
      </c>
      <c r="K35" s="38">
        <f>(SUMPRODUCT($P$70:$P$70,(K70:K70&gt;0)*1)+SUMPRODUCT($P$74:$P$103,(K74:K103&gt;0)*1))*$E$29/1000</f>
        <v>9.6</v>
      </c>
      <c r="L35" s="38">
        <f>(SUMPRODUCT($P$70:$P$70,(L70:L70&gt;0)*1)+SUMPRODUCT($P$74:$P$103,(L74:L103&gt;0)*1))*$E$29/1000</f>
        <v>34.8</v>
      </c>
      <c r="M35" s="38">
        <f>(SUMPRODUCT($P$70:$P$70,(M70:M70&gt;0)*1)+SUMPRODUCT($P$74:$P$103,(M74:M103&gt;0)*1))*$E$29/1000</f>
        <v>10.8</v>
      </c>
      <c r="N35" s="38">
        <f>(SUMPRODUCT($P$70:$P$70,(N70:N70&gt;0)*1)+SUMPRODUCT($P$74:$P$103,(N74:N103&gt;0)*1))*$E$29/1000</f>
        <v>16.8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Чистка радиаторов</t>
        </is>
      </c>
      <c r="C70" s="45" t="n">
        <v>1.74</v>
      </c>
      <c r="D70" s="47" t="n">
        <v>7000</v>
      </c>
      <c r="E70" s="46">
        <f>(INT($E$20*1/$D70)-INT($E$20*(1-1)/$D70))*$C70</f>
        <v>1.74</v>
      </c>
      <c r="F70" s="46">
        <f>(INT($E$20*2/$D70)-INT($E$20*(2-1)/$D70))*$C70</f>
        <v>1.74</v>
      </c>
      <c r="G70" s="46">
        <f>(INT($E$20*3/$D70)-INT($E$20*(3-1)/$D70))*$C70</f>
        <v>1.74</v>
      </c>
      <c r="H70" s="46">
        <f>(INT($E$20*4/$D70)-INT($E$20*(4-1)/$D70))*$C70</f>
        <v>1.74</v>
      </c>
      <c r="I70" s="46">
        <f>(INT($E$20*5/$D70)-INT($E$20*(5-1)/$D70))*$C70</f>
        <v>1.74</v>
      </c>
      <c r="J70" s="46">
        <f>(INT($E$20*6/$D70)-INT($E$20*(6-1)/$D70))*$C70</f>
        <v>1.74</v>
      </c>
      <c r="K70" s="46">
        <f>(INT($E$20*7/$D70)-INT($E$20*(7-1)/$D70))*$C70</f>
        <v>1.74</v>
      </c>
      <c r="L70" s="46">
        <f>(INT($E$20*8/$D70)-INT($E$20*(8-1)/$D70))*$C70</f>
        <v>1.74</v>
      </c>
      <c r="M70" s="46">
        <f>(INT($E$20*9/$D70)-INT($E$20*(9-1)/$D70))*$C70</f>
        <v>1.74</v>
      </c>
      <c r="N70" s="46">
        <f>(INT($E$20*10/$D70)-INT($E$20*(10-1)/$D70))*$C70</f>
        <v>1.74</v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Ремонт системы смазки</t>
        </is>
      </c>
      <c r="C74" s="45" t="n">
        <v>1.74</v>
      </c>
      <c r="D74" s="47" t="n">
        <v>10000</v>
      </c>
      <c r="E74" s="46">
        <f>(INT($E$20*1/$D74)-INT($E$20*(1-1)/$D74))*$C74</f>
        <v>0.0</v>
      </c>
      <c r="F74" s="46">
        <f>(INT($E$20*2/$D74)-INT($E$20*(2-1)/$D74))*$C74</f>
        <v>1.74</v>
      </c>
      <c r="G74" s="46">
        <f>(INT($E$20*3/$D74)-INT($E$20*(3-1)/$D74))*$C74</f>
        <v>1.74</v>
      </c>
      <c r="H74" s="46">
        <f>(INT($E$20*4/$D74)-INT($E$20*(4-1)/$D74))*$C74</f>
        <v>0.0</v>
      </c>
      <c r="I74" s="46">
        <f>(INT($E$20*5/$D74)-INT($E$20*(5-1)/$D74))*$C74</f>
        <v>1.74</v>
      </c>
      <c r="J74" s="46">
        <f>(INT($E$20*6/$D74)-INT($E$20*(6-1)/$D74))*$C74</f>
        <v>1.74</v>
      </c>
      <c r="K74" s="46">
        <f>(INT($E$20*7/$D74)-INT($E$20*(7-1)/$D74))*$C74</f>
        <v>0.0</v>
      </c>
      <c r="L74" s="46">
        <f>(INT($E$20*8/$D74)-INT($E$20*(8-1)/$D74))*$C74</f>
        <v>1.74</v>
      </c>
      <c r="M74" s="46">
        <f>(INT($E$20*9/$D74)-INT($E$20*(9-1)/$D74))*$C74</f>
        <v>1.74</v>
      </c>
      <c r="N74" s="46">
        <f>(INT($E$20*10/$D74)-INT($E$20*(10-1)/$D74))*$C74</f>
        <v>1.74</v>
      </c>
      <c r="P74" s="47" t="n">
        <v>24</v>
      </c>
    </row>
    <row r="75">
      <c r="B75" s="22" t="inlineStr">
        <is>
          <t>Ремонт системы кондиционир.</t>
        </is>
      </c>
      <c r="C75" s="45" t="n">
        <v>0.87</v>
      </c>
      <c r="D75" s="47" t="n">
        <v>12000</v>
      </c>
      <c r="E75" s="46">
        <f>(INT($E$20*1/$D75)-INT($E$20*(1-1)/$D75))*$C75</f>
        <v>0.0</v>
      </c>
      <c r="F75" s="46">
        <f>(INT($E$20*2/$D75)-INT($E$20*(2-1)/$D75))*$C75</f>
        <v>0.87</v>
      </c>
      <c r="G75" s="46">
        <f>(INT($E$20*3/$D75)-INT($E$20*(3-1)/$D75))*$C75</f>
        <v>0.0</v>
      </c>
      <c r="H75" s="46">
        <f>(INT($E$20*4/$D75)-INT($E$20*(4-1)/$D75))*$C75</f>
        <v>0.87</v>
      </c>
      <c r="I75" s="46">
        <f>(INT($E$20*5/$D75)-INT($E$20*(5-1)/$D75))*$C75</f>
        <v>0.0</v>
      </c>
      <c r="J75" s="46">
        <f>(INT($E$20*6/$D75)-INT($E$20*(6-1)/$D75))*$C75</f>
        <v>0.87</v>
      </c>
      <c r="K75" s="46">
        <f>(INT($E$20*7/$D75)-INT($E$20*(7-1)/$D75))*$C75</f>
        <v>0.87</v>
      </c>
      <c r="L75" s="46">
        <f>(INT($E$20*8/$D75)-INT($E$20*(8-1)/$D75))*$C75</f>
        <v>0.0</v>
      </c>
      <c r="M75" s="46">
        <f>(INT($E$20*9/$D75)-INT($E$20*(9-1)/$D75))*$C75</f>
        <v>0.87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Звёздочка</t>
        </is>
      </c>
      <c r="C76" s="45" t="n">
        <v>15.77</v>
      </c>
      <c r="D76" s="47" t="n">
        <v>17600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15.77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15.77</v>
      </c>
      <c r="K76" s="46">
        <f>(INT($E$20*7/$D76)-INT($E$20*(7-1)/$D76))*$C76</f>
        <v>0.0</v>
      </c>
      <c r="L76" s="46">
        <f>(INT($E$20*8/$D76)-INT($E$20*(8-1)/$D76))*$C76</f>
        <v>15.77</v>
      </c>
      <c r="M76" s="46">
        <f>(INT($E$20*9/$D76)-INT($E$20*(9-1)/$D76))*$C76</f>
        <v>0.0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Редуктор хода</t>
        </is>
      </c>
      <c r="C77" s="45" t="n">
        <v>471.3</v>
      </c>
      <c r="D77" s="47" t="n">
        <v>17600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471.3</v>
      </c>
      <c r="H77" s="46">
        <f>(INT($E$20*4/$D77)-INT($E$20*(4-1)/$D77))*$C77</f>
        <v>0.0</v>
      </c>
      <c r="I77" s="46">
        <f>(INT($E$20*5/$D77)-INT($E$20*(5-1)/$D77))*$C77</f>
        <v>0.0</v>
      </c>
      <c r="J77" s="46">
        <f>(INT($E$20*6/$D77)-INT($E$20*(6-1)/$D77))*$C77</f>
        <v>471.3</v>
      </c>
      <c r="K77" s="46">
        <f>(INT($E$20*7/$D77)-INT($E$20*(7-1)/$D77))*$C77</f>
        <v>0.0</v>
      </c>
      <c r="L77" s="46">
        <f>(INT($E$20*8/$D77)-INT($E$20*(8-1)/$D77))*$C77</f>
        <v>471.3</v>
      </c>
      <c r="M77" s="46">
        <f>(INT($E$20*9/$D77)-INT($E$20*(9-1)/$D77))*$C77</f>
        <v>0.0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Натяжное колесо</t>
        </is>
      </c>
      <c r="C78" s="45" t="n">
        <v>37.15</v>
      </c>
      <c r="D78" s="47" t="n">
        <v>17600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37.15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37.15</v>
      </c>
      <c r="K78" s="46">
        <f>(INT($E$20*7/$D78)-INT($E$20*(7-1)/$D78))*$C78</f>
        <v>0.0</v>
      </c>
      <c r="L78" s="46">
        <f>(INT($E$20*8/$D78)-INT($E$20*(8-1)/$D78))*$C78</f>
        <v>37.15</v>
      </c>
      <c r="M78" s="46">
        <f>(INT($E$20*9/$D78)-INT($E$20*(9-1)/$D78))*$C78</f>
        <v>0.0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Гусеничная лента</t>
        </is>
      </c>
      <c r="C79" s="45" t="n">
        <v>0.02</v>
      </c>
      <c r="D79" s="47" t="n">
        <v>17600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0.02</v>
      </c>
      <c r="H79" s="46">
        <f>(INT($E$20*4/$D79)-INT($E$20*(4-1)/$D79))*$C79</f>
        <v>0.0</v>
      </c>
      <c r="I79" s="46">
        <f>(INT($E$20*5/$D79)-INT($E$20*(5-1)/$D79))*$C79</f>
        <v>0.0</v>
      </c>
      <c r="J79" s="46">
        <f>(INT($E$20*6/$D79)-INT($E$20*(6-1)/$D79))*$C79</f>
        <v>0.02</v>
      </c>
      <c r="K79" s="46">
        <f>(INT($E$20*7/$D79)-INT($E$20*(7-1)/$D79))*$C79</f>
        <v>0.0</v>
      </c>
      <c r="L79" s="46">
        <f>(INT($E$20*8/$D79)-INT($E$20*(8-1)/$D79))*$C79</f>
        <v>0.02</v>
      </c>
      <c r="M79" s="46">
        <f>(INT($E$20*9/$D79)-INT($E$20*(9-1)/$D79))*$C79</f>
        <v>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Г. мотор хода</t>
        </is>
      </c>
      <c r="C80" s="45" t="n">
        <v>77.23999999999999</v>
      </c>
      <c r="D80" s="47" t="n">
        <v>13200</v>
      </c>
      <c r="E80" s="46">
        <f>(INT($E$20*1/$D80)-INT($E$20*(1-1)/$D80))*$C80</f>
        <v>0.0</v>
      </c>
      <c r="F80" s="46">
        <f>(INT($E$20*2/$D80)-INT($E$20*(2-1)/$D80))*$C80</f>
        <v>77.24</v>
      </c>
      <c r="G80" s="46">
        <f>(INT($E$20*3/$D80)-INT($E$20*(3-1)/$D80))*$C80</f>
        <v>0.0</v>
      </c>
      <c r="H80" s="46">
        <f>(INT($E$20*4/$D80)-INT($E$20*(4-1)/$D80))*$C80</f>
        <v>77.24</v>
      </c>
      <c r="I80" s="46">
        <f>(INT($E$20*5/$D80)-INT($E$20*(5-1)/$D80))*$C80</f>
        <v>0.0</v>
      </c>
      <c r="J80" s="46">
        <f>(INT($E$20*6/$D80)-INT($E$20*(6-1)/$D80))*$C80</f>
        <v>77.24</v>
      </c>
      <c r="K80" s="46">
        <f>(INT($E$20*7/$D80)-INT($E$20*(7-1)/$D80))*$C80</f>
        <v>0.0</v>
      </c>
      <c r="L80" s="46">
        <f>(INT($E$20*8/$D80)-INT($E$20*(8-1)/$D80))*$C80</f>
        <v>77.24</v>
      </c>
      <c r="M80" s="46">
        <f>(INT($E$20*9/$D80)-INT($E$20*(9-1)/$D80))*$C80</f>
        <v>0.0</v>
      </c>
      <c r="N80" s="46">
        <f>(INT($E$20*10/$D80)-INT($E$20*(10-1)/$D80))*$C80</f>
        <v>77.24</v>
      </c>
      <c r="P80" s="47" t="n">
        <v>24</v>
      </c>
    </row>
    <row r="81">
      <c r="B81" s="22" t="inlineStr">
        <is>
          <t>Поддерживающий каток</t>
        </is>
      </c>
      <c r="C81" s="45" t="n">
        <v>15</v>
      </c>
      <c r="D81" s="47" t="n">
        <v>17600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15.0</v>
      </c>
      <c r="H81" s="46">
        <f>(INT($E$20*4/$D81)-INT($E$20*(4-1)/$D81))*$C81</f>
        <v>0.0</v>
      </c>
      <c r="I81" s="46">
        <f>(INT($E$20*5/$D81)-INT($E$20*(5-1)/$D81))*$C81</f>
        <v>0.0</v>
      </c>
      <c r="J81" s="46">
        <f>(INT($E$20*6/$D81)-INT($E$20*(6-1)/$D81))*$C81</f>
        <v>15.0</v>
      </c>
      <c r="K81" s="46">
        <f>(INT($E$20*7/$D81)-INT($E$20*(7-1)/$D81))*$C81</f>
        <v>0.0</v>
      </c>
      <c r="L81" s="46">
        <f>(INT($E$20*8/$D81)-INT($E$20*(8-1)/$D81))*$C81</f>
        <v>15.0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Опорный каток</t>
        </is>
      </c>
      <c r="C82" s="45" t="n">
        <v>54.61</v>
      </c>
      <c r="D82" s="47" t="n">
        <v>17600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54.61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54.61</v>
      </c>
      <c r="K82" s="46">
        <f>(INT($E$20*7/$D82)-INT($E$20*(7-1)/$D82))*$C82</f>
        <v>0.0</v>
      </c>
      <c r="L82" s="46">
        <f>(INT($E$20*8/$D82)-INT($E$20*(8-1)/$D82))*$C82</f>
        <v>54.61</v>
      </c>
      <c r="M82" s="46">
        <f>(INT($E$20*9/$D82)-INT($E$20*(9-1)/$D82))*$C82</f>
        <v>0.0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Г. цилиндр стрелы</t>
        </is>
      </c>
      <c r="C83" s="45" t="n">
        <v>202.67</v>
      </c>
      <c r="D83" s="47" t="n">
        <v>13200</v>
      </c>
      <c r="E83" s="46">
        <f>(INT($E$20*1/$D83)-INT($E$20*(1-1)/$D83))*$C83</f>
        <v>0.0</v>
      </c>
      <c r="F83" s="46">
        <f>(INT($E$20*2/$D83)-INT($E$20*(2-1)/$D83))*$C83</f>
        <v>202.67</v>
      </c>
      <c r="G83" s="46">
        <f>(INT($E$20*3/$D83)-INT($E$20*(3-1)/$D83))*$C83</f>
        <v>0.0</v>
      </c>
      <c r="H83" s="46">
        <f>(INT($E$20*4/$D83)-INT($E$20*(4-1)/$D83))*$C83</f>
        <v>202.67</v>
      </c>
      <c r="I83" s="46">
        <f>(INT($E$20*5/$D83)-INT($E$20*(5-1)/$D83))*$C83</f>
        <v>0.0</v>
      </c>
      <c r="J83" s="46">
        <f>(INT($E$20*6/$D83)-INT($E$20*(6-1)/$D83))*$C83</f>
        <v>202.67</v>
      </c>
      <c r="K83" s="46">
        <f>(INT($E$20*7/$D83)-INT($E$20*(7-1)/$D83))*$C83</f>
        <v>0.0</v>
      </c>
      <c r="L83" s="46">
        <f>(INT($E$20*8/$D83)-INT($E$20*(8-1)/$D83))*$C83</f>
        <v>202.67</v>
      </c>
      <c r="M83" s="46">
        <f>(INT($E$20*9/$D83)-INT($E$20*(9-1)/$D83))*$C83</f>
        <v>0.0</v>
      </c>
      <c r="N83" s="46">
        <f>(INT($E$20*10/$D83)-INT($E$20*(10-1)/$D83))*$C83</f>
        <v>202.67</v>
      </c>
      <c r="P83" s="47" t="n">
        <v>24</v>
      </c>
    </row>
    <row r="84">
      <c r="B84" s="22" t="inlineStr">
        <is>
          <t>Г. цилиндр стрелы 2</t>
        </is>
      </c>
      <c r="C84" s="45" t="n">
        <v>172.32</v>
      </c>
      <c r="D84" s="47" t="n">
        <v>13200</v>
      </c>
      <c r="E84" s="46">
        <f>(INT($E$20*1/$D84)-INT($E$20*(1-1)/$D84))*$C84</f>
        <v>0.0</v>
      </c>
      <c r="F84" s="46">
        <f>(INT($E$20*2/$D84)-INT($E$20*(2-1)/$D84))*$C84</f>
        <v>172.32</v>
      </c>
      <c r="G84" s="46">
        <f>(INT($E$20*3/$D84)-INT($E$20*(3-1)/$D84))*$C84</f>
        <v>0.0</v>
      </c>
      <c r="H84" s="46">
        <f>(INT($E$20*4/$D84)-INT($E$20*(4-1)/$D84))*$C84</f>
        <v>172.32</v>
      </c>
      <c r="I84" s="46">
        <f>(INT($E$20*5/$D84)-INT($E$20*(5-1)/$D84))*$C84</f>
        <v>0.0</v>
      </c>
      <c r="J84" s="46">
        <f>(INT($E$20*6/$D84)-INT($E$20*(6-1)/$D84))*$C84</f>
        <v>172.32</v>
      </c>
      <c r="K84" s="46">
        <f>(INT($E$20*7/$D84)-INT($E$20*(7-1)/$D84))*$C84</f>
        <v>0.0</v>
      </c>
      <c r="L84" s="46">
        <f>(INT($E$20*8/$D84)-INT($E$20*(8-1)/$D84))*$C84</f>
        <v>172.32</v>
      </c>
      <c r="M84" s="46">
        <f>(INT($E$20*9/$D84)-INT($E$20*(9-1)/$D84))*$C84</f>
        <v>0.0</v>
      </c>
      <c r="N84" s="46">
        <f>(INT($E$20*10/$D84)-INT($E$20*(10-1)/$D84))*$C84</f>
        <v>172.32</v>
      </c>
      <c r="P84" s="47" t="n">
        <v>24</v>
      </c>
    </row>
    <row r="85">
      <c r="B85" s="22" t="inlineStr">
        <is>
          <t>Г. цилиндр рукояти</t>
        </is>
      </c>
      <c r="C85" s="45" t="n">
        <v>63.37</v>
      </c>
      <c r="D85" s="47" t="n">
        <v>13200</v>
      </c>
      <c r="E85" s="46">
        <f>(INT($E$20*1/$D85)-INT($E$20*(1-1)/$D85))*$C85</f>
        <v>0.0</v>
      </c>
      <c r="F85" s="46">
        <f>(INT($E$20*2/$D85)-INT($E$20*(2-1)/$D85))*$C85</f>
        <v>63.37</v>
      </c>
      <c r="G85" s="46">
        <f>(INT($E$20*3/$D85)-INT($E$20*(3-1)/$D85))*$C85</f>
        <v>0.0</v>
      </c>
      <c r="H85" s="46">
        <f>(INT($E$20*4/$D85)-INT($E$20*(4-1)/$D85))*$C85</f>
        <v>63.37</v>
      </c>
      <c r="I85" s="46">
        <f>(INT($E$20*5/$D85)-INT($E$20*(5-1)/$D85))*$C85</f>
        <v>0.0</v>
      </c>
      <c r="J85" s="46">
        <f>(INT($E$20*6/$D85)-INT($E$20*(6-1)/$D85))*$C85</f>
        <v>63.37</v>
      </c>
      <c r="K85" s="46">
        <f>(INT($E$20*7/$D85)-INT($E$20*(7-1)/$D85))*$C85</f>
        <v>0.0</v>
      </c>
      <c r="L85" s="46">
        <f>(INT($E$20*8/$D85)-INT($E$20*(8-1)/$D85))*$C85</f>
        <v>63.37</v>
      </c>
      <c r="M85" s="46">
        <f>(INT($E$20*9/$D85)-INT($E$20*(9-1)/$D85))*$C85</f>
        <v>0.0</v>
      </c>
      <c r="N85" s="46">
        <f>(INT($E$20*10/$D85)-INT($E$20*(10-1)/$D85))*$C85</f>
        <v>63.37</v>
      </c>
      <c r="P85" s="47" t="n">
        <v>24</v>
      </c>
    </row>
    <row r="86">
      <c r="B86" s="22" t="inlineStr">
        <is>
          <t>Г. цилиндр ковша</t>
        </is>
      </c>
      <c r="C86" s="45" t="n">
        <v>106.59</v>
      </c>
      <c r="D86" s="47" t="n">
        <v>13200</v>
      </c>
      <c r="E86" s="46">
        <f>(INT($E$20*1/$D86)-INT($E$20*(1-1)/$D86))*$C86</f>
        <v>0.0</v>
      </c>
      <c r="F86" s="46">
        <f>(INT($E$20*2/$D86)-INT($E$20*(2-1)/$D86))*$C86</f>
        <v>106.59</v>
      </c>
      <c r="G86" s="46">
        <f>(INT($E$20*3/$D86)-INT($E$20*(3-1)/$D86))*$C86</f>
        <v>0.0</v>
      </c>
      <c r="H86" s="46">
        <f>(INT($E$20*4/$D86)-INT($E$20*(4-1)/$D86))*$C86</f>
        <v>106.59</v>
      </c>
      <c r="I86" s="46">
        <f>(INT($E$20*5/$D86)-INT($E$20*(5-1)/$D86))*$C86</f>
        <v>0.0</v>
      </c>
      <c r="J86" s="46">
        <f>(INT($E$20*6/$D86)-INT($E$20*(6-1)/$D86))*$C86</f>
        <v>106.59</v>
      </c>
      <c r="K86" s="46">
        <f>(INT($E$20*7/$D86)-INT($E$20*(7-1)/$D86))*$C86</f>
        <v>0.0</v>
      </c>
      <c r="L86" s="46">
        <f>(INT($E$20*8/$D86)-INT($E$20*(8-1)/$D86))*$C86</f>
        <v>106.59</v>
      </c>
      <c r="M86" s="46">
        <f>(INT($E$20*9/$D86)-INT($E$20*(9-1)/$D86))*$C86</f>
        <v>0.0</v>
      </c>
      <c r="N86" s="46">
        <f>(INT($E$20*10/$D86)-INT($E$20*(10-1)/$D86))*$C86</f>
        <v>106.59</v>
      </c>
      <c r="P86" s="47" t="n">
        <v>24</v>
      </c>
    </row>
    <row r="87">
      <c r="B87" s="22" t="inlineStr">
        <is>
          <t>Г. распределитель</t>
        </is>
      </c>
      <c r="C87" s="45" t="n">
        <v>130.6</v>
      </c>
      <c r="D87" s="47" t="n">
        <v>13200</v>
      </c>
      <c r="E87" s="46">
        <f>(INT($E$20*1/$D87)-INT($E$20*(1-1)/$D87))*$C87</f>
        <v>0.0</v>
      </c>
      <c r="F87" s="46">
        <f>(INT($E$20*2/$D87)-INT($E$20*(2-1)/$D87))*$C87</f>
        <v>130.6</v>
      </c>
      <c r="G87" s="46">
        <f>(INT($E$20*3/$D87)-INT($E$20*(3-1)/$D87))*$C87</f>
        <v>0.0</v>
      </c>
      <c r="H87" s="46">
        <f>(INT($E$20*4/$D87)-INT($E$20*(4-1)/$D87))*$C87</f>
        <v>130.6</v>
      </c>
      <c r="I87" s="46">
        <f>(INT($E$20*5/$D87)-INT($E$20*(5-1)/$D87))*$C87</f>
        <v>0.0</v>
      </c>
      <c r="J87" s="46">
        <f>(INT($E$20*6/$D87)-INT($E$20*(6-1)/$D87))*$C87</f>
        <v>130.6</v>
      </c>
      <c r="K87" s="46">
        <f>(INT($E$20*7/$D87)-INT($E$20*(7-1)/$D87))*$C87</f>
        <v>0.0</v>
      </c>
      <c r="L87" s="46">
        <f>(INT($E$20*8/$D87)-INT($E$20*(8-1)/$D87))*$C87</f>
        <v>130.6</v>
      </c>
      <c r="M87" s="46">
        <f>(INT($E$20*9/$D87)-INT($E$20*(9-1)/$D87))*$C87</f>
        <v>0.0</v>
      </c>
      <c r="N87" s="46">
        <f>(INT($E$20*10/$D87)-INT($E$20*(10-1)/$D87))*$C87</f>
        <v>130.6</v>
      </c>
      <c r="P87" s="47" t="n">
        <v>24</v>
      </c>
    </row>
    <row r="88">
      <c r="B88" s="22" t="inlineStr">
        <is>
          <t>Г. распределитель 2</t>
        </is>
      </c>
      <c r="C88" s="45" t="n">
        <v>113.19</v>
      </c>
      <c r="D88" s="47" t="n">
        <v>13200</v>
      </c>
      <c r="E88" s="46">
        <f>(INT($E$20*1/$D88)-INT($E$20*(1-1)/$D88))*$C88</f>
        <v>0.0</v>
      </c>
      <c r="F88" s="46">
        <f>(INT($E$20*2/$D88)-INT($E$20*(2-1)/$D88))*$C88</f>
        <v>113.19</v>
      </c>
      <c r="G88" s="46">
        <f>(INT($E$20*3/$D88)-INT($E$20*(3-1)/$D88))*$C88</f>
        <v>0.0</v>
      </c>
      <c r="H88" s="46">
        <f>(INT($E$20*4/$D88)-INT($E$20*(4-1)/$D88))*$C88</f>
        <v>113.19</v>
      </c>
      <c r="I88" s="46">
        <f>(INT($E$20*5/$D88)-INT($E$20*(5-1)/$D88))*$C88</f>
        <v>0.0</v>
      </c>
      <c r="J88" s="46">
        <f>(INT($E$20*6/$D88)-INT($E$20*(6-1)/$D88))*$C88</f>
        <v>113.19</v>
      </c>
      <c r="K88" s="46">
        <f>(INT($E$20*7/$D88)-INT($E$20*(7-1)/$D88))*$C88</f>
        <v>0.0</v>
      </c>
      <c r="L88" s="46">
        <f>(INT($E$20*8/$D88)-INT($E$20*(8-1)/$D88))*$C88</f>
        <v>113.19</v>
      </c>
      <c r="M88" s="46">
        <f>(INT($E$20*9/$D88)-INT($E$20*(9-1)/$D88))*$C88</f>
        <v>0.0</v>
      </c>
      <c r="N88" s="46">
        <f>(INT($E$20*10/$D88)-INT($E$20*(10-1)/$D88))*$C88</f>
        <v>113.19</v>
      </c>
      <c r="P88" s="47" t="n">
        <v>24</v>
      </c>
    </row>
    <row r="89">
      <c r="B89" s="22" t="inlineStr">
        <is>
          <t>Г.насос управления</t>
        </is>
      </c>
      <c r="C89" s="45" t="n">
        <v>57.01</v>
      </c>
      <c r="D89" s="47" t="n">
        <v>13200</v>
      </c>
      <c r="E89" s="46">
        <f>(INT($E$20*1/$D89)-INT($E$20*(1-1)/$D89))*$C89</f>
        <v>0.0</v>
      </c>
      <c r="F89" s="46">
        <f>(INT($E$20*2/$D89)-INT($E$20*(2-1)/$D89))*$C89</f>
        <v>57.01</v>
      </c>
      <c r="G89" s="46">
        <f>(INT($E$20*3/$D89)-INT($E$20*(3-1)/$D89))*$C89</f>
        <v>0.0</v>
      </c>
      <c r="H89" s="46">
        <f>(INT($E$20*4/$D89)-INT($E$20*(4-1)/$D89))*$C89</f>
        <v>57.01</v>
      </c>
      <c r="I89" s="46">
        <f>(INT($E$20*5/$D89)-INT($E$20*(5-1)/$D89))*$C89</f>
        <v>0.0</v>
      </c>
      <c r="J89" s="46">
        <f>(INT($E$20*6/$D89)-INT($E$20*(6-1)/$D89))*$C89</f>
        <v>57.01</v>
      </c>
      <c r="K89" s="46">
        <f>(INT($E$20*7/$D89)-INT($E$20*(7-1)/$D89))*$C89</f>
        <v>0.0</v>
      </c>
      <c r="L89" s="46">
        <f>(INT($E$20*8/$D89)-INT($E$20*(8-1)/$D89))*$C89</f>
        <v>57.01</v>
      </c>
      <c r="M89" s="46">
        <f>(INT($E$20*9/$D89)-INT($E$20*(9-1)/$D89))*$C89</f>
        <v>0.0</v>
      </c>
      <c r="N89" s="46">
        <f>(INT($E$20*10/$D89)-INT($E$20*(10-1)/$D89))*$C89</f>
        <v>57.01</v>
      </c>
      <c r="P89" s="47" t="n">
        <v>24</v>
      </c>
    </row>
    <row r="90">
      <c r="B90" s="22" t="inlineStr">
        <is>
          <t>Г.насос</t>
        </is>
      </c>
      <c r="C90" s="45" t="n">
        <v>131.96</v>
      </c>
      <c r="D90" s="47" t="n">
        <v>13200</v>
      </c>
      <c r="E90" s="46">
        <f>(INT($E$20*1/$D90)-INT($E$20*(1-1)/$D90))*$C90</f>
        <v>0.0</v>
      </c>
      <c r="F90" s="46">
        <f>(INT($E$20*2/$D90)-INT($E$20*(2-1)/$D90))*$C90</f>
        <v>131.96</v>
      </c>
      <c r="G90" s="46">
        <f>(INT($E$20*3/$D90)-INT($E$20*(3-1)/$D90))*$C90</f>
        <v>0.0</v>
      </c>
      <c r="H90" s="46">
        <f>(INT($E$20*4/$D90)-INT($E$20*(4-1)/$D90))*$C90</f>
        <v>131.96</v>
      </c>
      <c r="I90" s="46">
        <f>(INT($E$20*5/$D90)-INT($E$20*(5-1)/$D90))*$C90</f>
        <v>0.0</v>
      </c>
      <c r="J90" s="46">
        <f>(INT($E$20*6/$D90)-INT($E$20*(6-1)/$D90))*$C90</f>
        <v>131.96</v>
      </c>
      <c r="K90" s="46">
        <f>(INT($E$20*7/$D90)-INT($E$20*(7-1)/$D90))*$C90</f>
        <v>0.0</v>
      </c>
      <c r="L90" s="46">
        <f>(INT($E$20*8/$D90)-INT($E$20*(8-1)/$D90))*$C90</f>
        <v>131.96</v>
      </c>
      <c r="M90" s="46">
        <f>(INT($E$20*9/$D90)-INT($E$20*(9-1)/$D90))*$C90</f>
        <v>0.0</v>
      </c>
      <c r="N90" s="46">
        <f>(INT($E$20*10/$D90)-INT($E$20*(10-1)/$D90))*$C90</f>
        <v>131.96</v>
      </c>
      <c r="P90" s="47" t="n">
        <v>24</v>
      </c>
    </row>
    <row r="91">
      <c r="B91" s="22" t="inlineStr">
        <is>
          <t>Г.мотор вентилятора</t>
        </is>
      </c>
      <c r="C91" s="45" t="n">
        <v>24.82</v>
      </c>
      <c r="D91" s="47" t="n">
        <v>13200</v>
      </c>
      <c r="E91" s="46">
        <f>(INT($E$20*1/$D91)-INT($E$20*(1-1)/$D91))*$C91</f>
        <v>0.0</v>
      </c>
      <c r="F91" s="46">
        <f>(INT($E$20*2/$D91)-INT($E$20*(2-1)/$D91))*$C91</f>
        <v>24.82</v>
      </c>
      <c r="G91" s="46">
        <f>(INT($E$20*3/$D91)-INT($E$20*(3-1)/$D91))*$C91</f>
        <v>0.0</v>
      </c>
      <c r="H91" s="46">
        <f>(INT($E$20*4/$D91)-INT($E$20*(4-1)/$D91))*$C91</f>
        <v>24.82</v>
      </c>
      <c r="I91" s="46">
        <f>(INT($E$20*5/$D91)-INT($E$20*(5-1)/$D91))*$C91</f>
        <v>0.0</v>
      </c>
      <c r="J91" s="46">
        <f>(INT($E$20*6/$D91)-INT($E$20*(6-1)/$D91))*$C91</f>
        <v>24.82</v>
      </c>
      <c r="K91" s="46">
        <f>(INT($E$20*7/$D91)-INT($E$20*(7-1)/$D91))*$C91</f>
        <v>0.0</v>
      </c>
      <c r="L91" s="46">
        <f>(INT($E$20*8/$D91)-INT($E$20*(8-1)/$D91))*$C91</f>
        <v>24.82</v>
      </c>
      <c r="M91" s="46">
        <f>(INT($E$20*9/$D91)-INT($E$20*(9-1)/$D91))*$C91</f>
        <v>0.0</v>
      </c>
      <c r="N91" s="46">
        <f>(INT($E$20*10/$D91)-INT($E$20*(10-1)/$D91))*$C91</f>
        <v>24.82</v>
      </c>
      <c r="P91" s="47" t="n">
        <v>24</v>
      </c>
    </row>
    <row r="92">
      <c r="B92" s="22" t="inlineStr">
        <is>
          <t>Г. мотор поворота</t>
        </is>
      </c>
      <c r="C92" s="45" t="n">
        <v>46.44</v>
      </c>
      <c r="D92" s="47" t="n">
        <v>13200</v>
      </c>
      <c r="E92" s="46">
        <f>(INT($E$20*1/$D92)-INT($E$20*(1-1)/$D92))*$C92</f>
        <v>0.0</v>
      </c>
      <c r="F92" s="46">
        <f>(INT($E$20*2/$D92)-INT($E$20*(2-1)/$D92))*$C92</f>
        <v>46.44</v>
      </c>
      <c r="G92" s="46">
        <f>(INT($E$20*3/$D92)-INT($E$20*(3-1)/$D92))*$C92</f>
        <v>0.0</v>
      </c>
      <c r="H92" s="46">
        <f>(INT($E$20*4/$D92)-INT($E$20*(4-1)/$D92))*$C92</f>
        <v>46.44</v>
      </c>
      <c r="I92" s="46">
        <f>(INT($E$20*5/$D92)-INT($E$20*(5-1)/$D92))*$C92</f>
        <v>0.0</v>
      </c>
      <c r="J92" s="46">
        <f>(INT($E$20*6/$D92)-INT($E$20*(6-1)/$D92))*$C92</f>
        <v>46.44</v>
      </c>
      <c r="K92" s="46">
        <f>(INT($E$20*7/$D92)-INT($E$20*(7-1)/$D92))*$C92</f>
        <v>0.0</v>
      </c>
      <c r="L92" s="46">
        <f>(INT($E$20*8/$D92)-INT($E$20*(8-1)/$D92))*$C92</f>
        <v>46.44</v>
      </c>
      <c r="M92" s="46">
        <f>(INT($E$20*9/$D92)-INT($E$20*(9-1)/$D92))*$C92</f>
        <v>0.0</v>
      </c>
      <c r="N92" s="46">
        <f>(INT($E$20*10/$D92)-INT($E$20*(10-1)/$D92))*$C92</f>
        <v>46.44</v>
      </c>
      <c r="P92" s="47" t="n">
        <v>24</v>
      </c>
    </row>
    <row r="93">
      <c r="B93" s="22" t="inlineStr">
        <is>
          <t>Поворотный круг</t>
        </is>
      </c>
      <c r="C93" s="45" t="n">
        <v>147.17</v>
      </c>
      <c r="D93" s="47" t="n">
        <v>17600</v>
      </c>
      <c r="E93" s="46">
        <f>(INT($E$20*1/$D93)-INT($E$20*(1-1)/$D93))*$C93</f>
        <v>0.0</v>
      </c>
      <c r="F93" s="46">
        <f>(INT($E$20*2/$D93)-INT($E$20*(2-1)/$D93))*$C93</f>
        <v>0.0</v>
      </c>
      <c r="G93" s="46">
        <f>(INT($E$20*3/$D93)-INT($E$20*(3-1)/$D93))*$C93</f>
        <v>147.17</v>
      </c>
      <c r="H93" s="46">
        <f>(INT($E$20*4/$D93)-INT($E$20*(4-1)/$D93))*$C93</f>
        <v>0.0</v>
      </c>
      <c r="I93" s="46">
        <f>(INT($E$20*5/$D93)-INT($E$20*(5-1)/$D93))*$C93</f>
        <v>0.0</v>
      </c>
      <c r="J93" s="46">
        <f>(INT($E$20*6/$D93)-INT($E$20*(6-1)/$D93))*$C93</f>
        <v>147.17</v>
      </c>
      <c r="K93" s="46">
        <f>(INT($E$20*7/$D93)-INT($E$20*(7-1)/$D93))*$C93</f>
        <v>0.0</v>
      </c>
      <c r="L93" s="46">
        <f>(INT($E$20*8/$D93)-INT($E$20*(8-1)/$D93))*$C93</f>
        <v>147.17</v>
      </c>
      <c r="M93" s="46">
        <f>(INT($E$20*9/$D93)-INT($E$20*(9-1)/$D93))*$C93</f>
        <v>0.0</v>
      </c>
      <c r="N93" s="46">
        <f>(INT($E$20*10/$D93)-INT($E$20*(10-1)/$D93))*$C93</f>
        <v>0.0</v>
      </c>
      <c r="P93" s="47" t="n">
        <v>24</v>
      </c>
    </row>
    <row r="94">
      <c r="B94" s="22" t="inlineStr">
        <is>
          <t>Редуктор поворота</t>
        </is>
      </c>
      <c r="C94" s="45" t="n">
        <v>177.83</v>
      </c>
      <c r="D94" s="47" t="n">
        <v>13200</v>
      </c>
      <c r="E94" s="46">
        <f>(INT($E$20*1/$D94)-INT($E$20*(1-1)/$D94))*$C94</f>
        <v>0.0</v>
      </c>
      <c r="F94" s="46">
        <f>(INT($E$20*2/$D94)-INT($E$20*(2-1)/$D94))*$C94</f>
        <v>177.83</v>
      </c>
      <c r="G94" s="46">
        <f>(INT($E$20*3/$D94)-INT($E$20*(3-1)/$D94))*$C94</f>
        <v>0.0</v>
      </c>
      <c r="H94" s="46">
        <f>(INT($E$20*4/$D94)-INT($E$20*(4-1)/$D94))*$C94</f>
        <v>177.83</v>
      </c>
      <c r="I94" s="46">
        <f>(INT($E$20*5/$D94)-INT($E$20*(5-1)/$D94))*$C94</f>
        <v>0.0</v>
      </c>
      <c r="J94" s="46">
        <f>(INT($E$20*6/$D94)-INT($E$20*(6-1)/$D94))*$C94</f>
        <v>177.83</v>
      </c>
      <c r="K94" s="46">
        <f>(INT($E$20*7/$D94)-INT($E$20*(7-1)/$D94))*$C94</f>
        <v>0.0</v>
      </c>
      <c r="L94" s="46">
        <f>(INT($E$20*8/$D94)-INT($E$20*(8-1)/$D94))*$C94</f>
        <v>177.83</v>
      </c>
      <c r="M94" s="46">
        <f>(INT($E$20*9/$D94)-INT($E$20*(9-1)/$D94))*$C94</f>
        <v>0.0</v>
      </c>
      <c r="N94" s="46">
        <f>(INT($E$20*10/$D94)-INT($E$20*(10-1)/$D94))*$C94</f>
        <v>177.83</v>
      </c>
      <c r="P94" s="47" t="n">
        <v>24</v>
      </c>
    </row>
    <row r="95">
      <c r="B95" s="22" t="inlineStr">
        <is>
          <t>ДВС</t>
        </is>
      </c>
      <c r="C95" s="45" t="n">
        <v>403.8</v>
      </c>
      <c r="D95" s="47" t="n">
        <v>17600</v>
      </c>
      <c r="E95" s="46">
        <f>(INT($E$20*1/$D95)-INT($E$20*(1-1)/$D95))*$C95</f>
        <v>0.0</v>
      </c>
      <c r="F95" s="46">
        <f>(INT($E$20*2/$D95)-INT($E$20*(2-1)/$D95))*$C95</f>
        <v>0.0</v>
      </c>
      <c r="G95" s="46">
        <f>(INT($E$20*3/$D95)-INT($E$20*(3-1)/$D95))*$C95</f>
        <v>403.8</v>
      </c>
      <c r="H95" s="46">
        <f>(INT($E$20*4/$D95)-INT($E$20*(4-1)/$D95))*$C95</f>
        <v>0.0</v>
      </c>
      <c r="I95" s="46">
        <f>(INT($E$20*5/$D95)-INT($E$20*(5-1)/$D95))*$C95</f>
        <v>0.0</v>
      </c>
      <c r="J95" s="46">
        <f>(INT($E$20*6/$D95)-INT($E$20*(6-1)/$D95))*$C95</f>
        <v>403.8</v>
      </c>
      <c r="K95" s="46">
        <f>(INT($E$20*7/$D95)-INT($E$20*(7-1)/$D95))*$C95</f>
        <v>0.0</v>
      </c>
      <c r="L95" s="46">
        <f>(INT($E$20*8/$D95)-INT($E$20*(8-1)/$D95))*$C95</f>
        <v>403.8</v>
      </c>
      <c r="M95" s="46">
        <f>(INT($E$20*9/$D95)-INT($E$20*(9-1)/$D95))*$C95</f>
        <v>0.0</v>
      </c>
      <c r="N95" s="46">
        <f>(INT($E$20*10/$D95)-INT($E$20*(10-1)/$D95))*$C95</f>
        <v>0.0</v>
      </c>
      <c r="P95" s="47" t="n">
        <v>24</v>
      </c>
    </row>
    <row r="96">
      <c r="B96" s="22" t="inlineStr">
        <is>
          <t>Механизм отбора мощности</t>
        </is>
      </c>
      <c r="C96" s="45" t="n">
        <v>231.28</v>
      </c>
      <c r="D96" s="47" t="n">
        <v>17600</v>
      </c>
      <c r="E96" s="46">
        <f>(INT($E$20*1/$D96)-INT($E$20*(1-1)/$D96))*$C96</f>
        <v>0.0</v>
      </c>
      <c r="F96" s="46">
        <f>(INT($E$20*2/$D96)-INT($E$20*(2-1)/$D96))*$C96</f>
        <v>0.0</v>
      </c>
      <c r="G96" s="46">
        <f>(INT($E$20*3/$D96)-INT($E$20*(3-1)/$D96))*$C96</f>
        <v>231.28</v>
      </c>
      <c r="H96" s="46">
        <f>(INT($E$20*4/$D96)-INT($E$20*(4-1)/$D96))*$C96</f>
        <v>0.0</v>
      </c>
      <c r="I96" s="46">
        <f>(INT($E$20*5/$D96)-INT($E$20*(5-1)/$D96))*$C96</f>
        <v>0.0</v>
      </c>
      <c r="J96" s="46">
        <f>(INT($E$20*6/$D96)-INT($E$20*(6-1)/$D96))*$C96</f>
        <v>231.28</v>
      </c>
      <c r="K96" s="46">
        <f>(INT($E$20*7/$D96)-INT($E$20*(7-1)/$D96))*$C96</f>
        <v>0.0</v>
      </c>
      <c r="L96" s="46">
        <f>(INT($E$20*8/$D96)-INT($E$20*(8-1)/$D96))*$C96</f>
        <v>231.28</v>
      </c>
      <c r="M96" s="46">
        <f>(INT($E$20*9/$D96)-INT($E$20*(9-1)/$D96))*$C96</f>
        <v>0.0</v>
      </c>
      <c r="N96" s="46">
        <f>(INT($E$20*10/$D96)-INT($E$20*(10-1)/$D96))*$C96</f>
        <v>0.0</v>
      </c>
      <c r="P96" s="47" t="n">
        <v>24</v>
      </c>
    </row>
    <row r="97">
      <c r="B97" s="22" t="inlineStr">
        <is>
          <t>Турбокомпрессор</t>
        </is>
      </c>
      <c r="C97" s="45" t="n">
        <v>9.57</v>
      </c>
      <c r="D97" s="47" t="n">
        <v>8800</v>
      </c>
      <c r="E97" s="46">
        <f>(INT($E$20*1/$D97)-INT($E$20*(1-1)/$D97))*$C97</f>
        <v>0.0</v>
      </c>
      <c r="F97" s="46">
        <f>(INT($E$20*2/$D97)-INT($E$20*(2-1)/$D97))*$C97</f>
        <v>9.57</v>
      </c>
      <c r="G97" s="46">
        <f>(INT($E$20*3/$D97)-INT($E$20*(3-1)/$D97))*$C97</f>
        <v>9.57</v>
      </c>
      <c r="H97" s="46">
        <f>(INT($E$20*4/$D97)-INT($E$20*(4-1)/$D97))*$C97</f>
        <v>9.57</v>
      </c>
      <c r="I97" s="46">
        <f>(INT($E$20*5/$D97)-INT($E$20*(5-1)/$D97))*$C97</f>
        <v>0.0</v>
      </c>
      <c r="J97" s="46">
        <f>(INT($E$20*6/$D97)-INT($E$20*(6-1)/$D97))*$C97</f>
        <v>9.57</v>
      </c>
      <c r="K97" s="46">
        <f>(INT($E$20*7/$D97)-INT($E$20*(7-1)/$D97))*$C97</f>
        <v>9.57</v>
      </c>
      <c r="L97" s="46">
        <f>(INT($E$20*8/$D97)-INT($E$20*(8-1)/$D97))*$C97</f>
        <v>9.57</v>
      </c>
      <c r="M97" s="46">
        <f>(INT($E$20*9/$D97)-INT($E$20*(9-1)/$D97))*$C97</f>
        <v>9.57</v>
      </c>
      <c r="N97" s="46">
        <f>(INT($E$20*10/$D97)-INT($E$20*(10-1)/$D97))*$C97</f>
        <v>0.0</v>
      </c>
      <c r="P97" s="47" t="n">
        <v>24</v>
      </c>
    </row>
    <row r="98">
      <c r="B98" s="22" t="inlineStr">
        <is>
          <t>Турбокомпрессор 2</t>
        </is>
      </c>
      <c r="C98" s="45" t="n">
        <v>8.26</v>
      </c>
      <c r="D98" s="47" t="n">
        <v>8800</v>
      </c>
      <c r="E98" s="46">
        <f>(INT($E$20*1/$D98)-INT($E$20*(1-1)/$D98))*$C98</f>
        <v>0.0</v>
      </c>
      <c r="F98" s="46">
        <f>(INT($E$20*2/$D98)-INT($E$20*(2-1)/$D98))*$C98</f>
        <v>8.26</v>
      </c>
      <c r="G98" s="46">
        <f>(INT($E$20*3/$D98)-INT($E$20*(3-1)/$D98))*$C98</f>
        <v>8.26</v>
      </c>
      <c r="H98" s="46">
        <f>(INT($E$20*4/$D98)-INT($E$20*(4-1)/$D98))*$C98</f>
        <v>8.26</v>
      </c>
      <c r="I98" s="46">
        <f>(INT($E$20*5/$D98)-INT($E$20*(5-1)/$D98))*$C98</f>
        <v>0.0</v>
      </c>
      <c r="J98" s="46">
        <f>(INT($E$20*6/$D98)-INT($E$20*(6-1)/$D98))*$C98</f>
        <v>8.26</v>
      </c>
      <c r="K98" s="46">
        <f>(INT($E$20*7/$D98)-INT($E$20*(7-1)/$D98))*$C98</f>
        <v>8.26</v>
      </c>
      <c r="L98" s="46">
        <f>(INT($E$20*8/$D98)-INT($E$20*(8-1)/$D98))*$C98</f>
        <v>8.26</v>
      </c>
      <c r="M98" s="46">
        <f>(INT($E$20*9/$D98)-INT($E$20*(9-1)/$D98))*$C98</f>
        <v>8.26</v>
      </c>
      <c r="N98" s="46">
        <f>(INT($E$20*10/$D98)-INT($E$20*(10-1)/$D98))*$C98</f>
        <v>0.0</v>
      </c>
      <c r="P98" s="47" t="n">
        <v>24</v>
      </c>
    </row>
    <row r="99">
      <c r="B99" s="22" t="inlineStr">
        <is>
          <t>Топл. насос</t>
        </is>
      </c>
      <c r="C99" s="45" t="n">
        <v>10.65</v>
      </c>
      <c r="D99" s="47" t="n">
        <v>17600</v>
      </c>
      <c r="E99" s="46">
        <f>(INT($E$20*1/$D99)-INT($E$20*(1-1)/$D99))*$C99</f>
        <v>0.0</v>
      </c>
      <c r="F99" s="46">
        <f>(INT($E$20*2/$D99)-INT($E$20*(2-1)/$D99))*$C99</f>
        <v>0.0</v>
      </c>
      <c r="G99" s="46">
        <f>(INT($E$20*3/$D99)-INT($E$20*(3-1)/$D99))*$C99</f>
        <v>10.65</v>
      </c>
      <c r="H99" s="46">
        <f>(INT($E$20*4/$D99)-INT($E$20*(4-1)/$D99))*$C99</f>
        <v>0.0</v>
      </c>
      <c r="I99" s="46">
        <f>(INT($E$20*5/$D99)-INT($E$20*(5-1)/$D99))*$C99</f>
        <v>0.0</v>
      </c>
      <c r="J99" s="46">
        <f>(INT($E$20*6/$D99)-INT($E$20*(6-1)/$D99))*$C99</f>
        <v>10.65</v>
      </c>
      <c r="K99" s="46">
        <f>(INT($E$20*7/$D99)-INT($E$20*(7-1)/$D99))*$C99</f>
        <v>0.0</v>
      </c>
      <c r="L99" s="46">
        <f>(INT($E$20*8/$D99)-INT($E$20*(8-1)/$D99))*$C99</f>
        <v>10.65</v>
      </c>
      <c r="M99" s="46">
        <f>(INT($E$20*9/$D99)-INT($E$20*(9-1)/$D99))*$C99</f>
        <v>0.0</v>
      </c>
      <c r="N99" s="46">
        <f>(INT($E$20*10/$D99)-INT($E$20*(10-1)/$D99))*$C99</f>
        <v>0.0</v>
      </c>
      <c r="P99" s="47" t="n">
        <v>24</v>
      </c>
    </row>
    <row r="100">
      <c r="B100" s="22" t="inlineStr">
        <is>
          <t>Топл. форсунка</t>
        </is>
      </c>
      <c r="C100" s="45" t="n">
        <v>16.28</v>
      </c>
      <c r="D100" s="47" t="n">
        <v>8800</v>
      </c>
      <c r="E100" s="46">
        <f>(INT($E$20*1/$D100)-INT($E$20*(1-1)/$D100))*$C100</f>
        <v>0.0</v>
      </c>
      <c r="F100" s="46">
        <f>(INT($E$20*2/$D100)-INT($E$20*(2-1)/$D100))*$C100</f>
        <v>16.28</v>
      </c>
      <c r="G100" s="46">
        <f>(INT($E$20*3/$D100)-INT($E$20*(3-1)/$D100))*$C100</f>
        <v>16.28</v>
      </c>
      <c r="H100" s="46">
        <f>(INT($E$20*4/$D100)-INT($E$20*(4-1)/$D100))*$C100</f>
        <v>16.28</v>
      </c>
      <c r="I100" s="46">
        <f>(INT($E$20*5/$D100)-INT($E$20*(5-1)/$D100))*$C100</f>
        <v>0.0</v>
      </c>
      <c r="J100" s="46">
        <f>(INT($E$20*6/$D100)-INT($E$20*(6-1)/$D100))*$C100</f>
        <v>16.28</v>
      </c>
      <c r="K100" s="46">
        <f>(INT($E$20*7/$D100)-INT($E$20*(7-1)/$D100))*$C100</f>
        <v>16.28</v>
      </c>
      <c r="L100" s="46">
        <f>(INT($E$20*8/$D100)-INT($E$20*(8-1)/$D100))*$C100</f>
        <v>16.28</v>
      </c>
      <c r="M100" s="46">
        <f>(INT($E$20*9/$D100)-INT($E$20*(9-1)/$D100))*$C100</f>
        <v>16.28</v>
      </c>
      <c r="N100" s="46">
        <f>(INT($E$20*10/$D100)-INT($E$20*(10-1)/$D100))*$C100</f>
        <v>0.0</v>
      </c>
      <c r="P100" s="47" t="n">
        <v>24</v>
      </c>
    </row>
    <row r="101">
      <c r="B101" s="22" t="inlineStr">
        <is>
          <t>Водяной насос</t>
        </is>
      </c>
      <c r="C101" s="45" t="n">
        <v>4.02</v>
      </c>
      <c r="D101" s="47" t="n">
        <v>8800</v>
      </c>
      <c r="E101" s="46">
        <f>(INT($E$20*1/$D101)-INT($E$20*(1-1)/$D101))*$C101</f>
        <v>0.0</v>
      </c>
      <c r="F101" s="46">
        <f>(INT($E$20*2/$D101)-INT($E$20*(2-1)/$D101))*$C101</f>
        <v>4.02</v>
      </c>
      <c r="G101" s="46">
        <f>(INT($E$20*3/$D101)-INT($E$20*(3-1)/$D101))*$C101</f>
        <v>4.02</v>
      </c>
      <c r="H101" s="46">
        <f>(INT($E$20*4/$D101)-INT($E$20*(4-1)/$D101))*$C101</f>
        <v>4.02</v>
      </c>
      <c r="I101" s="46">
        <f>(INT($E$20*5/$D101)-INT($E$20*(5-1)/$D101))*$C101</f>
        <v>0.0</v>
      </c>
      <c r="J101" s="46">
        <f>(INT($E$20*6/$D101)-INT($E$20*(6-1)/$D101))*$C101</f>
        <v>4.02</v>
      </c>
      <c r="K101" s="46">
        <f>(INT($E$20*7/$D101)-INT($E$20*(7-1)/$D101))*$C101</f>
        <v>4.02</v>
      </c>
      <c r="L101" s="46">
        <f>(INT($E$20*8/$D101)-INT($E$20*(8-1)/$D101))*$C101</f>
        <v>4.02</v>
      </c>
      <c r="M101" s="46">
        <f>(INT($E$20*9/$D101)-INT($E$20*(9-1)/$D101))*$C101</f>
        <v>4.02</v>
      </c>
      <c r="N101" s="46">
        <f>(INT($E$20*10/$D101)-INT($E$20*(10-1)/$D101))*$C101</f>
        <v>0.0</v>
      </c>
      <c r="P101" s="47" t="n">
        <v>24</v>
      </c>
    </row>
    <row r="102">
      <c r="B102" s="22" t="inlineStr">
        <is>
          <t>Генератор</t>
        </is>
      </c>
      <c r="C102" s="45" t="n">
        <v>5.77</v>
      </c>
      <c r="D102" s="47" t="n">
        <v>15000</v>
      </c>
      <c r="E102" s="46">
        <f>(INT($E$20*1/$D102)-INT($E$20*(1-1)/$D102))*$C102</f>
        <v>0.0</v>
      </c>
      <c r="F102" s="46">
        <f>(INT($E$20*2/$D102)-INT($E$20*(2-1)/$D102))*$C102</f>
        <v>0.0</v>
      </c>
      <c r="G102" s="46">
        <f>(INT($E$20*3/$D102)-INT($E$20*(3-1)/$D102))*$C102</f>
        <v>5.77</v>
      </c>
      <c r="H102" s="46">
        <f>(INT($E$20*4/$D102)-INT($E$20*(4-1)/$D102))*$C102</f>
        <v>0.0</v>
      </c>
      <c r="I102" s="46">
        <f>(INT($E$20*5/$D102)-INT($E$20*(5-1)/$D102))*$C102</f>
        <v>5.77</v>
      </c>
      <c r="J102" s="46">
        <f>(INT($E$20*6/$D102)-INT($E$20*(6-1)/$D102))*$C102</f>
        <v>0.0</v>
      </c>
      <c r="K102" s="46">
        <f>(INT($E$20*7/$D102)-INT($E$20*(7-1)/$D102))*$C102</f>
        <v>5.77</v>
      </c>
      <c r="L102" s="46">
        <f>(INT($E$20*8/$D102)-INT($E$20*(8-1)/$D102))*$C102</f>
        <v>0.0</v>
      </c>
      <c r="M102" s="46">
        <f>(INT($E$20*9/$D102)-INT($E$20*(9-1)/$D102))*$C102</f>
        <v>5.77</v>
      </c>
      <c r="N102" s="46">
        <f>(INT($E$20*10/$D102)-INT($E$20*(10-1)/$D102))*$C102</f>
        <v>0.0</v>
      </c>
      <c r="P102" s="47" t="n">
        <v>24</v>
      </c>
    </row>
    <row r="103">
      <c r="B103" s="22" t="inlineStr">
        <is>
          <t>Стартер</t>
        </is>
      </c>
      <c r="C103" s="45" t="n">
        <v>5.43</v>
      </c>
      <c r="D103" s="47" t="n">
        <v>8800</v>
      </c>
      <c r="E103" s="46">
        <f>(INT($E$20*1/$D103)-INT($E$20*(1-1)/$D103))*$C103</f>
        <v>0.0</v>
      </c>
      <c r="F103" s="46">
        <f>(INT($E$20*2/$D103)-INT($E$20*(2-1)/$D103))*$C103</f>
        <v>5.43</v>
      </c>
      <c r="G103" s="46">
        <f>(INT($E$20*3/$D103)-INT($E$20*(3-1)/$D103))*$C103</f>
        <v>5.43</v>
      </c>
      <c r="H103" s="46">
        <f>(INT($E$20*4/$D103)-INT($E$20*(4-1)/$D103))*$C103</f>
        <v>5.43</v>
      </c>
      <c r="I103" s="46">
        <f>(INT($E$20*5/$D103)-INT($E$20*(5-1)/$D103))*$C103</f>
        <v>0.0</v>
      </c>
      <c r="J103" s="46">
        <f>(INT($E$20*6/$D103)-INT($E$20*(6-1)/$D103))*$C103</f>
        <v>5.43</v>
      </c>
      <c r="K103" s="46">
        <f>(INT($E$20*7/$D103)-INT($E$20*(7-1)/$D103))*$C103</f>
        <v>5.43</v>
      </c>
      <c r="L103" s="46">
        <f>(INT($E$20*8/$D103)-INT($E$20*(8-1)/$D103))*$C103</f>
        <v>5.43</v>
      </c>
      <c r="M103" s="46">
        <f>(INT($E$20*9/$D103)-INT($E$20*(9-1)/$D103))*$C103</f>
        <v>5.43</v>
      </c>
      <c r="N103" s="46">
        <f>(INT($E$20*10/$D103)-INT($E$20*(10-1)/$D103))*$C103</f>
        <v>0.0</v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данных'!E7</f>
        <v>Komatsu PC2000-11R
ИСТК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160.72</v>
      </c>
      <c r="F9" s="38">
        <f>F32</f>
        <v>1298.94</v>
      </c>
      <c r="G9" s="38">
        <f>G32</f>
        <v>1057.5</v>
      </c>
      <c r="H9" s="38">
        <f>H32</f>
        <v>1603.44</v>
      </c>
      <c r="I9" s="38">
        <f>I32</f>
        <v>1613.61</v>
      </c>
      <c r="J9" s="38">
        <f>J32</f>
        <v>1169.1</v>
      </c>
      <c r="K9" s="38">
        <f>K32</f>
        <v>1399.63</v>
      </c>
      <c r="L9" s="38">
        <f>L32</f>
        <v>894.37</v>
      </c>
      <c r="M9" s="38">
        <f>M32</f>
        <v>1842.78</v>
      </c>
      <c r="N9" s="38">
        <f>N32</f>
        <v>1037.94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231.27972222222223</v>
      </c>
      <c r="F10" s="38">
        <f>('Параметры'!C26-F8-F9)/'Параметры'!C33*20/60</f>
        <v>199.66250000000002</v>
      </c>
      <c r="G10" s="38">
        <f>('Параметры'!C26-G8-G9)/'Параметры'!C33*20/60</f>
        <v>206.3691666666667</v>
      </c>
      <c r="H10" s="38">
        <f>('Параметры'!C26-H8-H9)/'Параметры'!C33*20/60</f>
        <v>191.2041666666667</v>
      </c>
      <c r="I10" s="38">
        <f>('Параметры'!C26-I8-I9)/'Параметры'!C33*20/60</f>
        <v>190.9216666666667</v>
      </c>
      <c r="J10" s="38">
        <f>('Параметры'!C26-J8-J9)/'Параметры'!C33*20/60</f>
        <v>203.26916666666665</v>
      </c>
      <c r="K10" s="38">
        <f>('Параметры'!C26-K8-K9)/'Параметры'!C33*20/60</f>
        <v>196.86555555555557</v>
      </c>
      <c r="L10" s="38">
        <f>('Параметры'!C26-L8-L9)/'Параметры'!C33*20/60</f>
        <v>210.90055555555557</v>
      </c>
      <c r="M10" s="38">
        <f>('Параметры'!C26-M8-M9)/'Параметры'!C33*20/60</f>
        <v>184.55583333333337</v>
      </c>
      <c r="N10" s="38">
        <f>('Параметры'!C26-N8-N9)/'Параметры'!C33*20/60</f>
        <v>206.91250000000002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0.9240628170979199</v>
      </c>
      <c r="F11" s="39">
        <f>('Параметры'!C26-F8-F9-F10)/'Параметры'!C26</f>
        <v>0.797738299086758</v>
      </c>
      <c r="G11" s="39">
        <f>('Параметры'!C26-G8-G9-G10)/'Параметры'!C26</f>
        <v>0.8245343417047185</v>
      </c>
      <c r="H11" s="39">
        <f>('Параметры'!C26-H8-H9-H10)/'Параметры'!C26</f>
        <v>0.7639435882800609</v>
      </c>
      <c r="I11" s="39">
        <f>('Параметры'!C26-I8-I9-I10)/'Параметры'!C26</f>
        <v>0.7628148782343989</v>
      </c>
      <c r="J11" s="39">
        <f>('Параметры'!C26-J8-J9-J10)/'Параметры'!C26</f>
        <v>0.81214849695586</v>
      </c>
      <c r="K11" s="39">
        <f>('Параметры'!C26-K8-K9-K10)/'Параметры'!C26</f>
        <v>0.7865632927447997</v>
      </c>
      <c r="L11" s="39">
        <f>('Параметры'!C26-L8-L9-L10)/'Параметры'!C26</f>
        <v>0.8426392059868087</v>
      </c>
      <c r="M11" s="39">
        <f>('Параметры'!C26-M8-M9-M10)/'Параметры'!C26</f>
        <v>0.7373806126331812</v>
      </c>
      <c r="N11" s="39">
        <f>('Параметры'!C26-N8-N9-N10)/'Параметры'!C26</f>
        <v>0.826705194063927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0.0</v>
      </c>
      <c r="F13" s="38">
        <f>F33</f>
        <v>0.0</v>
      </c>
      <c r="G13" s="38">
        <f>G33</f>
        <v>0.0</v>
      </c>
      <c r="H13" s="38">
        <f>H33</f>
        <v>0.0</v>
      </c>
      <c r="I13" s="38">
        <f>I33</f>
        <v>0.0</v>
      </c>
      <c r="J13" s="38">
        <f>J33</f>
        <v>0.0</v>
      </c>
      <c r="K13" s="38">
        <f>K33</f>
        <v>0.0</v>
      </c>
      <c r="L13" s="38">
        <f>L33</f>
        <v>0.0</v>
      </c>
      <c r="M13" s="38">
        <f>M33</f>
        <v>0.0</v>
      </c>
      <c r="N13" s="38">
        <f>N33</f>
        <v>0.0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38.69</v>
      </c>
      <c r="G14" s="38">
        <f>G34</f>
        <v>525.8799999999999</v>
      </c>
      <c r="H14" s="38">
        <f>H34</f>
        <v>1317.04</v>
      </c>
      <c r="I14" s="38">
        <f>I34</f>
        <v>110.0</v>
      </c>
      <c r="J14" s="38">
        <f>J34</f>
        <v>564.5699999999999</v>
      </c>
      <c r="K14" s="38">
        <f>K34</f>
        <v>38.69</v>
      </c>
      <c r="L14" s="38">
        <f>L34</f>
        <v>1278.35</v>
      </c>
      <c r="M14" s="38">
        <f>M34</f>
        <v>674.5699999999999</v>
      </c>
      <c r="N14" s="38">
        <f>N34</f>
        <v>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27.320999999999998</v>
      </c>
      <c r="F15" s="38">
        <f>$E$30+F35</f>
        <v>30.921</v>
      </c>
      <c r="G15" s="38">
        <f>$E$30+G35</f>
        <v>34.521</v>
      </c>
      <c r="H15" s="38">
        <f>$E$30+H35</f>
        <v>38.120999999999995</v>
      </c>
      <c r="I15" s="38">
        <f>$E$30+I35</f>
        <v>28.520999999999997</v>
      </c>
      <c r="J15" s="38">
        <f>$E$30+J35</f>
        <v>38.120999999999995</v>
      </c>
      <c r="K15" s="38">
        <f>$E$30+K35</f>
        <v>30.921</v>
      </c>
      <c r="L15" s="38">
        <f>$E$30+L35</f>
        <v>34.521</v>
      </c>
      <c r="M15" s="38">
        <f>$E$30+M35</f>
        <v>39.321</v>
      </c>
      <c r="N15" s="38">
        <f>$E$30+N35</f>
        <v>27.320999999999998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134.84071999999998</v>
      </c>
      <c r="F16" s="38">
        <f>F12+F13+F14+F15</f>
        <v>177.13072</v>
      </c>
      <c r="G16" s="38">
        <f>G12+G13+G14+G15</f>
        <v>667.9207199999998</v>
      </c>
      <c r="H16" s="38">
        <f>H12+H13+H14+H15</f>
        <v>1462.68072</v>
      </c>
      <c r="I16" s="38">
        <f>I12+I13+I14+I15</f>
        <v>246.04072</v>
      </c>
      <c r="J16" s="38">
        <f>J12+J13+J14+J15</f>
        <v>710.2107199999999</v>
      </c>
      <c r="K16" s="38">
        <f>K12+K13+K14+K15</f>
        <v>177.13072</v>
      </c>
      <c r="L16" s="38">
        <f>L12+L13+L14+L15</f>
        <v>1420.3907199999999</v>
      </c>
      <c r="M16" s="38">
        <f>M12+M13+M14+M15</f>
        <v>821.41072</v>
      </c>
      <c r="N16" s="38">
        <f>N12+N13+N14+N15</f>
        <v>134.84071999999998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160.72</v>
      </c>
      <c r="F32" s="31" t="n">
        <v>1298.94</v>
      </c>
      <c r="G32" s="31" t="n">
        <v>1057.5</v>
      </c>
      <c r="H32" s="31" t="n">
        <v>1603.44</v>
      </c>
      <c r="I32" s="31" t="n">
        <v>1613.61</v>
      </c>
      <c r="J32" s="31" t="n">
        <v>1169.1</v>
      </c>
      <c r="K32" s="31" t="n">
        <v>1399.63</v>
      </c>
      <c r="L32" s="31" t="n">
        <v>894.37</v>
      </c>
      <c r="M32" s="31" t="n">
        <v>1842.78</v>
      </c>
      <c r="N32" s="31" t="n">
        <v>1037.94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0.0</v>
      </c>
      <c r="F33" s="38">
        <f>SUM(F70:F70)*$E$36</f>
        <v>0.0</v>
      </c>
      <c r="G33" s="38">
        <f>SUM(G70:G70)*$E$36</f>
        <v>0.0</v>
      </c>
      <c r="H33" s="38">
        <f>SUM(H70:H70)*$E$36</f>
        <v>0.0</v>
      </c>
      <c r="I33" s="38">
        <f>SUM(I70:I70)*$E$36</f>
        <v>0.0</v>
      </c>
      <c r="J33" s="38">
        <f>SUM(J70:J70)*$E$36</f>
        <v>0.0</v>
      </c>
      <c r="K33" s="38">
        <f>SUM(K70:K70)*$E$36</f>
        <v>0.0</v>
      </c>
      <c r="L33" s="38">
        <f>SUM(L70:L70)*$E$36</f>
        <v>0.0</v>
      </c>
      <c r="M33" s="38">
        <f>SUM(M70:M70)*$E$36</f>
        <v>0.0</v>
      </c>
      <c r="N33" s="38">
        <f>SUM(N70:N70)*$E$36</f>
        <v>0.0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SUM(E74:E89)*$E$36</f>
        <v>0.0</v>
      </c>
      <c r="F34" s="38">
        <f>SUM(F74:F89)*$E$36</f>
        <v>38.69</v>
      </c>
      <c r="G34" s="38">
        <f>SUM(G74:G89)*$E$36</f>
        <v>525.8799999999999</v>
      </c>
      <c r="H34" s="38">
        <f>SUM(H74:H89)*$E$36</f>
        <v>1317.04</v>
      </c>
      <c r="I34" s="38">
        <f>SUM(I74:I89)*$E$36</f>
        <v>110.0</v>
      </c>
      <c r="J34" s="38">
        <f>SUM(J74:J89)*$E$36</f>
        <v>564.5699999999999</v>
      </c>
      <c r="K34" s="38">
        <f>SUM(K74:K89)*$E$36</f>
        <v>38.69</v>
      </c>
      <c r="L34" s="38">
        <f>SUM(L74:L89)*$E$36</f>
        <v>1278.35</v>
      </c>
      <c r="M34" s="38">
        <f>SUM(M74:M89)*$E$36</f>
        <v>674.5699999999999</v>
      </c>
      <c r="N34" s="38">
        <f>SUM(N74:N89)*$E$36</f>
        <v>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(SUMPRODUCT($P$70:$P$70,(E70:E70&gt;0)*1)+SUMPRODUCT($P$74:$P$89,(E74:E89&gt;0)*1))*$E$29/1000</f>
        <v>0.0</v>
      </c>
      <c r="F35" s="38">
        <f>(SUMPRODUCT($P$70:$P$70,(F70:F70&gt;0)*1)+SUMPRODUCT($P$74:$P$89,(F74:F89&gt;0)*1))*$E$29/1000</f>
        <v>3.6</v>
      </c>
      <c r="G35" s="38">
        <f>(SUMPRODUCT($P$70:$P$70,(G70:G70&gt;0)*1)+SUMPRODUCT($P$74:$P$89,(G74:G89&gt;0)*1))*$E$29/1000</f>
        <v>7.2</v>
      </c>
      <c r="H35" s="38">
        <f>(SUMPRODUCT($P$70:$P$70,(H70:H70&gt;0)*1)+SUMPRODUCT($P$74:$P$89,(H74:H89&gt;0)*1))*$E$29/1000</f>
        <v>10.8</v>
      </c>
      <c r="I35" s="38">
        <f>(SUMPRODUCT($P$70:$P$70,(I70:I70&gt;0)*1)+SUMPRODUCT($P$74:$P$89,(I74:I89&gt;0)*1))*$E$29/1000</f>
        <v>1.2</v>
      </c>
      <c r="J35" s="38">
        <f>(SUMPRODUCT($P$70:$P$70,(J70:J70&gt;0)*1)+SUMPRODUCT($P$74:$P$89,(J74:J89&gt;0)*1))*$E$29/1000</f>
        <v>10.8</v>
      </c>
      <c r="K35" s="38">
        <f>(SUMPRODUCT($P$70:$P$70,(K70:K70&gt;0)*1)+SUMPRODUCT($P$74:$P$89,(K74:K89&gt;0)*1))*$E$29/1000</f>
        <v>3.6</v>
      </c>
      <c r="L35" s="38">
        <f>(SUMPRODUCT($P$70:$P$70,(L70:L70&gt;0)*1)+SUMPRODUCT($P$74:$P$89,(L74:L89&gt;0)*1))*$E$29/1000</f>
        <v>7.2</v>
      </c>
      <c r="M35" s="38">
        <f>(SUMPRODUCT($P$70:$P$70,(M70:M70&gt;0)*1)+SUMPRODUCT($P$74:$P$89,(M74:M89&gt;0)*1))*$E$29/1000</f>
        <v>12.0</v>
      </c>
      <c r="N35" s="38">
        <f>(SUMPRODUCT($P$70:$P$70,(N70:N70&gt;0)*1)+SUMPRODUCT($P$74:$P$89,(N74:N89&gt;0)*1))*$E$29/1000</f>
        <v>0.0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Ходовые моторы</t>
        </is>
      </c>
      <c r="C74" s="45" t="n">
        <v>89.90000000000001</v>
      </c>
      <c r="D74" s="47" t="n">
        <v>25000</v>
      </c>
      <c r="E74" s="46">
        <f>(INT($E$20*1/$D74)-INT($E$20*(1-1)/$D74))*$C74</f>
        <v>0.0</v>
      </c>
      <c r="F74" s="46">
        <f>(INT($E$20*2/$D74)-INT($E$20*(2-1)/$D74))*$C74</f>
        <v>0.0</v>
      </c>
      <c r="G74" s="46">
        <f>(INT($E$20*3/$D74)-INT($E$20*(3-1)/$D74))*$C74</f>
        <v>0.0</v>
      </c>
      <c r="H74" s="46">
        <f>(INT($E$20*4/$D74)-INT($E$20*(4-1)/$D74))*$C74</f>
        <v>89.9</v>
      </c>
      <c r="I74" s="46">
        <f>(INT($E$20*5/$D74)-INT($E$20*(5-1)/$D74))*$C74</f>
        <v>0.0</v>
      </c>
      <c r="J74" s="46">
        <f>(INT($E$20*6/$D74)-INT($E$20*(6-1)/$D74))*$C74</f>
        <v>0.0</v>
      </c>
      <c r="K74" s="46">
        <f>(INT($E$20*7/$D74)-INT($E$20*(7-1)/$D74))*$C74</f>
        <v>0.0</v>
      </c>
      <c r="L74" s="46">
        <f>(INT($E$20*8/$D74)-INT($E$20*(8-1)/$D74))*$C74</f>
        <v>89.9</v>
      </c>
      <c r="M74" s="46">
        <f>(INT($E$20*9/$D74)-INT($E$20*(9-1)/$D74))*$C74</f>
        <v>0.0</v>
      </c>
      <c r="N74" s="46">
        <f>(INT($E$20*10/$D74)-INT($E$20*(10-1)/$D74))*$C74</f>
        <v>0.0</v>
      </c>
      <c r="P74" s="47" t="n">
        <v>24</v>
      </c>
    </row>
    <row r="75">
      <c r="B75" s="22" t="inlineStr">
        <is>
          <t>Редуктор хода</t>
        </is>
      </c>
      <c r="C75" s="45" t="n">
        <v>332.3</v>
      </c>
      <c r="D75" s="47" t="n">
        <v>25000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0.0</v>
      </c>
      <c r="H75" s="46">
        <f>(INT($E$20*4/$D75)-INT($E$20*(4-1)/$D75))*$C75</f>
        <v>332.3</v>
      </c>
      <c r="I75" s="46">
        <f>(INT($E$20*5/$D75)-INT($E$20*(5-1)/$D75))*$C75</f>
        <v>0.0</v>
      </c>
      <c r="J75" s="46">
        <f>(INT($E$20*6/$D75)-INT($E$20*(6-1)/$D75))*$C75</f>
        <v>0.0</v>
      </c>
      <c r="K75" s="46">
        <f>(INT($E$20*7/$D75)-INT($E$20*(7-1)/$D75))*$C75</f>
        <v>0.0</v>
      </c>
      <c r="L75" s="46">
        <f>(INT($E$20*8/$D75)-INT($E$20*(8-1)/$D75))*$C75</f>
        <v>332.3</v>
      </c>
      <c r="M75" s="46">
        <f>(INT($E$20*9/$D75)-INT($E$20*(9-1)/$D75))*$C75</f>
        <v>0.0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Гусеничная лента</t>
        </is>
      </c>
      <c r="C76" s="45" t="n">
        <v>184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184.0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184.0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184.0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Опорные ролики (комп)</t>
        </is>
      </c>
      <c r="C77" s="45" t="n">
        <v>119.41</v>
      </c>
      <c r="D77" s="47" t="n">
        <v>20000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119.41</v>
      </c>
      <c r="H77" s="46">
        <f>(INT($E$20*4/$D77)-INT($E$20*(4-1)/$D77))*$C77</f>
        <v>0.0</v>
      </c>
      <c r="I77" s="46">
        <f>(INT($E$20*5/$D77)-INT($E$20*(5-1)/$D77))*$C77</f>
        <v>0.0</v>
      </c>
      <c r="J77" s="46">
        <f>(INT($E$20*6/$D77)-INT($E$20*(6-1)/$D77))*$C77</f>
        <v>119.41</v>
      </c>
      <c r="K77" s="46">
        <f>(INT($E$20*7/$D77)-INT($E$20*(7-1)/$D77))*$C77</f>
        <v>0.0</v>
      </c>
      <c r="L77" s="46">
        <f>(INT($E$20*8/$D77)-INT($E$20*(8-1)/$D77))*$C77</f>
        <v>0.0</v>
      </c>
      <c r="M77" s="46">
        <f>(INT($E$20*9/$D77)-INT($E$20*(9-1)/$D77))*$C77</f>
        <v>119.41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Поддерживающие катки (комп)</t>
        </is>
      </c>
      <c r="C78" s="45" t="n">
        <v>31.38</v>
      </c>
      <c r="D78" s="47" t="n">
        <v>20000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31.38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31.38</v>
      </c>
      <c r="K78" s="46">
        <f>(INT($E$20*7/$D78)-INT($E$20*(7-1)/$D78))*$C78</f>
        <v>0.0</v>
      </c>
      <c r="L78" s="46">
        <f>(INT($E$20*8/$D78)-INT($E$20*(8-1)/$D78))*$C78</f>
        <v>0.0</v>
      </c>
      <c r="M78" s="46">
        <f>(INT($E$20*9/$D78)-INT($E$20*(9-1)/$D78))*$C78</f>
        <v>31.38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Механизм натяжения гусениц</t>
        </is>
      </c>
      <c r="C79" s="45" t="n">
        <v>110</v>
      </c>
      <c r="D79" s="47" t="n">
        <v>30000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</v>
      </c>
      <c r="H79" s="46">
        <f>(INT($E$20*4/$D79)-INT($E$20*(4-1)/$D79))*$C79</f>
        <v>0.0</v>
      </c>
      <c r="I79" s="46">
        <f>(INT($E$20*5/$D79)-INT($E$20*(5-1)/$D79))*$C79</f>
        <v>110.0</v>
      </c>
      <c r="J79" s="46">
        <f>(INT($E$20*6/$D79)-INT($E$20*(6-1)/$D79))*$C79</f>
        <v>0.0</v>
      </c>
      <c r="K79" s="46">
        <f>(INT($E$20*7/$D79)-INT($E$20*(7-1)/$D79))*$C79</f>
        <v>0.0</v>
      </c>
      <c r="L79" s="46">
        <f>(INT($E$20*8/$D79)-INT($E$20*(8-1)/$D79))*$C79</f>
        <v>0.0</v>
      </c>
      <c r="M79" s="46">
        <f>(INT($E$20*9/$D79)-INT($E$20*(9-1)/$D79))*$C79</f>
        <v>110.0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Натяжное колесо</t>
        </is>
      </c>
      <c r="C80" s="45" t="n">
        <v>80</v>
      </c>
      <c r="D80" s="47" t="n">
        <v>20000</v>
      </c>
      <c r="E80" s="46">
        <f>(INT($E$20*1/$D80)-INT($E$20*(1-1)/$D80))*$C80</f>
        <v>0.0</v>
      </c>
      <c r="F80" s="46">
        <f>(INT($E$20*2/$D80)-INT($E$20*(2-1)/$D80))*$C80</f>
        <v>0.0</v>
      </c>
      <c r="G80" s="46">
        <f>(INT($E$20*3/$D80)-INT($E$20*(3-1)/$D80))*$C80</f>
        <v>80.0</v>
      </c>
      <c r="H80" s="46">
        <f>(INT($E$20*4/$D80)-INT($E$20*(4-1)/$D80))*$C80</f>
        <v>0.0</v>
      </c>
      <c r="I80" s="46">
        <f>(INT($E$20*5/$D80)-INT($E$20*(5-1)/$D80))*$C80</f>
        <v>0.0</v>
      </c>
      <c r="J80" s="46">
        <f>(INT($E$20*6/$D80)-INT($E$20*(6-1)/$D80))*$C80</f>
        <v>80.0</v>
      </c>
      <c r="K80" s="46">
        <f>(INT($E$20*7/$D80)-INT($E$20*(7-1)/$D80))*$C80</f>
        <v>0.0</v>
      </c>
      <c r="L80" s="46">
        <f>(INT($E$20*8/$D80)-INT($E$20*(8-1)/$D80))*$C80</f>
        <v>0.0</v>
      </c>
      <c r="M80" s="46">
        <f>(INT($E$20*9/$D80)-INT($E$20*(9-1)/$D80))*$C80</f>
        <v>80.0</v>
      </c>
      <c r="N80" s="46">
        <f>(INT($E$20*10/$D80)-INT($E$20*(10-1)/$D80))*$C80</f>
        <v>0.0</v>
      </c>
      <c r="P80" s="47" t="n">
        <v>24</v>
      </c>
    </row>
    <row r="81">
      <c r="B81" s="22" t="inlineStr">
        <is>
          <t>Гидромотор поворота платформы</t>
        </is>
      </c>
      <c r="C81" s="45" t="n">
        <v>56.49</v>
      </c>
      <c r="D81" s="47" t="n">
        <v>25000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56.49</v>
      </c>
      <c r="I81" s="46">
        <f>(INT($E$20*5/$D81)-INT($E$20*(5-1)/$D81))*$C81</f>
        <v>0.0</v>
      </c>
      <c r="J81" s="46">
        <f>(INT($E$20*6/$D81)-INT($E$20*(6-1)/$D81))*$C81</f>
        <v>0.0</v>
      </c>
      <c r="K81" s="46">
        <f>(INT($E$20*7/$D81)-INT($E$20*(7-1)/$D81))*$C81</f>
        <v>0.0</v>
      </c>
      <c r="L81" s="46">
        <f>(INT($E$20*8/$D81)-INT($E$20*(8-1)/$D81))*$C81</f>
        <v>56.49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Редуктор поворота платформы</t>
        </is>
      </c>
      <c r="C82" s="45" t="n">
        <v>84.28</v>
      </c>
      <c r="D82" s="47" t="n">
        <v>20000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84.28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84.28</v>
      </c>
      <c r="K82" s="46">
        <f>(INT($E$20*7/$D82)-INT($E$20*(7-1)/$D82))*$C82</f>
        <v>0.0</v>
      </c>
      <c r="L82" s="46">
        <f>(INT($E$20*8/$D82)-INT($E$20*(8-1)/$D82))*$C82</f>
        <v>0.0</v>
      </c>
      <c r="M82" s="46">
        <f>(INT($E$20*9/$D82)-INT($E$20*(9-1)/$D82))*$C82</f>
        <v>84.28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ДВС</t>
        </is>
      </c>
      <c r="C83" s="45" t="n">
        <v>320</v>
      </c>
      <c r="D83" s="47" t="n">
        <v>25000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0.0</v>
      </c>
      <c r="H83" s="46">
        <f>(INT($E$20*4/$D83)-INT($E$20*(4-1)/$D83))*$C83</f>
        <v>320.0</v>
      </c>
      <c r="I83" s="46">
        <f>(INT($E$20*5/$D83)-INT($E$20*(5-1)/$D83))*$C83</f>
        <v>0.0</v>
      </c>
      <c r="J83" s="46">
        <f>(INT($E$20*6/$D83)-INT($E$20*(6-1)/$D83))*$C83</f>
        <v>0.0</v>
      </c>
      <c r="K83" s="46">
        <f>(INT($E$20*7/$D83)-INT($E$20*(7-1)/$D83))*$C83</f>
        <v>0.0</v>
      </c>
      <c r="L83" s="46">
        <f>(INT($E$20*8/$D83)-INT($E$20*(8-1)/$D83))*$C83</f>
        <v>320.0</v>
      </c>
      <c r="M83" s="46">
        <f>(INT($E$20*9/$D83)-INT($E$20*(9-1)/$D83))*$C83</f>
        <v>0.0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Главные насосы, 2 шт.</t>
        </is>
      </c>
      <c r="C84" s="45" t="n">
        <v>317.54</v>
      </c>
      <c r="D84" s="47" t="n">
        <v>25000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0.0</v>
      </c>
      <c r="H84" s="46">
        <f>(INT($E$20*4/$D84)-INT($E$20*(4-1)/$D84))*$C84</f>
        <v>317.54</v>
      </c>
      <c r="I84" s="46">
        <f>(INT($E$20*5/$D84)-INT($E$20*(5-1)/$D84))*$C84</f>
        <v>0.0</v>
      </c>
      <c r="J84" s="46">
        <f>(INT($E$20*6/$D84)-INT($E$20*(6-1)/$D84))*$C84</f>
        <v>0.0</v>
      </c>
      <c r="K84" s="46">
        <f>(INT($E$20*7/$D84)-INT($E$20*(7-1)/$D84))*$C84</f>
        <v>0.0</v>
      </c>
      <c r="L84" s="46">
        <f>(INT($E$20*8/$D84)-INT($E$20*(8-1)/$D84))*$C84</f>
        <v>317.54</v>
      </c>
      <c r="M84" s="46">
        <f>(INT($E$20*9/$D84)-INT($E$20*(9-1)/$D84))*$C84</f>
        <v>0.0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Главный распределитель</t>
        </is>
      </c>
      <c r="C85" s="45" t="n">
        <v>162.12</v>
      </c>
      <c r="D85" s="47" t="n">
        <v>25000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0.0</v>
      </c>
      <c r="H85" s="46">
        <f>(INT($E$20*4/$D85)-INT($E$20*(4-1)/$D85))*$C85</f>
        <v>162.12</v>
      </c>
      <c r="I85" s="46">
        <f>(INT($E$20*5/$D85)-INT($E$20*(5-1)/$D85))*$C85</f>
        <v>0.0</v>
      </c>
      <c r="J85" s="46">
        <f>(INT($E$20*6/$D85)-INT($E$20*(6-1)/$D85))*$C85</f>
        <v>0.0</v>
      </c>
      <c r="K85" s="46">
        <f>(INT($E$20*7/$D85)-INT($E$20*(7-1)/$D85))*$C85</f>
        <v>0.0</v>
      </c>
      <c r="L85" s="46">
        <f>(INT($E$20*8/$D85)-INT($E$20*(8-1)/$D85))*$C85</f>
        <v>162.12</v>
      </c>
      <c r="M85" s="46">
        <f>(INT($E$20*9/$D85)-INT($E$20*(9-1)/$D85))*$C85</f>
        <v>0.0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Ремонт гидроцилиндров стрелы</t>
        </is>
      </c>
      <c r="C86" s="45" t="n">
        <v>18.33</v>
      </c>
      <c r="D86" s="47" t="n">
        <v>12000</v>
      </c>
      <c r="E86" s="46">
        <f>(INT($E$20*1/$D86)-INT($E$20*(1-1)/$D86))*$C86</f>
        <v>0.0</v>
      </c>
      <c r="F86" s="46">
        <f>(INT($E$20*2/$D86)-INT($E$20*(2-1)/$D86))*$C86</f>
        <v>18.33</v>
      </c>
      <c r="G86" s="46">
        <f>(INT($E$20*3/$D86)-INT($E$20*(3-1)/$D86))*$C86</f>
        <v>0.0</v>
      </c>
      <c r="H86" s="46">
        <f>(INT($E$20*4/$D86)-INT($E$20*(4-1)/$D86))*$C86</f>
        <v>18.33</v>
      </c>
      <c r="I86" s="46">
        <f>(INT($E$20*5/$D86)-INT($E$20*(5-1)/$D86))*$C86</f>
        <v>0.0</v>
      </c>
      <c r="J86" s="46">
        <f>(INT($E$20*6/$D86)-INT($E$20*(6-1)/$D86))*$C86</f>
        <v>18.33</v>
      </c>
      <c r="K86" s="46">
        <f>(INT($E$20*7/$D86)-INT($E$20*(7-1)/$D86))*$C86</f>
        <v>18.33</v>
      </c>
      <c r="L86" s="46">
        <f>(INT($E$20*8/$D86)-INT($E$20*(8-1)/$D86))*$C86</f>
        <v>0.0</v>
      </c>
      <c r="M86" s="46">
        <f>(INT($E$20*9/$D86)-INT($E$20*(9-1)/$D86))*$C86</f>
        <v>18.33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Ремонт гидроцилиндра рукояти</t>
        </is>
      </c>
      <c r="C87" s="45" t="n">
        <v>11.2</v>
      </c>
      <c r="D87" s="47" t="n">
        <v>12000</v>
      </c>
      <c r="E87" s="46">
        <f>(INT($E$20*1/$D87)-INT($E$20*(1-1)/$D87))*$C87</f>
        <v>0.0</v>
      </c>
      <c r="F87" s="46">
        <f>(INT($E$20*2/$D87)-INT($E$20*(2-1)/$D87))*$C87</f>
        <v>11.2</v>
      </c>
      <c r="G87" s="46">
        <f>(INT($E$20*3/$D87)-INT($E$20*(3-1)/$D87))*$C87</f>
        <v>0.0</v>
      </c>
      <c r="H87" s="46">
        <f>(INT($E$20*4/$D87)-INT($E$20*(4-1)/$D87))*$C87</f>
        <v>11.2</v>
      </c>
      <c r="I87" s="46">
        <f>(INT($E$20*5/$D87)-INT($E$20*(5-1)/$D87))*$C87</f>
        <v>0.0</v>
      </c>
      <c r="J87" s="46">
        <f>(INT($E$20*6/$D87)-INT($E$20*(6-1)/$D87))*$C87</f>
        <v>11.2</v>
      </c>
      <c r="K87" s="46">
        <f>(INT($E$20*7/$D87)-INT($E$20*(7-1)/$D87))*$C87</f>
        <v>11.2</v>
      </c>
      <c r="L87" s="46">
        <f>(INT($E$20*8/$D87)-INT($E$20*(8-1)/$D87))*$C87</f>
        <v>0.0</v>
      </c>
      <c r="M87" s="46">
        <f>(INT($E$20*9/$D87)-INT($E$20*(9-1)/$D87))*$C87</f>
        <v>11.2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Ремонт гидроцилиндра ковша</t>
        </is>
      </c>
      <c r="C88" s="45" t="n">
        <v>9.16</v>
      </c>
      <c r="D88" s="47" t="n">
        <v>12000</v>
      </c>
      <c r="E88" s="46">
        <f>(INT($E$20*1/$D88)-INT($E$20*(1-1)/$D88))*$C88</f>
        <v>0.0</v>
      </c>
      <c r="F88" s="46">
        <f>(INT($E$20*2/$D88)-INT($E$20*(2-1)/$D88))*$C88</f>
        <v>9.16</v>
      </c>
      <c r="G88" s="46">
        <f>(INT($E$20*3/$D88)-INT($E$20*(3-1)/$D88))*$C88</f>
        <v>0.0</v>
      </c>
      <c r="H88" s="46">
        <f>(INT($E$20*4/$D88)-INT($E$20*(4-1)/$D88))*$C88</f>
        <v>9.16</v>
      </c>
      <c r="I88" s="46">
        <f>(INT($E$20*5/$D88)-INT($E$20*(5-1)/$D88))*$C88</f>
        <v>0.0</v>
      </c>
      <c r="J88" s="46">
        <f>(INT($E$20*6/$D88)-INT($E$20*(6-1)/$D88))*$C88</f>
        <v>9.16</v>
      </c>
      <c r="K88" s="46">
        <f>(INT($E$20*7/$D88)-INT($E$20*(7-1)/$D88))*$C88</f>
        <v>9.16</v>
      </c>
      <c r="L88" s="46">
        <f>(INT($E$20*8/$D88)-INT($E$20*(8-1)/$D88))*$C88</f>
        <v>0.0</v>
      </c>
      <c r="M88" s="46">
        <f>(INT($E$20*9/$D88)-INT($E$20*(9-1)/$D88))*$C88</f>
        <v>9.16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РВД рабочего оборудования</t>
        </is>
      </c>
      <c r="C89" s="45" t="n">
        <v>26.81</v>
      </c>
      <c r="D89" s="47" t="n">
        <v>20000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26.81</v>
      </c>
      <c r="H89" s="46">
        <f>(INT($E$20*4/$D89)-INT($E$20*(4-1)/$D89))*$C89</f>
        <v>0.0</v>
      </c>
      <c r="I89" s="46">
        <f>(INT($E$20*5/$D89)-INT($E$20*(5-1)/$D89))*$C89</f>
        <v>0.0</v>
      </c>
      <c r="J89" s="46">
        <f>(INT($E$20*6/$D89)-INT($E$20*(6-1)/$D89))*$C89</f>
        <v>26.81</v>
      </c>
      <c r="K89" s="46">
        <f>(INT($E$20*7/$D89)-INT($E$20*(7-1)/$D89))*$C89</f>
        <v>0.0</v>
      </c>
      <c r="L89" s="46">
        <f>(INT($E$20*8/$D89)-INT($E$20*(8-1)/$D89))*$C89</f>
        <v>0.0</v>
      </c>
      <c r="M89" s="46">
        <f>(INT($E$20*9/$D89)-INT($E$20*(9-1)/$D89))*$C89</f>
        <v>26.81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19:N19"/>
    <mergeCell ref="B68:N68"/>
    <mergeCell ref="B7:N7"/>
    <mergeCell ref="B72:N72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данных'!F7</f>
        <v>Zoomlion ZE2000G
Орикс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54.910000000000004</v>
      </c>
      <c r="F13" s="38">
        <f>F33</f>
        <v>54.910000000000004</v>
      </c>
      <c r="G13" s="38">
        <f>G33</f>
        <v>82.19</v>
      </c>
      <c r="H13" s="38">
        <f>H33</f>
        <v>54.910000000000004</v>
      </c>
      <c r="I13" s="38">
        <f>I33</f>
        <v>54.910000000000004</v>
      </c>
      <c r="J13" s="38">
        <f>J33</f>
        <v>82.54</v>
      </c>
      <c r="K13" s="38">
        <f>K33</f>
        <v>54.910000000000004</v>
      </c>
      <c r="L13" s="38">
        <f>L33</f>
        <v>54.910000000000004</v>
      </c>
      <c r="M13" s="38">
        <f>M33</f>
        <v>82.19</v>
      </c>
      <c r="N13" s="38">
        <f>N33</f>
        <v>54.910000000000004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24.92</v>
      </c>
      <c r="G14" s="38">
        <f>G34</f>
        <v>612.0699999999999</v>
      </c>
      <c r="H14" s="38">
        <f>H34</f>
        <v>89.0</v>
      </c>
      <c r="I14" s="38">
        <f>I34</f>
        <v>610.37</v>
      </c>
      <c r="J14" s="38">
        <f>J34</f>
        <v>26.62</v>
      </c>
      <c r="K14" s="38">
        <f>K34</f>
        <v>585.45</v>
      </c>
      <c r="L14" s="38">
        <f>L34</f>
        <v>113.92</v>
      </c>
      <c r="M14" s="38">
        <f>M34</f>
        <v>612.0699999999999</v>
      </c>
      <c r="N14" s="38">
        <f>N34</f>
        <v>24.92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32.120999999999995</v>
      </c>
      <c r="G15" s="38">
        <f>$E$30+G35</f>
        <v>45.321</v>
      </c>
      <c r="H15" s="38">
        <f>$E$30+H35</f>
        <v>32.120999999999995</v>
      </c>
      <c r="I15" s="38">
        <f>$E$30+I35</f>
        <v>44.120999999999995</v>
      </c>
      <c r="J15" s="38">
        <f>$E$30+J35</f>
        <v>33.321</v>
      </c>
      <c r="K15" s="38">
        <f>$E$30+K35</f>
        <v>41.721</v>
      </c>
      <c r="L15" s="38">
        <f>$E$30+L35</f>
        <v>34.521</v>
      </c>
      <c r="M15" s="38">
        <f>$E$30+M35</f>
        <v>45.321</v>
      </c>
      <c r="N15" s="38">
        <f>$E$30+N35</f>
        <v>32.120999999999995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192.15072</v>
      </c>
      <c r="F16" s="38">
        <f>F12+F13+F14+F15</f>
        <v>219.47071999999997</v>
      </c>
      <c r="G16" s="38">
        <f>G12+G13+G14+G15</f>
        <v>847.10072</v>
      </c>
      <c r="H16" s="38">
        <f>H12+H13+H14+H15</f>
        <v>283.55072</v>
      </c>
      <c r="I16" s="38">
        <f>I12+I13+I14+I15</f>
        <v>816.92072</v>
      </c>
      <c r="J16" s="38">
        <f>J12+J13+J14+J15</f>
        <v>250.00072</v>
      </c>
      <c r="K16" s="38">
        <f>K12+K13+K14+K15</f>
        <v>789.60072</v>
      </c>
      <c r="L16" s="38">
        <f>L12+L13+L14+L15</f>
        <v>310.87072</v>
      </c>
      <c r="M16" s="38">
        <f>M12+M13+M14+M15</f>
        <v>847.10072</v>
      </c>
      <c r="N16" s="38">
        <f>N12+N13+N14+N15</f>
        <v>219.47071999999997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54.910000000000004</v>
      </c>
      <c r="F33" s="38">
        <f>SUM(F70:F71)*$E$36</f>
        <v>54.910000000000004</v>
      </c>
      <c r="G33" s="38">
        <f>SUM(G70:G71)*$E$36</f>
        <v>82.19</v>
      </c>
      <c r="H33" s="38">
        <f>SUM(H70:H71)*$E$36</f>
        <v>54.910000000000004</v>
      </c>
      <c r="I33" s="38">
        <f>SUM(I70:I71)*$E$36</f>
        <v>54.910000000000004</v>
      </c>
      <c r="J33" s="38">
        <f>SUM(J70:J71)*$E$36</f>
        <v>82.54</v>
      </c>
      <c r="K33" s="38">
        <f>SUM(K70:K71)*$E$36</f>
        <v>54.910000000000004</v>
      </c>
      <c r="L33" s="38">
        <f>SUM(L70:L71)*$E$36</f>
        <v>54.910000000000004</v>
      </c>
      <c r="M33" s="38">
        <f>SUM(M70:M71)*$E$36</f>
        <v>82.19</v>
      </c>
      <c r="N33" s="38">
        <f>SUM(N70:N71)*$E$36</f>
        <v>54.910000000000004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>0.0</v>
      </c>
      <c r="F34" s="38">
        <f>SUM(F75:F89)*$E$36</f>
        <v>24.92</v>
      </c>
      <c r="G34" s="38">
        <f>SUM(G75:G89)*$E$36</f>
        <v>612.0699999999999</v>
      </c>
      <c r="H34" s="38">
        <f>SUM(H75:H89)*$E$36</f>
        <v>89.0</v>
      </c>
      <c r="I34" s="38">
        <f>SUM(I75:I89)*$E$36</f>
        <v>610.37</v>
      </c>
      <c r="J34" s="38">
        <f>SUM(J75:J89)*$E$36</f>
        <v>26.62</v>
      </c>
      <c r="K34" s="38">
        <f>SUM(K75:K89)*$E$36</f>
        <v>585.45</v>
      </c>
      <c r="L34" s="38">
        <f>SUM(L75:L89)*$E$36</f>
        <v>113.92</v>
      </c>
      <c r="M34" s="38">
        <f>SUM(M75:M89)*$E$36</f>
        <v>612.0699999999999</v>
      </c>
      <c r="N34" s="38">
        <f>SUM(N75:N89)*$E$36</f>
        <v>24.92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(SUMPRODUCT($P$70:$P$71,(E70:E71&gt;0)*1)+SUMPRODUCT($P$75:$P$89,(E75:E89&gt;0)*1))*$E$29/1000</f>
        <v>2.4</v>
      </c>
      <c r="F35" s="38">
        <f>(SUMPRODUCT($P$70:$P$71,(F70:F71&gt;0)*1)+SUMPRODUCT($P$75:$P$89,(F75:F89&gt;0)*1))*$E$29/1000</f>
        <v>4.8</v>
      </c>
      <c r="G35" s="38">
        <f>(SUMPRODUCT($P$70:$P$71,(G70:G71&gt;0)*1)+SUMPRODUCT($P$75:$P$89,(G75:G89&gt;0)*1))*$E$29/1000</f>
        <v>18.0</v>
      </c>
      <c r="H35" s="38">
        <f>(SUMPRODUCT($P$70:$P$71,(H70:H71&gt;0)*1)+SUMPRODUCT($P$75:$P$89,(H75:H89&gt;0)*1))*$E$29/1000</f>
        <v>4.8</v>
      </c>
      <c r="I35" s="38">
        <f>(SUMPRODUCT($P$70:$P$71,(I70:I71&gt;0)*1)+SUMPRODUCT($P$75:$P$89,(I75:I89&gt;0)*1))*$E$29/1000</f>
        <v>16.8</v>
      </c>
      <c r="J35" s="38">
        <f>(SUMPRODUCT($P$70:$P$71,(J70:J71&gt;0)*1)+SUMPRODUCT($P$75:$P$89,(J75:J89&gt;0)*1))*$E$29/1000</f>
        <v>6.0</v>
      </c>
      <c r="K35" s="38">
        <f>(SUMPRODUCT($P$70:$P$71,(K70:K71&gt;0)*1)+SUMPRODUCT($P$75:$P$89,(K75:K89&gt;0)*1))*$E$29/1000</f>
        <v>14.4</v>
      </c>
      <c r="L35" s="38">
        <f>(SUMPRODUCT($P$70:$P$71,(L70:L71&gt;0)*1)+SUMPRODUCT($P$75:$P$89,(L75:L89&gt;0)*1))*$E$29/1000</f>
        <v>7.2</v>
      </c>
      <c r="M35" s="38">
        <f>(SUMPRODUCT($P$70:$P$71,(M70:M71&gt;0)*1)+SUMPRODUCT($P$75:$P$89,(M75:M89&gt;0)*1))*$E$29/1000</f>
        <v>18.0</v>
      </c>
      <c r="N35" s="38">
        <f>(SUMPRODUCT($P$70:$P$71,(N70:N71&gt;0)*1)+SUMPRODUCT($P$75:$P$89,(N75:N89&gt;0)*1))*$E$29/1000</f>
        <v>4.8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>54.56</v>
      </c>
      <c r="F70" s="46">
        <f>(INT($E$20*2/$D70)-INT($E$20*(2-1)/$D70))*$C70</f>
        <v>54.56</v>
      </c>
      <c r="G70" s="46">
        <f>(INT($E$20*3/$D70)-INT($E$20*(3-1)/$D70))*$C70</f>
        <v>81.84</v>
      </c>
      <c r="H70" s="46">
        <f>(INT($E$20*4/$D70)-INT($E$20*(4-1)/$D70))*$C70</f>
        <v>54.56</v>
      </c>
      <c r="I70" s="46">
        <f>(INT($E$20*5/$D70)-INT($E$20*(5-1)/$D70))*$C70</f>
        <v>54.56</v>
      </c>
      <c r="J70" s="46">
        <f>(INT($E$20*6/$D70)-INT($E$20*(6-1)/$D70))*$C70</f>
        <v>81.84</v>
      </c>
      <c r="K70" s="46">
        <f>(INT($E$20*7/$D70)-INT($E$20*(7-1)/$D70))*$C70</f>
        <v>54.56</v>
      </c>
      <c r="L70" s="46">
        <f>(INT($E$20*8/$D70)-INT($E$20*(8-1)/$D70))*$C70</f>
        <v>54.56</v>
      </c>
      <c r="M70" s="46">
        <f>(INT($E$20*9/$D70)-INT($E$20*(9-1)/$D70))*$C70</f>
        <v>81.84</v>
      </c>
      <c r="N70" s="46">
        <f>(INT($E$20*10/$D70)-INT($E$20*(10-1)/$D70))*$C70</f>
        <v>54.56</v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>0.35</v>
      </c>
      <c r="F71" s="46">
        <f>(INT($E$20*2/$D71)-INT($E$20*(2-1)/$D71))*$C71</f>
        <v>0.35</v>
      </c>
      <c r="G71" s="46">
        <f>(INT($E$20*3/$D71)-INT($E$20*(3-1)/$D71))*$C71</f>
        <v>0.35</v>
      </c>
      <c r="H71" s="46">
        <f>(INT($E$20*4/$D71)-INT($E$20*(4-1)/$D71))*$C71</f>
        <v>0.35</v>
      </c>
      <c r="I71" s="46">
        <f>(INT($E$20*5/$D71)-INT($E$20*(5-1)/$D71))*$C71</f>
        <v>0.35</v>
      </c>
      <c r="J71" s="46">
        <f>(INT($E$20*6/$D71)-INT($E$20*(6-1)/$D71))*$C71</f>
        <v>0.7</v>
      </c>
      <c r="K71" s="46">
        <f>(INT($E$20*7/$D71)-INT($E$20*(7-1)/$D71))*$C71</f>
        <v>0.35</v>
      </c>
      <c r="L71" s="46">
        <f>(INT($E$20*8/$D71)-INT($E$20*(8-1)/$D71))*$C71</f>
        <v>0.35</v>
      </c>
      <c r="M71" s="46">
        <f>(INT($E$20*9/$D71)-INT($E$20*(9-1)/$D71))*$C71</f>
        <v>0.35</v>
      </c>
      <c r="N71" s="46">
        <f>(INT($E$20*10/$D71)-INT($E$20*(10-1)/$D71))*$C71</f>
        <v>0.35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1.56</v>
      </c>
      <c r="H75" s="46">
        <f>(INT($E$20*4/$D75)-INT($E$20*(4-1)/$D75))*$C75</f>
        <v>0.0</v>
      </c>
      <c r="I75" s="46">
        <f>(INT($E$20*5/$D75)-INT($E$20*(5-1)/$D75))*$C75</f>
        <v>1.56</v>
      </c>
      <c r="J75" s="46">
        <f>(INT($E$20*6/$D75)-INT($E$20*(6-1)/$D75))*$C75</f>
        <v>0.0</v>
      </c>
      <c r="K75" s="46">
        <f>(INT($E$20*7/$D75)-INT($E$20*(7-1)/$D75))*$C75</f>
        <v>1.56</v>
      </c>
      <c r="L75" s="46">
        <f>(INT($E$20*8/$D75)-INT($E$20*(8-1)/$D75))*$C75</f>
        <v>0.0</v>
      </c>
      <c r="M75" s="46">
        <f>(INT($E$20*9/$D75)-INT($E$20*(9-1)/$D75))*$C75</f>
        <v>1.56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1.7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1.7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1.7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326.28</v>
      </c>
      <c r="H77" s="46">
        <f>(INT($E$20*4/$D77)-INT($E$20*(4-1)/$D77))*$C77</f>
        <v>0.0</v>
      </c>
      <c r="I77" s="46">
        <f>(INT($E$20*5/$D77)-INT($E$20*(5-1)/$D77))*$C77</f>
        <v>326.28</v>
      </c>
      <c r="J77" s="46">
        <f>(INT($E$20*6/$D77)-INT($E$20*(6-1)/$D77))*$C77</f>
        <v>0.0</v>
      </c>
      <c r="K77" s="46">
        <f>(INT($E$20*7/$D77)-INT($E$20*(7-1)/$D77))*$C77</f>
        <v>326.28</v>
      </c>
      <c r="L77" s="46">
        <f>(INT($E$20*8/$D77)-INT($E$20*(8-1)/$D77))*$C77</f>
        <v>0.0</v>
      </c>
      <c r="M77" s="46">
        <f>(INT($E$20*9/$D77)-INT($E$20*(9-1)/$D77))*$C77</f>
        <v>326.28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22.0</v>
      </c>
      <c r="H78" s="46">
        <f>(INT($E$20*4/$D78)-INT($E$20*(4-1)/$D78))*$C78</f>
        <v>0.0</v>
      </c>
      <c r="I78" s="46">
        <f>(INT($E$20*5/$D78)-INT($E$20*(5-1)/$D78))*$C78</f>
        <v>22.0</v>
      </c>
      <c r="J78" s="46">
        <f>(INT($E$20*6/$D78)-INT($E$20*(6-1)/$D78))*$C78</f>
        <v>0.0</v>
      </c>
      <c r="K78" s="46">
        <f>(INT($E$20*7/$D78)-INT($E$20*(7-1)/$D78))*$C78</f>
        <v>22.0</v>
      </c>
      <c r="L78" s="46">
        <f>(INT($E$20*8/$D78)-INT($E$20*(8-1)/$D78))*$C78</f>
        <v>0.0</v>
      </c>
      <c r="M78" s="46">
        <f>(INT($E$20*9/$D78)-INT($E$20*(9-1)/$D78))*$C78</f>
        <v>22.0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72.11</v>
      </c>
      <c r="H79" s="46">
        <f>(INT($E$20*4/$D79)-INT($E$20*(4-1)/$D79))*$C79</f>
        <v>0.0</v>
      </c>
      <c r="I79" s="46">
        <f>(INT($E$20*5/$D79)-INT($E$20*(5-1)/$D79))*$C79</f>
        <v>72.11</v>
      </c>
      <c r="J79" s="46">
        <f>(INT($E$20*6/$D79)-INT($E$20*(6-1)/$D79))*$C79</f>
        <v>0.0</v>
      </c>
      <c r="K79" s="46">
        <f>(INT($E$20*7/$D79)-INT($E$20*(7-1)/$D79))*$C79</f>
        <v>72.11</v>
      </c>
      <c r="L79" s="46">
        <f>(INT($E$20*8/$D79)-INT($E$20*(8-1)/$D79))*$C79</f>
        <v>0.0</v>
      </c>
      <c r="M79" s="46">
        <f>(INT($E$20*9/$D79)-INT($E$20*(9-1)/$D79))*$C79</f>
        <v>72.11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>0.0</v>
      </c>
      <c r="F80" s="46">
        <f>(INT($E$20*2/$D80)-INT($E$20*(2-1)/$D80))*$C80</f>
        <v>15.51</v>
      </c>
      <c r="G80" s="46">
        <f>(INT($E$20*3/$D80)-INT($E$20*(3-1)/$D80))*$C80</f>
        <v>15.51</v>
      </c>
      <c r="H80" s="46">
        <f>(INT($E$20*4/$D80)-INT($E$20*(4-1)/$D80))*$C80</f>
        <v>0.0</v>
      </c>
      <c r="I80" s="46">
        <f>(INT($E$20*5/$D80)-INT($E$20*(5-1)/$D80))*$C80</f>
        <v>15.51</v>
      </c>
      <c r="J80" s="46">
        <f>(INT($E$20*6/$D80)-INT($E$20*(6-1)/$D80))*$C80</f>
        <v>15.51</v>
      </c>
      <c r="K80" s="46">
        <f>(INT($E$20*7/$D80)-INT($E$20*(7-1)/$D80))*$C80</f>
        <v>0.0</v>
      </c>
      <c r="L80" s="46">
        <f>(INT($E$20*8/$D80)-INT($E$20*(8-1)/$D80))*$C80</f>
        <v>15.51</v>
      </c>
      <c r="M80" s="46">
        <f>(INT($E$20*9/$D80)-INT($E$20*(9-1)/$D80))*$C80</f>
        <v>15.51</v>
      </c>
      <c r="N80" s="46">
        <f>(INT($E$20*10/$D80)-INT($E$20*(10-1)/$D80))*$C80</f>
        <v>15.51</v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>0.0</v>
      </c>
      <c r="F81" s="46">
        <f>(INT($E$20*2/$D81)-INT($E$20*(2-1)/$D81))*$C81</f>
        <v>9.41</v>
      </c>
      <c r="G81" s="46">
        <f>(INT($E$20*3/$D81)-INT($E$20*(3-1)/$D81))*$C81</f>
        <v>9.41</v>
      </c>
      <c r="H81" s="46">
        <f>(INT($E$20*4/$D81)-INT($E$20*(4-1)/$D81))*$C81</f>
        <v>0.0</v>
      </c>
      <c r="I81" s="46">
        <f>(INT($E$20*5/$D81)-INT($E$20*(5-1)/$D81))*$C81</f>
        <v>9.41</v>
      </c>
      <c r="J81" s="46">
        <f>(INT($E$20*6/$D81)-INT($E$20*(6-1)/$D81))*$C81</f>
        <v>9.41</v>
      </c>
      <c r="K81" s="46">
        <f>(INT($E$20*7/$D81)-INT($E$20*(7-1)/$D81))*$C81</f>
        <v>0.0</v>
      </c>
      <c r="L81" s="46">
        <f>(INT($E$20*8/$D81)-INT($E$20*(8-1)/$D81))*$C81</f>
        <v>9.41</v>
      </c>
      <c r="M81" s="46">
        <f>(INT($E$20*9/$D81)-INT($E$20*(9-1)/$D81))*$C81</f>
        <v>9.41</v>
      </c>
      <c r="N81" s="46">
        <f>(INT($E$20*10/$D81)-INT($E$20*(10-1)/$D81))*$C81</f>
        <v>9.41</v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28.5</v>
      </c>
      <c r="H82" s="46">
        <f>(INT($E$20*4/$D82)-INT($E$20*(4-1)/$D82))*$C82</f>
        <v>0.0</v>
      </c>
      <c r="I82" s="46">
        <f>(INT($E$20*5/$D82)-INT($E$20*(5-1)/$D82))*$C82</f>
        <v>28.5</v>
      </c>
      <c r="J82" s="46">
        <f>(INT($E$20*6/$D82)-INT($E$20*(6-1)/$D82))*$C82</f>
        <v>0.0</v>
      </c>
      <c r="K82" s="46">
        <f>(INT($E$20*7/$D82)-INT($E$20*(7-1)/$D82))*$C82</f>
        <v>28.5</v>
      </c>
      <c r="L82" s="46">
        <f>(INT($E$20*8/$D82)-INT($E$20*(8-1)/$D82))*$C82</f>
        <v>0.0</v>
      </c>
      <c r="M82" s="46">
        <f>(INT($E$20*9/$D82)-INT($E$20*(9-1)/$D82))*$C82</f>
        <v>28.5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18.0</v>
      </c>
      <c r="H83" s="46">
        <f>(INT($E$20*4/$D83)-INT($E$20*(4-1)/$D83))*$C83</f>
        <v>0.0</v>
      </c>
      <c r="I83" s="46">
        <f>(INT($E$20*5/$D83)-INT($E$20*(5-1)/$D83))*$C83</f>
        <v>18.0</v>
      </c>
      <c r="J83" s="46">
        <f>(INT($E$20*6/$D83)-INT($E$20*(6-1)/$D83))*$C83</f>
        <v>0.0</v>
      </c>
      <c r="K83" s="46">
        <f>(INT($E$20*7/$D83)-INT($E$20*(7-1)/$D83))*$C83</f>
        <v>18.0</v>
      </c>
      <c r="L83" s="46">
        <f>(INT($E$20*8/$D83)-INT($E$20*(8-1)/$D83))*$C83</f>
        <v>0.0</v>
      </c>
      <c r="M83" s="46">
        <f>(INT($E$20*9/$D83)-INT($E$20*(9-1)/$D83))*$C83</f>
        <v>18.0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11.5</v>
      </c>
      <c r="H84" s="46">
        <f>(INT($E$20*4/$D84)-INT($E$20*(4-1)/$D84))*$C84</f>
        <v>0.0</v>
      </c>
      <c r="I84" s="46">
        <f>(INT($E$20*5/$D84)-INT($E$20*(5-1)/$D84))*$C84</f>
        <v>11.5</v>
      </c>
      <c r="J84" s="46">
        <f>(INT($E$20*6/$D84)-INT($E$20*(6-1)/$D84))*$C84</f>
        <v>0.0</v>
      </c>
      <c r="K84" s="46">
        <f>(INT($E$20*7/$D84)-INT($E$20*(7-1)/$D84))*$C84</f>
        <v>11.5</v>
      </c>
      <c r="L84" s="46">
        <f>(INT($E$20*8/$D84)-INT($E$20*(8-1)/$D84))*$C84</f>
        <v>0.0</v>
      </c>
      <c r="M84" s="46">
        <f>(INT($E$20*9/$D84)-INT($E$20*(9-1)/$D84))*$C84</f>
        <v>11.5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11.5</v>
      </c>
      <c r="H85" s="46">
        <f>(INT($E$20*4/$D85)-INT($E$20*(4-1)/$D85))*$C85</f>
        <v>0.0</v>
      </c>
      <c r="I85" s="46">
        <f>(INT($E$20*5/$D85)-INT($E$20*(5-1)/$D85))*$C85</f>
        <v>11.5</v>
      </c>
      <c r="J85" s="46">
        <f>(INT($E$20*6/$D85)-INT($E$20*(6-1)/$D85))*$C85</f>
        <v>0.0</v>
      </c>
      <c r="K85" s="46">
        <f>(INT($E$20*7/$D85)-INT($E$20*(7-1)/$D85))*$C85</f>
        <v>11.5</v>
      </c>
      <c r="L85" s="46">
        <f>(INT($E$20*8/$D85)-INT($E$20*(8-1)/$D85))*$C85</f>
        <v>0.0</v>
      </c>
      <c r="M85" s="46">
        <f>(INT($E$20*9/$D85)-INT($E$20*(9-1)/$D85))*$C85</f>
        <v>11.5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38.0</v>
      </c>
      <c r="H86" s="46">
        <f>(INT($E$20*4/$D86)-INT($E$20*(4-1)/$D86))*$C86</f>
        <v>0.0</v>
      </c>
      <c r="I86" s="46">
        <f>(INT($E$20*5/$D86)-INT($E$20*(5-1)/$D86))*$C86</f>
        <v>38.0</v>
      </c>
      <c r="J86" s="46">
        <f>(INT($E$20*6/$D86)-INT($E$20*(6-1)/$D86))*$C86</f>
        <v>0.0</v>
      </c>
      <c r="K86" s="46">
        <f>(INT($E$20*7/$D86)-INT($E$20*(7-1)/$D86))*$C86</f>
        <v>38.0</v>
      </c>
      <c r="L86" s="46">
        <f>(INT($E$20*8/$D86)-INT($E$20*(8-1)/$D86))*$C86</f>
        <v>0.0</v>
      </c>
      <c r="M86" s="46">
        <f>(INT($E$20*9/$D86)-INT($E$20*(9-1)/$D86))*$C86</f>
        <v>38.0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56.0</v>
      </c>
      <c r="H87" s="46">
        <f>(INT($E$20*4/$D87)-INT($E$20*(4-1)/$D87))*$C87</f>
        <v>0.0</v>
      </c>
      <c r="I87" s="46">
        <f>(INT($E$20*5/$D87)-INT($E$20*(5-1)/$D87))*$C87</f>
        <v>56.0</v>
      </c>
      <c r="J87" s="46">
        <f>(INT($E$20*6/$D87)-INT($E$20*(6-1)/$D87))*$C87</f>
        <v>0.0</v>
      </c>
      <c r="K87" s="46">
        <f>(INT($E$20*7/$D87)-INT($E$20*(7-1)/$D87))*$C87</f>
        <v>56.0</v>
      </c>
      <c r="L87" s="46">
        <f>(INT($E$20*8/$D87)-INT($E$20*(8-1)/$D87))*$C87</f>
        <v>0.0</v>
      </c>
      <c r="M87" s="46">
        <f>(INT($E$20*9/$D87)-INT($E$20*(9-1)/$D87))*$C87</f>
        <v>56.0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0.0</v>
      </c>
      <c r="H88" s="46">
        <f>(INT($E$20*4/$D88)-INT($E$20*(4-1)/$D88))*$C88</f>
        <v>26.5</v>
      </c>
      <c r="I88" s="46">
        <f>(INT($E$20*5/$D88)-INT($E$20*(5-1)/$D88))*$C88</f>
        <v>0.0</v>
      </c>
      <c r="J88" s="46">
        <f>(INT($E$20*6/$D88)-INT($E$20*(6-1)/$D88))*$C88</f>
        <v>0.0</v>
      </c>
      <c r="K88" s="46">
        <f>(INT($E$20*7/$D88)-INT($E$20*(7-1)/$D88))*$C88</f>
        <v>0.0</v>
      </c>
      <c r="L88" s="46">
        <f>(INT($E$20*8/$D88)-INT($E$20*(8-1)/$D88))*$C88</f>
        <v>26.5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0.0</v>
      </c>
      <c r="H89" s="46">
        <f>(INT($E$20*4/$D89)-INT($E$20*(4-1)/$D89))*$C89</f>
        <v>62.5</v>
      </c>
      <c r="I89" s="46">
        <f>(INT($E$20*5/$D89)-INT($E$20*(5-1)/$D89))*$C89</f>
        <v>0.0</v>
      </c>
      <c r="J89" s="46">
        <f>(INT($E$20*6/$D89)-INT($E$20*(6-1)/$D89))*$C89</f>
        <v>0.0</v>
      </c>
      <c r="K89" s="46">
        <f>(INT($E$20*7/$D89)-INT($E$20*(7-1)/$D89))*$C89</f>
        <v>0.0</v>
      </c>
      <c r="L89" s="46">
        <f>(INT($E$20*8/$D89)-INT($E$20*(8-1)/$D89))*$C89</f>
        <v>62.5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P91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данных'!G7</f>
        <v>Sany SY2000
АСТ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54.910000000000004</v>
      </c>
      <c r="F13" s="38">
        <f>F33</f>
        <v>54.910000000000004</v>
      </c>
      <c r="G13" s="38">
        <f>G33</f>
        <v>82.19</v>
      </c>
      <c r="H13" s="38">
        <f>H33</f>
        <v>54.910000000000004</v>
      </c>
      <c r="I13" s="38">
        <f>I33</f>
        <v>54.910000000000004</v>
      </c>
      <c r="J13" s="38">
        <f>J33</f>
        <v>82.54</v>
      </c>
      <c r="K13" s="38">
        <f>K33</f>
        <v>54.910000000000004</v>
      </c>
      <c r="L13" s="38">
        <f>L33</f>
        <v>54.910000000000004</v>
      </c>
      <c r="M13" s="38">
        <f>M33</f>
        <v>82.19</v>
      </c>
      <c r="N13" s="38">
        <f>N33</f>
        <v>54.910000000000004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24.92</v>
      </c>
      <c r="G14" s="38">
        <f>G34</f>
        <v>612.0699999999999</v>
      </c>
      <c r="H14" s="38">
        <f>H34</f>
        <v>89.0</v>
      </c>
      <c r="I14" s="38">
        <f>I34</f>
        <v>610.37</v>
      </c>
      <c r="J14" s="38">
        <f>J34</f>
        <v>26.62</v>
      </c>
      <c r="K14" s="38">
        <f>K34</f>
        <v>585.45</v>
      </c>
      <c r="L14" s="38">
        <f>L34</f>
        <v>113.92</v>
      </c>
      <c r="M14" s="38">
        <f>M34</f>
        <v>612.0699999999999</v>
      </c>
      <c r="N14" s="38">
        <f>N34</f>
        <v>24.92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32.120999999999995</v>
      </c>
      <c r="G15" s="38">
        <f>$E$30+G35</f>
        <v>45.321</v>
      </c>
      <c r="H15" s="38">
        <f>$E$30+H35</f>
        <v>32.120999999999995</v>
      </c>
      <c r="I15" s="38">
        <f>$E$30+I35</f>
        <v>44.120999999999995</v>
      </c>
      <c r="J15" s="38">
        <f>$E$30+J35</f>
        <v>33.321</v>
      </c>
      <c r="K15" s="38">
        <f>$E$30+K35</f>
        <v>41.721</v>
      </c>
      <c r="L15" s="38">
        <f>$E$30+L35</f>
        <v>34.521</v>
      </c>
      <c r="M15" s="38">
        <f>$E$30+M35</f>
        <v>45.321</v>
      </c>
      <c r="N15" s="38">
        <f>$E$30+N35</f>
        <v>32.120999999999995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192.15072</v>
      </c>
      <c r="F16" s="38">
        <f>F12+F13+F14+F15</f>
        <v>219.47071999999997</v>
      </c>
      <c r="G16" s="38">
        <f>G12+G13+G14+G15</f>
        <v>847.10072</v>
      </c>
      <c r="H16" s="38">
        <f>H12+H13+H14+H15</f>
        <v>283.55072</v>
      </c>
      <c r="I16" s="38">
        <f>I12+I13+I14+I15</f>
        <v>816.92072</v>
      </c>
      <c r="J16" s="38">
        <f>J12+J13+J14+J15</f>
        <v>250.00072</v>
      </c>
      <c r="K16" s="38">
        <f>K12+K13+K14+K15</f>
        <v>789.60072</v>
      </c>
      <c r="L16" s="38">
        <f>L12+L13+L14+L15</f>
        <v>310.87072</v>
      </c>
      <c r="M16" s="38">
        <f>M12+M13+M14+M15</f>
        <v>847.10072</v>
      </c>
      <c r="N16" s="38">
        <f>N12+N13+N14+N15</f>
        <v>219.47071999999997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54.910000000000004</v>
      </c>
      <c r="F33" s="38">
        <f>SUM(F70:F71)*$E$36</f>
        <v>54.910000000000004</v>
      </c>
      <c r="G33" s="38">
        <f>SUM(G70:G71)*$E$36</f>
        <v>82.19</v>
      </c>
      <c r="H33" s="38">
        <f>SUM(H70:H71)*$E$36</f>
        <v>54.910000000000004</v>
      </c>
      <c r="I33" s="38">
        <f>SUM(I70:I71)*$E$36</f>
        <v>54.910000000000004</v>
      </c>
      <c r="J33" s="38">
        <f>SUM(J70:J71)*$E$36</f>
        <v>82.54</v>
      </c>
      <c r="K33" s="38">
        <f>SUM(K70:K71)*$E$36</f>
        <v>54.910000000000004</v>
      </c>
      <c r="L33" s="38">
        <f>SUM(L70:L71)*$E$36</f>
        <v>54.910000000000004</v>
      </c>
      <c r="M33" s="38">
        <f>SUM(M70:M71)*$E$36</f>
        <v>82.19</v>
      </c>
      <c r="N33" s="38">
        <f>SUM(N70:N71)*$E$36</f>
        <v>54.910000000000004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SUM(E75:E89)*$E$36</f>
        <v>0.0</v>
      </c>
      <c r="F34" s="38">
        <f>SUM(F75:F89)*$E$36</f>
        <v>24.92</v>
      </c>
      <c r="G34" s="38">
        <f>SUM(G75:G89)*$E$36</f>
        <v>612.0699999999999</v>
      </c>
      <c r="H34" s="38">
        <f>SUM(H75:H89)*$E$36</f>
        <v>89.0</v>
      </c>
      <c r="I34" s="38">
        <f>SUM(I75:I89)*$E$36</f>
        <v>610.37</v>
      </c>
      <c r="J34" s="38">
        <f>SUM(J75:J89)*$E$36</f>
        <v>26.62</v>
      </c>
      <c r="K34" s="38">
        <f>SUM(K75:K89)*$E$36</f>
        <v>585.45</v>
      </c>
      <c r="L34" s="38">
        <f>SUM(L75:L89)*$E$36</f>
        <v>113.92</v>
      </c>
      <c r="M34" s="38">
        <f>SUM(M75:M89)*$E$36</f>
        <v>612.0699999999999</v>
      </c>
      <c r="N34" s="38">
        <f>SUM(N75:N89)*$E$36</f>
        <v>24.92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(SUMPRODUCT($P$70:$P$71,(E70:E71&gt;0)*1)+SUMPRODUCT($P$75:$P$89,(E75:E89&gt;0)*1))*$E$29/1000</f>
        <v>2.4</v>
      </c>
      <c r="F35" s="38">
        <f>(SUMPRODUCT($P$70:$P$71,(F70:F71&gt;0)*1)+SUMPRODUCT($P$75:$P$89,(F75:F89&gt;0)*1))*$E$29/1000</f>
        <v>4.8</v>
      </c>
      <c r="G35" s="38">
        <f>(SUMPRODUCT($P$70:$P$71,(G70:G71&gt;0)*1)+SUMPRODUCT($P$75:$P$89,(G75:G89&gt;0)*1))*$E$29/1000</f>
        <v>18.0</v>
      </c>
      <c r="H35" s="38">
        <f>(SUMPRODUCT($P$70:$P$71,(H70:H71&gt;0)*1)+SUMPRODUCT($P$75:$P$89,(H75:H89&gt;0)*1))*$E$29/1000</f>
        <v>4.8</v>
      </c>
      <c r="I35" s="38">
        <f>(SUMPRODUCT($P$70:$P$71,(I70:I71&gt;0)*1)+SUMPRODUCT($P$75:$P$89,(I75:I89&gt;0)*1))*$E$29/1000</f>
        <v>16.8</v>
      </c>
      <c r="J35" s="38">
        <f>(SUMPRODUCT($P$70:$P$71,(J70:J71&gt;0)*1)+SUMPRODUCT($P$75:$P$89,(J75:J89&gt;0)*1))*$E$29/1000</f>
        <v>6.0</v>
      </c>
      <c r="K35" s="38">
        <f>(SUMPRODUCT($P$70:$P$71,(K70:K71&gt;0)*1)+SUMPRODUCT($P$75:$P$89,(K75:K89&gt;0)*1))*$E$29/1000</f>
        <v>14.4</v>
      </c>
      <c r="L35" s="38">
        <f>(SUMPRODUCT($P$70:$P$71,(L70:L71&gt;0)*1)+SUMPRODUCT($P$75:$P$89,(L75:L89&gt;0)*1))*$E$29/1000</f>
        <v>7.2</v>
      </c>
      <c r="M35" s="38">
        <f>(SUMPRODUCT($P$70:$P$71,(M70:M71&gt;0)*1)+SUMPRODUCT($P$75:$P$89,(M75:M89&gt;0)*1))*$E$29/1000</f>
        <v>18.0</v>
      </c>
      <c r="N35" s="38">
        <f>(SUMPRODUCT($P$70:$P$71,(N70:N71&gt;0)*1)+SUMPRODUCT($P$75:$P$89,(N75:N89&gt;0)*1))*$E$29/1000</f>
        <v>4.8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Быстроизнашиваемые элементы</t>
        </is>
      </c>
      <c r="C70" s="45" t="n">
        <v>27.28</v>
      </c>
      <c r="D70" s="47" t="n">
        <v>3000</v>
      </c>
      <c r="E70" s="46">
        <f>(INT($E$20*1/$D70)-INT($E$20*(1-1)/$D70))*$C70</f>
        <v>54.56</v>
      </c>
      <c r="F70" s="46">
        <f>(INT($E$20*2/$D70)-INT($E$20*(2-1)/$D70))*$C70</f>
        <v>54.56</v>
      </c>
      <c r="G70" s="46">
        <f>(INT($E$20*3/$D70)-INT($E$20*(3-1)/$D70))*$C70</f>
        <v>81.84</v>
      </c>
      <c r="H70" s="46">
        <f>(INT($E$20*4/$D70)-INT($E$20*(4-1)/$D70))*$C70</f>
        <v>54.56</v>
      </c>
      <c r="I70" s="46">
        <f>(INT($E$20*5/$D70)-INT($E$20*(5-1)/$D70))*$C70</f>
        <v>54.56</v>
      </c>
      <c r="J70" s="46">
        <f>(INT($E$20*6/$D70)-INT($E$20*(6-1)/$D70))*$C70</f>
        <v>81.84</v>
      </c>
      <c r="K70" s="46">
        <f>(INT($E$20*7/$D70)-INT($E$20*(7-1)/$D70))*$C70</f>
        <v>54.56</v>
      </c>
      <c r="L70" s="46">
        <f>(INT($E$20*8/$D70)-INT($E$20*(8-1)/$D70))*$C70</f>
        <v>54.56</v>
      </c>
      <c r="M70" s="46">
        <f>(INT($E$20*9/$D70)-INT($E$20*(9-1)/$D70))*$C70</f>
        <v>81.84</v>
      </c>
      <c r="N70" s="46">
        <f>(INT($E$20*10/$D70)-INT($E$20*(10-1)/$D70))*$C70</f>
        <v>54.56</v>
      </c>
      <c r="P70" s="47" t="n">
        <v>24</v>
      </c>
    </row>
    <row r="71">
      <c r="B71" s="22" t="inlineStr">
        <is>
          <t>Быстроизнашиваемые детали</t>
        </is>
      </c>
      <c r="C71" s="45" t="n">
        <v>0.35</v>
      </c>
      <c r="D71" s="47" t="n">
        <v>6000</v>
      </c>
      <c r="E71" s="46">
        <f>(INT($E$20*1/$D71)-INT($E$20*(1-1)/$D71))*$C71</f>
        <v>0.35</v>
      </c>
      <c r="F71" s="46">
        <f>(INT($E$20*2/$D71)-INT($E$20*(2-1)/$D71))*$C71</f>
        <v>0.35</v>
      </c>
      <c r="G71" s="46">
        <f>(INT($E$20*3/$D71)-INT($E$20*(3-1)/$D71))*$C71</f>
        <v>0.35</v>
      </c>
      <c r="H71" s="46">
        <f>(INT($E$20*4/$D71)-INT($E$20*(4-1)/$D71))*$C71</f>
        <v>0.35</v>
      </c>
      <c r="I71" s="46">
        <f>(INT($E$20*5/$D71)-INT($E$20*(5-1)/$D71))*$C71</f>
        <v>0.35</v>
      </c>
      <c r="J71" s="46">
        <f>(INT($E$20*6/$D71)-INT($E$20*(6-1)/$D71))*$C71</f>
        <v>0.7</v>
      </c>
      <c r="K71" s="46">
        <f>(INT($E$20*7/$D71)-INT($E$20*(7-1)/$D71))*$C71</f>
        <v>0.35</v>
      </c>
      <c r="L71" s="46">
        <f>(INT($E$20*8/$D71)-INT($E$20*(8-1)/$D71))*$C71</f>
        <v>0.35</v>
      </c>
      <c r="M71" s="46">
        <f>(INT($E$20*9/$D71)-INT($E$20*(9-1)/$D71))*$C71</f>
        <v>0.35</v>
      </c>
      <c r="N71" s="46">
        <f>(INT($E$20*10/$D71)-INT($E$20*(10-1)/$D71))*$C71</f>
        <v>0.35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Крыльчатка вентилятора</t>
        </is>
      </c>
      <c r="C75" s="45" t="n">
        <v>1.56</v>
      </c>
      <c r="D75" s="47" t="n">
        <v>15000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1.56</v>
      </c>
      <c r="H75" s="46">
        <f>(INT($E$20*4/$D75)-INT($E$20*(4-1)/$D75))*$C75</f>
        <v>0.0</v>
      </c>
      <c r="I75" s="46">
        <f>(INT($E$20*5/$D75)-INT($E$20*(5-1)/$D75))*$C75</f>
        <v>1.56</v>
      </c>
      <c r="J75" s="46">
        <f>(INT($E$20*6/$D75)-INT($E$20*(6-1)/$D75))*$C75</f>
        <v>0.0</v>
      </c>
      <c r="K75" s="46">
        <f>(INT($E$20*7/$D75)-INT($E$20*(7-1)/$D75))*$C75</f>
        <v>1.56</v>
      </c>
      <c r="L75" s="46">
        <f>(INT($E$20*8/$D75)-INT($E$20*(8-1)/$D75))*$C75</f>
        <v>0.0</v>
      </c>
      <c r="M75" s="46">
        <f>(INT($E$20*9/$D75)-INT($E$20*(9-1)/$D75))*$C75</f>
        <v>1.56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Аккум. батарея</t>
        </is>
      </c>
      <c r="C76" s="45" t="n">
        <v>1.7</v>
      </c>
      <c r="D76" s="47" t="n">
        <v>20000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1.7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1.7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1.7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Капремонт двигателя</t>
        </is>
      </c>
      <c r="C77" s="45" t="n">
        <v>326.28</v>
      </c>
      <c r="D77" s="47" t="n">
        <v>15000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326.28</v>
      </c>
      <c r="H77" s="46">
        <f>(INT($E$20*4/$D77)-INT($E$20*(4-1)/$D77))*$C77</f>
        <v>0.0</v>
      </c>
      <c r="I77" s="46">
        <f>(INT($E$20*5/$D77)-INT($E$20*(5-1)/$D77))*$C77</f>
        <v>326.28</v>
      </c>
      <c r="J77" s="46">
        <f>(INT($E$20*6/$D77)-INT($E$20*(6-1)/$D77))*$C77</f>
        <v>0.0</v>
      </c>
      <c r="K77" s="46">
        <f>(INT($E$20*7/$D77)-INT($E$20*(7-1)/$D77))*$C77</f>
        <v>326.28</v>
      </c>
      <c r="L77" s="46">
        <f>(INT($E$20*8/$D77)-INT($E$20*(8-1)/$D77))*$C77</f>
        <v>0.0</v>
      </c>
      <c r="M77" s="46">
        <f>(INT($E$20*9/$D77)-INT($E$20*(9-1)/$D77))*$C77</f>
        <v>326.28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Ходовой мотор-редуктор</t>
        </is>
      </c>
      <c r="C78" s="45" t="n">
        <v>22</v>
      </c>
      <c r="D78" s="47" t="n">
        <v>15000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22.0</v>
      </c>
      <c r="H78" s="46">
        <f>(INT($E$20*4/$D78)-INT($E$20*(4-1)/$D78))*$C78</f>
        <v>0.0</v>
      </c>
      <c r="I78" s="46">
        <f>(INT($E$20*5/$D78)-INT($E$20*(5-1)/$D78))*$C78</f>
        <v>22.0</v>
      </c>
      <c r="J78" s="46">
        <f>(INT($E$20*6/$D78)-INT($E$20*(6-1)/$D78))*$C78</f>
        <v>0.0</v>
      </c>
      <c r="K78" s="46">
        <f>(INT($E$20*7/$D78)-INT($E$20*(7-1)/$D78))*$C78</f>
        <v>22.0</v>
      </c>
      <c r="L78" s="46">
        <f>(INT($E$20*8/$D78)-INT($E$20*(8-1)/$D78))*$C78</f>
        <v>0.0</v>
      </c>
      <c r="M78" s="46">
        <f>(INT($E$20*9/$D78)-INT($E$20*(9-1)/$D78))*$C78</f>
        <v>22.0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Редуктор хода</t>
        </is>
      </c>
      <c r="C79" s="45" t="n">
        <v>72.11</v>
      </c>
      <c r="D79" s="47" t="n">
        <v>15000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72.11</v>
      </c>
      <c r="H79" s="46">
        <f>(INT($E$20*4/$D79)-INT($E$20*(4-1)/$D79))*$C79</f>
        <v>0.0</v>
      </c>
      <c r="I79" s="46">
        <f>(INT($E$20*5/$D79)-INT($E$20*(5-1)/$D79))*$C79</f>
        <v>72.11</v>
      </c>
      <c r="J79" s="46">
        <f>(INT($E$20*6/$D79)-INT($E$20*(6-1)/$D79))*$C79</f>
        <v>0.0</v>
      </c>
      <c r="K79" s="46">
        <f>(INT($E$20*7/$D79)-INT($E$20*(7-1)/$D79))*$C79</f>
        <v>72.11</v>
      </c>
      <c r="L79" s="46">
        <f>(INT($E$20*8/$D79)-INT($E$20*(8-1)/$D79))*$C79</f>
        <v>0.0</v>
      </c>
      <c r="M79" s="46">
        <f>(INT($E$20*9/$D79)-INT($E$20*(9-1)/$D79))*$C79</f>
        <v>72.11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Ремонт форсунок</t>
        </is>
      </c>
      <c r="C80" s="45" t="n">
        <v>15.51</v>
      </c>
      <c r="D80" s="47" t="n">
        <v>10000</v>
      </c>
      <c r="E80" s="46">
        <f>(INT($E$20*1/$D80)-INT($E$20*(1-1)/$D80))*$C80</f>
        <v>0.0</v>
      </c>
      <c r="F80" s="46">
        <f>(INT($E$20*2/$D80)-INT($E$20*(2-1)/$D80))*$C80</f>
        <v>15.51</v>
      </c>
      <c r="G80" s="46">
        <f>(INT($E$20*3/$D80)-INT($E$20*(3-1)/$D80))*$C80</f>
        <v>15.51</v>
      </c>
      <c r="H80" s="46">
        <f>(INT($E$20*4/$D80)-INT($E$20*(4-1)/$D80))*$C80</f>
        <v>0.0</v>
      </c>
      <c r="I80" s="46">
        <f>(INT($E$20*5/$D80)-INT($E$20*(5-1)/$D80))*$C80</f>
        <v>15.51</v>
      </c>
      <c r="J80" s="46">
        <f>(INT($E$20*6/$D80)-INT($E$20*(6-1)/$D80))*$C80</f>
        <v>15.51</v>
      </c>
      <c r="K80" s="46">
        <f>(INT($E$20*7/$D80)-INT($E$20*(7-1)/$D80))*$C80</f>
        <v>0.0</v>
      </c>
      <c r="L80" s="46">
        <f>(INT($E$20*8/$D80)-INT($E$20*(8-1)/$D80))*$C80</f>
        <v>15.51</v>
      </c>
      <c r="M80" s="46">
        <f>(INT($E$20*9/$D80)-INT($E$20*(9-1)/$D80))*$C80</f>
        <v>15.51</v>
      </c>
      <c r="N80" s="46">
        <f>(INT($E$20*10/$D80)-INT($E$20*(10-1)/$D80))*$C80</f>
        <v>15.51</v>
      </c>
      <c r="P80" s="47" t="n">
        <v>24</v>
      </c>
    </row>
    <row r="81">
      <c r="B81" s="22" t="inlineStr">
        <is>
          <t>Стартер</t>
        </is>
      </c>
      <c r="C81" s="45" t="n">
        <v>9.41</v>
      </c>
      <c r="D81" s="47" t="n">
        <v>10000</v>
      </c>
      <c r="E81" s="46">
        <f>(INT($E$20*1/$D81)-INT($E$20*(1-1)/$D81))*$C81</f>
        <v>0.0</v>
      </c>
      <c r="F81" s="46">
        <f>(INT($E$20*2/$D81)-INT($E$20*(2-1)/$D81))*$C81</f>
        <v>9.41</v>
      </c>
      <c r="G81" s="46">
        <f>(INT($E$20*3/$D81)-INT($E$20*(3-1)/$D81))*$C81</f>
        <v>9.41</v>
      </c>
      <c r="H81" s="46">
        <f>(INT($E$20*4/$D81)-INT($E$20*(4-1)/$D81))*$C81</f>
        <v>0.0</v>
      </c>
      <c r="I81" s="46">
        <f>(INT($E$20*5/$D81)-INT($E$20*(5-1)/$D81))*$C81</f>
        <v>9.41</v>
      </c>
      <c r="J81" s="46">
        <f>(INT($E$20*6/$D81)-INT($E$20*(6-1)/$D81))*$C81</f>
        <v>9.41</v>
      </c>
      <c r="K81" s="46">
        <f>(INT($E$20*7/$D81)-INT($E$20*(7-1)/$D81))*$C81</f>
        <v>0.0</v>
      </c>
      <c r="L81" s="46">
        <f>(INT($E$20*8/$D81)-INT($E$20*(8-1)/$D81))*$C81</f>
        <v>9.41</v>
      </c>
      <c r="M81" s="46">
        <f>(INT($E$20*9/$D81)-INT($E$20*(9-1)/$D81))*$C81</f>
        <v>9.41</v>
      </c>
      <c r="N81" s="46">
        <f>(INT($E$20*10/$D81)-INT($E$20*(10-1)/$D81))*$C81</f>
        <v>9.41</v>
      </c>
      <c r="P81" s="47" t="n">
        <v>24</v>
      </c>
    </row>
    <row r="82">
      <c r="B82" s="22" t="inlineStr">
        <is>
          <t>Цилиндр стрелы</t>
        </is>
      </c>
      <c r="C82" s="45" t="n">
        <v>28.5</v>
      </c>
      <c r="D82" s="47" t="n">
        <v>15000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28.5</v>
      </c>
      <c r="H82" s="46">
        <f>(INT($E$20*4/$D82)-INT($E$20*(4-1)/$D82))*$C82</f>
        <v>0.0</v>
      </c>
      <c r="I82" s="46">
        <f>(INT($E$20*5/$D82)-INT($E$20*(5-1)/$D82))*$C82</f>
        <v>28.5</v>
      </c>
      <c r="J82" s="46">
        <f>(INT($E$20*6/$D82)-INT($E$20*(6-1)/$D82))*$C82</f>
        <v>0.0</v>
      </c>
      <c r="K82" s="46">
        <f>(INT($E$20*7/$D82)-INT($E$20*(7-1)/$D82))*$C82</f>
        <v>28.5</v>
      </c>
      <c r="L82" s="46">
        <f>(INT($E$20*8/$D82)-INT($E$20*(8-1)/$D82))*$C82</f>
        <v>0.0</v>
      </c>
      <c r="M82" s="46">
        <f>(INT($E$20*9/$D82)-INT($E$20*(9-1)/$D82))*$C82</f>
        <v>28.5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Цилиндр рукояти</t>
        </is>
      </c>
      <c r="C83" s="45" t="n">
        <v>18</v>
      </c>
      <c r="D83" s="47" t="n">
        <v>15000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18.0</v>
      </c>
      <c r="H83" s="46">
        <f>(INT($E$20*4/$D83)-INT($E$20*(4-1)/$D83))*$C83</f>
        <v>0.0</v>
      </c>
      <c r="I83" s="46">
        <f>(INT($E$20*5/$D83)-INT($E$20*(5-1)/$D83))*$C83</f>
        <v>18.0</v>
      </c>
      <c r="J83" s="46">
        <f>(INT($E$20*6/$D83)-INT($E$20*(6-1)/$D83))*$C83</f>
        <v>0.0</v>
      </c>
      <c r="K83" s="46">
        <f>(INT($E$20*7/$D83)-INT($E$20*(7-1)/$D83))*$C83</f>
        <v>18.0</v>
      </c>
      <c r="L83" s="46">
        <f>(INT($E$20*8/$D83)-INT($E$20*(8-1)/$D83))*$C83</f>
        <v>0.0</v>
      </c>
      <c r="M83" s="46">
        <f>(INT($E$20*9/$D83)-INT($E$20*(9-1)/$D83))*$C83</f>
        <v>18.0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Цилиндр ковша (левый)</t>
        </is>
      </c>
      <c r="C84" s="45" t="n">
        <v>11.5</v>
      </c>
      <c r="D84" s="47" t="n">
        <v>15000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11.5</v>
      </c>
      <c r="H84" s="46">
        <f>(INT($E$20*4/$D84)-INT($E$20*(4-1)/$D84))*$C84</f>
        <v>0.0</v>
      </c>
      <c r="I84" s="46">
        <f>(INT($E$20*5/$D84)-INT($E$20*(5-1)/$D84))*$C84</f>
        <v>11.5</v>
      </c>
      <c r="J84" s="46">
        <f>(INT($E$20*6/$D84)-INT($E$20*(6-1)/$D84))*$C84</f>
        <v>0.0</v>
      </c>
      <c r="K84" s="46">
        <f>(INT($E$20*7/$D84)-INT($E$20*(7-1)/$D84))*$C84</f>
        <v>11.5</v>
      </c>
      <c r="L84" s="46">
        <f>(INT($E$20*8/$D84)-INT($E$20*(8-1)/$D84))*$C84</f>
        <v>0.0</v>
      </c>
      <c r="M84" s="46">
        <f>(INT($E$20*9/$D84)-INT($E$20*(9-1)/$D84))*$C84</f>
        <v>11.5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Цилиндр ковша (правый)</t>
        </is>
      </c>
      <c r="C85" s="45" t="n">
        <v>11.5</v>
      </c>
      <c r="D85" s="47" t="n">
        <v>15000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11.5</v>
      </c>
      <c r="H85" s="46">
        <f>(INT($E$20*4/$D85)-INT($E$20*(4-1)/$D85))*$C85</f>
        <v>0.0</v>
      </c>
      <c r="I85" s="46">
        <f>(INT($E$20*5/$D85)-INT($E$20*(5-1)/$D85))*$C85</f>
        <v>11.5</v>
      </c>
      <c r="J85" s="46">
        <f>(INT($E$20*6/$D85)-INT($E$20*(6-1)/$D85))*$C85</f>
        <v>0.0</v>
      </c>
      <c r="K85" s="46">
        <f>(INT($E$20*7/$D85)-INT($E$20*(7-1)/$D85))*$C85</f>
        <v>11.5</v>
      </c>
      <c r="L85" s="46">
        <f>(INT($E$20*8/$D85)-INT($E$20*(8-1)/$D85))*$C85</f>
        <v>0.0</v>
      </c>
      <c r="M85" s="46">
        <f>(INT($E$20*9/$D85)-INT($E$20*(9-1)/$D85))*$C85</f>
        <v>11.5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Двигатель поворота</t>
        </is>
      </c>
      <c r="C86" s="45" t="n">
        <v>38</v>
      </c>
      <c r="D86" s="47" t="n">
        <v>15000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38.0</v>
      </c>
      <c r="H86" s="46">
        <f>(INT($E$20*4/$D86)-INT($E$20*(4-1)/$D86))*$C86</f>
        <v>0.0</v>
      </c>
      <c r="I86" s="46">
        <f>(INT($E$20*5/$D86)-INT($E$20*(5-1)/$D86))*$C86</f>
        <v>38.0</v>
      </c>
      <c r="J86" s="46">
        <f>(INT($E$20*6/$D86)-INT($E$20*(6-1)/$D86))*$C86</f>
        <v>0.0</v>
      </c>
      <c r="K86" s="46">
        <f>(INT($E$20*7/$D86)-INT($E$20*(7-1)/$D86))*$C86</f>
        <v>38.0</v>
      </c>
      <c r="L86" s="46">
        <f>(INT($E$20*8/$D86)-INT($E$20*(8-1)/$D86))*$C86</f>
        <v>0.0</v>
      </c>
      <c r="M86" s="46">
        <f>(INT($E$20*9/$D86)-INT($E$20*(9-1)/$D86))*$C86</f>
        <v>38.0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Поворотный редуктор</t>
        </is>
      </c>
      <c r="C87" s="45" t="n">
        <v>56</v>
      </c>
      <c r="D87" s="47" t="n">
        <v>15000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56.0</v>
      </c>
      <c r="H87" s="46">
        <f>(INT($E$20*4/$D87)-INT($E$20*(4-1)/$D87))*$C87</f>
        <v>0.0</v>
      </c>
      <c r="I87" s="46">
        <f>(INT($E$20*5/$D87)-INT($E$20*(5-1)/$D87))*$C87</f>
        <v>56.0</v>
      </c>
      <c r="J87" s="46">
        <f>(INT($E$20*6/$D87)-INT($E$20*(6-1)/$D87))*$C87</f>
        <v>0.0</v>
      </c>
      <c r="K87" s="46">
        <f>(INT($E$20*7/$D87)-INT($E$20*(7-1)/$D87))*$C87</f>
        <v>56.0</v>
      </c>
      <c r="L87" s="46">
        <f>(INT($E$20*8/$D87)-INT($E$20*(8-1)/$D87))*$C87</f>
        <v>0.0</v>
      </c>
      <c r="M87" s="46">
        <f>(INT($E$20*9/$D87)-INT($E$20*(9-1)/$D87))*$C87</f>
        <v>56.0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Центральный поворотный узел</t>
        </is>
      </c>
      <c r="C88" s="45" t="n">
        <v>26.5</v>
      </c>
      <c r="D88" s="47" t="n">
        <v>25000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0.0</v>
      </c>
      <c r="H88" s="46">
        <f>(INT($E$20*4/$D88)-INT($E$20*(4-1)/$D88))*$C88</f>
        <v>26.5</v>
      </c>
      <c r="I88" s="46">
        <f>(INT($E$20*5/$D88)-INT($E$20*(5-1)/$D88))*$C88</f>
        <v>0.0</v>
      </c>
      <c r="J88" s="46">
        <f>(INT($E$20*6/$D88)-INT($E$20*(6-1)/$D88))*$C88</f>
        <v>0.0</v>
      </c>
      <c r="K88" s="46">
        <f>(INT($E$20*7/$D88)-INT($E$20*(7-1)/$D88))*$C88</f>
        <v>0.0</v>
      </c>
      <c r="L88" s="46">
        <f>(INT($E$20*8/$D88)-INT($E$20*(8-1)/$D88))*$C88</f>
        <v>26.5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Опора поворотного устройства</t>
        </is>
      </c>
      <c r="C89" s="45" t="n">
        <v>62.5</v>
      </c>
      <c r="D89" s="47" t="n">
        <v>25000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0.0</v>
      </c>
      <c r="H89" s="46">
        <f>(INT($E$20*4/$D89)-INT($E$20*(4-1)/$D89))*$C89</f>
        <v>62.5</v>
      </c>
      <c r="I89" s="46">
        <f>(INT($E$20*5/$D89)-INT($E$20*(5-1)/$D89))*$C89</f>
        <v>0.0</v>
      </c>
      <c r="J89" s="46">
        <f>(INT($E$20*6/$D89)-INT($E$20*(6-1)/$D89))*$C89</f>
        <v>0.0</v>
      </c>
      <c r="K89" s="46">
        <f>(INT($E$20*7/$D89)-INT($E$20*(7-1)/$D89))*$C89</f>
        <v>0.0</v>
      </c>
      <c r="L89" s="46">
        <f>(INT($E$20*8/$D89)-INT($E$20*(8-1)/$D89))*$C89</f>
        <v>62.5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1">
      <c r="B91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91:P91"/>
    <mergeCell ref="B37:N37"/>
    <mergeCell ref="B31:N31"/>
    <mergeCell ref="B1:N1"/>
    <mergeCell ref="E4:N4"/>
    <mergeCell ref="B73:N73"/>
    <mergeCell ref="B19:N19"/>
    <mergeCell ref="B68:N6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10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данных'!H7</f>
        <v>Shantui SE2000LCW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43.48</v>
      </c>
      <c r="F13" s="38">
        <f>F33</f>
        <v>43.48</v>
      </c>
      <c r="G13" s="38">
        <f>G33</f>
        <v>43.48</v>
      </c>
      <c r="H13" s="38">
        <f>H33</f>
        <v>43.48</v>
      </c>
      <c r="I13" s="38">
        <f>I33</f>
        <v>43.48</v>
      </c>
      <c r="J13" s="38">
        <f>J33</f>
        <v>86.96</v>
      </c>
      <c r="K13" s="38">
        <f>K33</f>
        <v>43.48</v>
      </c>
      <c r="L13" s="38">
        <f>L33</f>
        <v>43.48</v>
      </c>
      <c r="M13" s="38">
        <f>M33</f>
        <v>43.48</v>
      </c>
      <c r="N13" s="38">
        <f>N33</f>
        <v>43.48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1049.45</v>
      </c>
      <c r="G14" s="38">
        <f>G34</f>
        <v>7448.05</v>
      </c>
      <c r="H14" s="38">
        <f>H34</f>
        <v>3084.8500000000004</v>
      </c>
      <c r="I14" s="38">
        <f>I34</f>
        <v>2338.1099999999997</v>
      </c>
      <c r="J14" s="38">
        <f>J34</f>
        <v>8497.5</v>
      </c>
      <c r="K14" s="38">
        <f>K34</f>
        <v>3084.8500000000004</v>
      </c>
      <c r="L14" s="38">
        <f>L34</f>
        <v>7448.05</v>
      </c>
      <c r="M14" s="38">
        <f>M34</f>
        <v>3387.56</v>
      </c>
      <c r="N14" s="38">
        <f>N34</f>
        <v>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28.520999999999997</v>
      </c>
      <c r="F15" s="38">
        <f>$E$30+F35</f>
        <v>41.721</v>
      </c>
      <c r="G15" s="38">
        <f>$E$30+G35</f>
        <v>46.521</v>
      </c>
      <c r="H15" s="38">
        <f>$E$30+H35</f>
        <v>42.921</v>
      </c>
      <c r="I15" s="38">
        <f>$E$30+I35</f>
        <v>32.120999999999995</v>
      </c>
      <c r="J15" s="38">
        <f>$E$30+J35</f>
        <v>59.721</v>
      </c>
      <c r="K15" s="38">
        <f>$E$30+K35</f>
        <v>42.921</v>
      </c>
      <c r="L15" s="38">
        <f>$E$30+L35</f>
        <v>46.521</v>
      </c>
      <c r="M15" s="38">
        <f>$E$30+M35</f>
        <v>45.321</v>
      </c>
      <c r="N15" s="38">
        <f>$E$30+N35</f>
        <v>28.520999999999997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179.52071999999998</v>
      </c>
      <c r="F16" s="38">
        <f>F12+F13+F14+F15</f>
        <v>1242.17072</v>
      </c>
      <c r="G16" s="38">
        <f>G12+G13+G14+G15</f>
        <v>7645.57072</v>
      </c>
      <c r="H16" s="38">
        <f>H12+H13+H14+H15</f>
        <v>3278.77072</v>
      </c>
      <c r="I16" s="38">
        <f>I12+I13+I14+I15</f>
        <v>2521.2307199999996</v>
      </c>
      <c r="J16" s="38">
        <f>J12+J13+J14+J15</f>
        <v>8751.700719999999</v>
      </c>
      <c r="K16" s="38">
        <f>K12+K13+K14+K15</f>
        <v>3278.77072</v>
      </c>
      <c r="L16" s="38">
        <f>L12+L13+L14+L15</f>
        <v>7645.57072</v>
      </c>
      <c r="M16" s="38">
        <f>M12+M13+M14+M15</f>
        <v>3583.8807199999997</v>
      </c>
      <c r="N16" s="38">
        <f>N12+N13+N14+N15</f>
        <v>179.52071999999998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SUM(E70:E70)*$E$36</f>
        <v>43.48</v>
      </c>
      <c r="F33" s="38">
        <f>SUM(F70:F70)*$E$36</f>
        <v>43.48</v>
      </c>
      <c r="G33" s="38">
        <f>SUM(G70:G70)*$E$36</f>
        <v>43.48</v>
      </c>
      <c r="H33" s="38">
        <f>SUM(H70:H70)*$E$36</f>
        <v>43.48</v>
      </c>
      <c r="I33" s="38">
        <f>SUM(I70:I70)*$E$36</f>
        <v>43.48</v>
      </c>
      <c r="J33" s="38">
        <f>SUM(J70:J70)*$E$36</f>
        <v>86.96</v>
      </c>
      <c r="K33" s="38">
        <f>SUM(K70:K70)*$E$36</f>
        <v>43.48</v>
      </c>
      <c r="L33" s="38">
        <f>SUM(L70:L70)*$E$36</f>
        <v>43.48</v>
      </c>
      <c r="M33" s="38">
        <f>SUM(M70:M70)*$E$36</f>
        <v>43.48</v>
      </c>
      <c r="N33" s="38">
        <f>SUM(N70:N70)*$E$36</f>
        <v>43.48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SUM(E74:E103)*$E$36</f>
        <v>0.0</v>
      </c>
      <c r="F34" s="38">
        <f>SUM(F74:F103)*$E$36</f>
        <v>1049.45</v>
      </c>
      <c r="G34" s="38">
        <f>SUM(G74:G103)*$E$36</f>
        <v>7448.05</v>
      </c>
      <c r="H34" s="38">
        <f>SUM(H74:H103)*$E$36</f>
        <v>3084.8500000000004</v>
      </c>
      <c r="I34" s="38">
        <f>SUM(I74:I103)*$E$36</f>
        <v>2338.1099999999997</v>
      </c>
      <c r="J34" s="38">
        <f>SUM(J74:J103)*$E$36</f>
        <v>8497.5</v>
      </c>
      <c r="K34" s="38">
        <f>SUM(K74:K103)*$E$36</f>
        <v>3084.8500000000004</v>
      </c>
      <c r="L34" s="38">
        <f>SUM(L74:L103)*$E$36</f>
        <v>7448.05</v>
      </c>
      <c r="M34" s="38">
        <f>SUM(M74:M103)*$E$36</f>
        <v>3387.56</v>
      </c>
      <c r="N34" s="38">
        <f>SUM(N74:N103)*$E$36</f>
        <v>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(SUMPRODUCT($P$70:$P$70,(E70:E70&gt;0)*1)+SUMPRODUCT($P$74:$P$103,(E74:E103&gt;0)*1))*$E$29/1000</f>
        <v>1.2</v>
      </c>
      <c r="F35" s="38">
        <f>(SUMPRODUCT($P$70:$P$70,(F70:F70&gt;0)*1)+SUMPRODUCT($P$74:$P$103,(F74:F103&gt;0)*1))*$E$29/1000</f>
        <v>14.4</v>
      </c>
      <c r="G35" s="38">
        <f>(SUMPRODUCT($P$70:$P$70,(G70:G70&gt;0)*1)+SUMPRODUCT($P$74:$P$103,(G74:G103&gt;0)*1))*$E$29/1000</f>
        <v>19.2</v>
      </c>
      <c r="H35" s="38">
        <f>(SUMPRODUCT($P$70:$P$70,(H70:H70&gt;0)*1)+SUMPRODUCT($P$74:$P$103,(H74:H103&gt;0)*1))*$E$29/1000</f>
        <v>15.6</v>
      </c>
      <c r="I35" s="38">
        <f>(SUMPRODUCT($P$70:$P$70,(I70:I70&gt;0)*1)+SUMPRODUCT($P$74:$P$103,(I74:I103&gt;0)*1))*$E$29/1000</f>
        <v>4.8</v>
      </c>
      <c r="J35" s="38">
        <f>(SUMPRODUCT($P$70:$P$70,(J70:J70&gt;0)*1)+SUMPRODUCT($P$74:$P$103,(J74:J103&gt;0)*1))*$E$29/1000</f>
        <v>32.4</v>
      </c>
      <c r="K35" s="38">
        <f>(SUMPRODUCT($P$70:$P$70,(K70:K70&gt;0)*1)+SUMPRODUCT($P$74:$P$103,(K74:K103&gt;0)*1))*$E$29/1000</f>
        <v>15.6</v>
      </c>
      <c r="L35" s="38">
        <f>(SUMPRODUCT($P$70:$P$70,(L70:L70&gt;0)*1)+SUMPRODUCT($P$74:$P$103,(L74:L103&gt;0)*1))*$E$29/1000</f>
        <v>19.2</v>
      </c>
      <c r="M35" s="38">
        <f>(SUMPRODUCT($P$70:$P$70,(M70:M70&gt;0)*1)+SUMPRODUCT($P$74:$P$103,(M74:M103&gt;0)*1))*$E$29/1000</f>
        <v>18.0</v>
      </c>
      <c r="N35" s="38">
        <f>(SUMPRODUCT($P$70:$P$70,(N70:N70&gt;0)*1)+SUMPRODUCT($P$74:$P$103,(N74:N103&gt;0)*1))*$E$29/1000</f>
        <v>1.2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Пальцы и втулки раб.об.</t>
        </is>
      </c>
      <c r="C70" s="45" t="n">
        <v>43.48</v>
      </c>
      <c r="D70" s="47" t="n">
        <v>6000</v>
      </c>
      <c r="E70" s="46">
        <f>(INT($E$20*1/$D70)-INT($E$20*(1-1)/$D70))*$C70</f>
        <v>43.48</v>
      </c>
      <c r="F70" s="46">
        <f>(INT($E$20*2/$D70)-INT($E$20*(2-1)/$D70))*$C70</f>
        <v>43.48</v>
      </c>
      <c r="G70" s="46">
        <f>(INT($E$20*3/$D70)-INT($E$20*(3-1)/$D70))*$C70</f>
        <v>43.48</v>
      </c>
      <c r="H70" s="46">
        <f>(INT($E$20*4/$D70)-INT($E$20*(4-1)/$D70))*$C70</f>
        <v>43.48</v>
      </c>
      <c r="I70" s="46">
        <f>(INT($E$20*5/$D70)-INT($E$20*(5-1)/$D70))*$C70</f>
        <v>43.48</v>
      </c>
      <c r="J70" s="46">
        <f>(INT($E$20*6/$D70)-INT($E$20*(6-1)/$D70))*$C70</f>
        <v>86.96</v>
      </c>
      <c r="K70" s="46">
        <f>(INT($E$20*7/$D70)-INT($E$20*(7-1)/$D70))*$C70</f>
        <v>43.48</v>
      </c>
      <c r="L70" s="46">
        <f>(INT($E$20*8/$D70)-INT($E$20*(8-1)/$D70))*$C70</f>
        <v>43.48</v>
      </c>
      <c r="M70" s="46">
        <f>(INT($E$20*9/$D70)-INT($E$20*(9-1)/$D70))*$C70</f>
        <v>43.48</v>
      </c>
      <c r="N70" s="46">
        <f>(INT($E$20*10/$D70)-INT($E$20*(10-1)/$D70))*$C70</f>
        <v>43.48</v>
      </c>
      <c r="P70" s="47" t="n">
        <v>24</v>
      </c>
    </row>
    <row r="72">
      <c r="B72" s="5" t="inlineStr">
        <is>
          <t>КАПИТАЛЬНЫЕ РЕМОНТЫ (ППР) — по ресурсу до замены узла (данные поставщика)</t>
        </is>
      </c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B73" s="15" t="inlineStr">
        <is>
          <t>Узел / вид ремонта</t>
        </is>
      </c>
      <c r="C73" s="15" t="inlineStr">
        <is>
          <t>стоим.замены,тыс</t>
        </is>
      </c>
      <c r="D73" s="15" t="inlineStr">
        <is>
          <t>ресурс, м/ч</t>
        </is>
      </c>
      <c r="E73" s="15" t="inlineStr">
        <is>
          <t>год 1</t>
        </is>
      </c>
      <c r="F73" s="15" t="inlineStr">
        <is>
          <t>год 2</t>
        </is>
      </c>
      <c r="G73" s="15" t="inlineStr">
        <is>
          <t>год 3</t>
        </is>
      </c>
      <c r="H73" s="15" t="inlineStr">
        <is>
          <t>год 4</t>
        </is>
      </c>
      <c r="I73" s="15" t="inlineStr">
        <is>
          <t>год 5</t>
        </is>
      </c>
      <c r="J73" s="15" t="inlineStr">
        <is>
          <t>год 6</t>
        </is>
      </c>
      <c r="K73" s="15" t="inlineStr">
        <is>
          <t>год 7</t>
        </is>
      </c>
      <c r="L73" s="15" t="inlineStr">
        <is>
          <t>год 8</t>
        </is>
      </c>
      <c r="M73" s="15" t="inlineStr">
        <is>
          <t>год 9</t>
        </is>
      </c>
      <c r="N73" s="15" t="inlineStr">
        <is>
          <t>год 10</t>
        </is>
      </c>
      <c r="P73" s="15" t="inlineStr">
        <is>
          <t>нормо-час</t>
        </is>
      </c>
    </row>
    <row r="74">
      <c r="B74" s="22" t="inlineStr">
        <is>
          <t>ДВС</t>
        </is>
      </c>
      <c r="C74" s="45" t="n">
        <v>1540.57</v>
      </c>
      <c r="D74" s="47" t="n">
        <v>18000</v>
      </c>
      <c r="E74" s="46">
        <f>(INT($E$20*1/$D74)-INT($E$20*(1-1)/$D74))*$C74</f>
        <v>0.0</v>
      </c>
      <c r="F74" s="46">
        <f>(INT($E$20*2/$D74)-INT($E$20*(2-1)/$D74))*$C74</f>
        <v>0.0</v>
      </c>
      <c r="G74" s="46">
        <f>(INT($E$20*3/$D74)-INT($E$20*(3-1)/$D74))*$C74</f>
        <v>1540.57</v>
      </c>
      <c r="H74" s="46">
        <f>(INT($E$20*4/$D74)-INT($E$20*(4-1)/$D74))*$C74</f>
        <v>0.0</v>
      </c>
      <c r="I74" s="46">
        <f>(INT($E$20*5/$D74)-INT($E$20*(5-1)/$D74))*$C74</f>
        <v>0.0</v>
      </c>
      <c r="J74" s="46">
        <f>(INT($E$20*6/$D74)-INT($E$20*(6-1)/$D74))*$C74</f>
        <v>1540.57</v>
      </c>
      <c r="K74" s="46">
        <f>(INT($E$20*7/$D74)-INT($E$20*(7-1)/$D74))*$C74</f>
        <v>0.0</v>
      </c>
      <c r="L74" s="46">
        <f>(INT($E$20*8/$D74)-INT($E$20*(8-1)/$D74))*$C74</f>
        <v>1540.57</v>
      </c>
      <c r="M74" s="46">
        <f>(INT($E$20*9/$D74)-INT($E$20*(9-1)/$D74))*$C74</f>
        <v>0.0</v>
      </c>
      <c r="N74" s="46">
        <f>(INT($E$20*10/$D74)-INT($E$20*(10-1)/$D74))*$C74</f>
        <v>0.0</v>
      </c>
      <c r="P74" s="47" t="n">
        <v>24</v>
      </c>
    </row>
    <row r="75">
      <c r="B75" s="22" t="inlineStr">
        <is>
          <t>Муфта РПН</t>
        </is>
      </c>
      <c r="C75" s="45" t="n">
        <v>54.79</v>
      </c>
      <c r="D75" s="47" t="n">
        <v>18000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54.79</v>
      </c>
      <c r="H75" s="46">
        <f>(INT($E$20*4/$D75)-INT($E$20*(4-1)/$D75))*$C75</f>
        <v>0.0</v>
      </c>
      <c r="I75" s="46">
        <f>(INT($E$20*5/$D75)-INT($E$20*(5-1)/$D75))*$C75</f>
        <v>0.0</v>
      </c>
      <c r="J75" s="46">
        <f>(INT($E$20*6/$D75)-INT($E$20*(6-1)/$D75))*$C75</f>
        <v>54.79</v>
      </c>
      <c r="K75" s="46">
        <f>(INT($E$20*7/$D75)-INT($E$20*(7-1)/$D75))*$C75</f>
        <v>0.0</v>
      </c>
      <c r="L75" s="46">
        <f>(INT($E$20*8/$D75)-INT($E$20*(8-1)/$D75))*$C75</f>
        <v>54.79</v>
      </c>
      <c r="M75" s="46">
        <f>(INT($E$20*9/$D75)-INT($E$20*(9-1)/$D75))*$C75</f>
        <v>0.0</v>
      </c>
      <c r="N75" s="46">
        <f>(INT($E$20*10/$D75)-INT($E$20*(10-1)/$D75))*$C75</f>
        <v>0.0</v>
      </c>
      <c r="P75" s="47" t="n">
        <v>24</v>
      </c>
    </row>
    <row r="76">
      <c r="B76" s="22" t="inlineStr">
        <is>
          <t>Подушки опоры ДВС</t>
        </is>
      </c>
      <c r="C76" s="45" t="n">
        <v>5.41</v>
      </c>
      <c r="D76" s="47" t="n">
        <v>18000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5.41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5.41</v>
      </c>
      <c r="K76" s="46">
        <f>(INT($E$20*7/$D76)-INT($E$20*(7-1)/$D76))*$C76</f>
        <v>0.0</v>
      </c>
      <c r="L76" s="46">
        <f>(INT($E$20*8/$D76)-INT($E$20*(8-1)/$D76))*$C76</f>
        <v>5.41</v>
      </c>
      <c r="M76" s="46">
        <f>(INT($E$20*9/$D76)-INT($E$20*(9-1)/$D76))*$C76</f>
        <v>0.0</v>
      </c>
      <c r="N76" s="46">
        <f>(INT($E$20*10/$D76)-INT($E$20*(10-1)/$D76))*$C76</f>
        <v>0.0</v>
      </c>
      <c r="P76" s="47" t="n">
        <v>24</v>
      </c>
    </row>
    <row r="77">
      <c r="B77" s="22" t="inlineStr">
        <is>
          <t>Цилиндр стрелы 2 шт</t>
        </is>
      </c>
      <c r="C77" s="45" t="n">
        <v>114.77</v>
      </c>
      <c r="D77" s="47" t="n">
        <v>12000</v>
      </c>
      <c r="E77" s="46">
        <f>(INT($E$20*1/$D77)-INT($E$20*(1-1)/$D77))*$C77</f>
        <v>0.0</v>
      </c>
      <c r="F77" s="46">
        <f>(INT($E$20*2/$D77)-INT($E$20*(2-1)/$D77))*$C77</f>
        <v>114.77</v>
      </c>
      <c r="G77" s="46">
        <f>(INT($E$20*3/$D77)-INT($E$20*(3-1)/$D77))*$C77</f>
        <v>0.0</v>
      </c>
      <c r="H77" s="46">
        <f>(INT($E$20*4/$D77)-INT($E$20*(4-1)/$D77))*$C77</f>
        <v>114.77</v>
      </c>
      <c r="I77" s="46">
        <f>(INT($E$20*5/$D77)-INT($E$20*(5-1)/$D77))*$C77</f>
        <v>0.0</v>
      </c>
      <c r="J77" s="46">
        <f>(INT($E$20*6/$D77)-INT($E$20*(6-1)/$D77))*$C77</f>
        <v>114.77</v>
      </c>
      <c r="K77" s="46">
        <f>(INT($E$20*7/$D77)-INT($E$20*(7-1)/$D77))*$C77</f>
        <v>114.77</v>
      </c>
      <c r="L77" s="46">
        <f>(INT($E$20*8/$D77)-INT($E$20*(8-1)/$D77))*$C77</f>
        <v>0.0</v>
      </c>
      <c r="M77" s="46">
        <f>(INT($E$20*9/$D77)-INT($E$20*(9-1)/$D77))*$C77</f>
        <v>114.77</v>
      </c>
      <c r="N77" s="46">
        <f>(INT($E$20*10/$D77)-INT($E$20*(10-1)/$D77))*$C77</f>
        <v>0.0</v>
      </c>
      <c r="P77" s="47" t="n">
        <v>24</v>
      </c>
    </row>
    <row r="78">
      <c r="B78" s="22" t="inlineStr">
        <is>
          <t>Цилиндр ковша</t>
        </is>
      </c>
      <c r="C78" s="45" t="n">
        <v>21.05</v>
      </c>
      <c r="D78" s="47" t="n">
        <v>12000</v>
      </c>
      <c r="E78" s="46">
        <f>(INT($E$20*1/$D78)-INT($E$20*(1-1)/$D78))*$C78</f>
        <v>0.0</v>
      </c>
      <c r="F78" s="46">
        <f>(INT($E$20*2/$D78)-INT($E$20*(2-1)/$D78))*$C78</f>
        <v>21.05</v>
      </c>
      <c r="G78" s="46">
        <f>(INT($E$20*3/$D78)-INT($E$20*(3-1)/$D78))*$C78</f>
        <v>0.0</v>
      </c>
      <c r="H78" s="46">
        <f>(INT($E$20*4/$D78)-INT($E$20*(4-1)/$D78))*$C78</f>
        <v>21.05</v>
      </c>
      <c r="I78" s="46">
        <f>(INT($E$20*5/$D78)-INT($E$20*(5-1)/$D78))*$C78</f>
        <v>0.0</v>
      </c>
      <c r="J78" s="46">
        <f>(INT($E$20*6/$D78)-INT($E$20*(6-1)/$D78))*$C78</f>
        <v>21.05</v>
      </c>
      <c r="K78" s="46">
        <f>(INT($E$20*7/$D78)-INT($E$20*(7-1)/$D78))*$C78</f>
        <v>21.05</v>
      </c>
      <c r="L78" s="46">
        <f>(INT($E$20*8/$D78)-INT($E$20*(8-1)/$D78))*$C78</f>
        <v>0.0</v>
      </c>
      <c r="M78" s="46">
        <f>(INT($E$20*9/$D78)-INT($E$20*(9-1)/$D78))*$C78</f>
        <v>21.05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Цилиндр рукояти</t>
        </is>
      </c>
      <c r="C79" s="45" t="n">
        <v>21.29</v>
      </c>
      <c r="D79" s="47" t="n">
        <v>12000</v>
      </c>
      <c r="E79" s="46">
        <f>(INT($E$20*1/$D79)-INT($E$20*(1-1)/$D79))*$C79</f>
        <v>0.0</v>
      </c>
      <c r="F79" s="46">
        <f>(INT($E$20*2/$D79)-INT($E$20*(2-1)/$D79))*$C79</f>
        <v>21.29</v>
      </c>
      <c r="G79" s="46">
        <f>(INT($E$20*3/$D79)-INT($E$20*(3-1)/$D79))*$C79</f>
        <v>0.0</v>
      </c>
      <c r="H79" s="46">
        <f>(INT($E$20*4/$D79)-INT($E$20*(4-1)/$D79))*$C79</f>
        <v>21.29</v>
      </c>
      <c r="I79" s="46">
        <f>(INT($E$20*5/$D79)-INT($E$20*(5-1)/$D79))*$C79</f>
        <v>0.0</v>
      </c>
      <c r="J79" s="46">
        <f>(INT($E$20*6/$D79)-INT($E$20*(6-1)/$D79))*$C79</f>
        <v>21.29</v>
      </c>
      <c r="K79" s="46">
        <f>(INT($E$20*7/$D79)-INT($E$20*(7-1)/$D79))*$C79</f>
        <v>21.29</v>
      </c>
      <c r="L79" s="46">
        <f>(INT($E$20*8/$D79)-INT($E$20*(8-1)/$D79))*$C79</f>
        <v>0.0</v>
      </c>
      <c r="M79" s="46">
        <f>(INT($E$20*9/$D79)-INT($E$20*(9-1)/$D79))*$C79</f>
        <v>21.29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Центральный коллектор</t>
        </is>
      </c>
      <c r="C80" s="45" t="n">
        <v>4.89</v>
      </c>
      <c r="D80" s="47" t="n">
        <v>12000</v>
      </c>
      <c r="E80" s="46">
        <f>(INT($E$20*1/$D80)-INT($E$20*(1-1)/$D80))*$C80</f>
        <v>0.0</v>
      </c>
      <c r="F80" s="46">
        <f>(INT($E$20*2/$D80)-INT($E$20*(2-1)/$D80))*$C80</f>
        <v>4.89</v>
      </c>
      <c r="G80" s="46">
        <f>(INT($E$20*3/$D80)-INT($E$20*(3-1)/$D80))*$C80</f>
        <v>0.0</v>
      </c>
      <c r="H80" s="46">
        <f>(INT($E$20*4/$D80)-INT($E$20*(4-1)/$D80))*$C80</f>
        <v>4.89</v>
      </c>
      <c r="I80" s="46">
        <f>(INT($E$20*5/$D80)-INT($E$20*(5-1)/$D80))*$C80</f>
        <v>0.0</v>
      </c>
      <c r="J80" s="46">
        <f>(INT($E$20*6/$D80)-INT($E$20*(6-1)/$D80))*$C80</f>
        <v>4.89</v>
      </c>
      <c r="K80" s="46">
        <f>(INT($E$20*7/$D80)-INT($E$20*(7-1)/$D80))*$C80</f>
        <v>4.89</v>
      </c>
      <c r="L80" s="46">
        <f>(INT($E$20*8/$D80)-INT($E$20*(8-1)/$D80))*$C80</f>
        <v>0.0</v>
      </c>
      <c r="M80" s="46">
        <f>(INT($E$20*9/$D80)-INT($E$20*(9-1)/$D80))*$C80</f>
        <v>4.89</v>
      </c>
      <c r="N80" s="46">
        <f>(INT($E$20*10/$D80)-INT($E$20*(10-1)/$D80))*$C80</f>
        <v>0.0</v>
      </c>
      <c r="P80" s="47" t="n">
        <v>24</v>
      </c>
    </row>
    <row r="81">
      <c r="B81" s="22" t="inlineStr">
        <is>
          <t>Гидрораспределитель осн.</t>
        </is>
      </c>
      <c r="C81" s="45" t="n">
        <v>2035.4</v>
      </c>
      <c r="D81" s="47" t="n">
        <v>24000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2035.4</v>
      </c>
      <c r="I81" s="46">
        <f>(INT($E$20*5/$D81)-INT($E$20*(5-1)/$D81))*$C81</f>
        <v>0.0</v>
      </c>
      <c r="J81" s="46">
        <f>(INT($E$20*6/$D81)-INT($E$20*(6-1)/$D81))*$C81</f>
        <v>0.0</v>
      </c>
      <c r="K81" s="46">
        <f>(INT($E$20*7/$D81)-INT($E$20*(7-1)/$D81))*$C81</f>
        <v>2035.4</v>
      </c>
      <c r="L81" s="46">
        <f>(INT($E$20*8/$D81)-INT($E$20*(8-1)/$D81))*$C81</f>
        <v>0.0</v>
      </c>
      <c r="M81" s="46">
        <f>(INT($E$20*9/$D81)-INT($E$20*(9-1)/$D81))*$C81</f>
        <v>0.0</v>
      </c>
      <c r="N81" s="46">
        <f>(INT($E$20*10/$D81)-INT($E$20*(10-1)/$D81))*$C81</f>
        <v>0.0</v>
      </c>
      <c r="P81" s="47" t="n">
        <v>24</v>
      </c>
    </row>
    <row r="82">
      <c r="B82" s="22" t="inlineStr">
        <is>
          <t>РВД раб. оборудования</t>
        </is>
      </c>
      <c r="C82" s="45" t="n">
        <v>97.09999999999999</v>
      </c>
      <c r="D82" s="47" t="n">
        <v>12000</v>
      </c>
      <c r="E82" s="46">
        <f>(INT($E$20*1/$D82)-INT($E$20*(1-1)/$D82))*$C82</f>
        <v>0.0</v>
      </c>
      <c r="F82" s="46">
        <f>(INT($E$20*2/$D82)-INT($E$20*(2-1)/$D82))*$C82</f>
        <v>97.1</v>
      </c>
      <c r="G82" s="46">
        <f>(INT($E$20*3/$D82)-INT($E$20*(3-1)/$D82))*$C82</f>
        <v>0.0</v>
      </c>
      <c r="H82" s="46">
        <f>(INT($E$20*4/$D82)-INT($E$20*(4-1)/$D82))*$C82</f>
        <v>97.1</v>
      </c>
      <c r="I82" s="46">
        <f>(INT($E$20*5/$D82)-INT($E$20*(5-1)/$D82))*$C82</f>
        <v>0.0</v>
      </c>
      <c r="J82" s="46">
        <f>(INT($E$20*6/$D82)-INT($E$20*(6-1)/$D82))*$C82</f>
        <v>97.1</v>
      </c>
      <c r="K82" s="46">
        <f>(INT($E$20*7/$D82)-INT($E$20*(7-1)/$D82))*$C82</f>
        <v>97.1</v>
      </c>
      <c r="L82" s="46">
        <f>(INT($E$20*8/$D82)-INT($E$20*(8-1)/$D82))*$C82</f>
        <v>0.0</v>
      </c>
      <c r="M82" s="46">
        <f>(INT($E$20*9/$D82)-INT($E$20*(9-1)/$D82))*$C82</f>
        <v>97.1</v>
      </c>
      <c r="N82" s="46">
        <f>(INT($E$20*10/$D82)-INT($E$20*(10-1)/$D82))*$C82</f>
        <v>0.0</v>
      </c>
      <c r="P82" s="47" t="n">
        <v>24</v>
      </c>
    </row>
    <row r="83">
      <c r="B83" s="22" t="inlineStr">
        <is>
          <t>Радиатор гидравлический</t>
        </is>
      </c>
      <c r="C83" s="45" t="n">
        <v>835.4</v>
      </c>
      <c r="D83" s="47" t="n">
        <v>18000</v>
      </c>
      <c r="E83" s="46">
        <f>(INT($E$20*1/$D83)-INT($E$20*(1-1)/$D83))*$C83</f>
        <v>0.0</v>
      </c>
      <c r="F83" s="46">
        <f>(INT($E$20*2/$D83)-INT($E$20*(2-1)/$D83))*$C83</f>
        <v>0.0</v>
      </c>
      <c r="G83" s="46">
        <f>(INT($E$20*3/$D83)-INT($E$20*(3-1)/$D83))*$C83</f>
        <v>835.4</v>
      </c>
      <c r="H83" s="46">
        <f>(INT($E$20*4/$D83)-INT($E$20*(4-1)/$D83))*$C83</f>
        <v>0.0</v>
      </c>
      <c r="I83" s="46">
        <f>(INT($E$20*5/$D83)-INT($E$20*(5-1)/$D83))*$C83</f>
        <v>0.0</v>
      </c>
      <c r="J83" s="46">
        <f>(INT($E$20*6/$D83)-INT($E$20*(6-1)/$D83))*$C83</f>
        <v>835.4</v>
      </c>
      <c r="K83" s="46">
        <f>(INT($E$20*7/$D83)-INT($E$20*(7-1)/$D83))*$C83</f>
        <v>0.0</v>
      </c>
      <c r="L83" s="46">
        <f>(INT($E$20*8/$D83)-INT($E$20*(8-1)/$D83))*$C83</f>
        <v>835.4</v>
      </c>
      <c r="M83" s="46">
        <f>(INT($E$20*9/$D83)-INT($E$20*(9-1)/$D83))*$C83</f>
        <v>0.0</v>
      </c>
      <c r="N83" s="46">
        <f>(INT($E$20*10/$D83)-INT($E$20*(10-1)/$D83))*$C83</f>
        <v>0.0</v>
      </c>
      <c r="P83" s="47" t="n">
        <v>24</v>
      </c>
    </row>
    <row r="84">
      <c r="B84" s="22" t="inlineStr">
        <is>
          <t>Радиатор ДВС</t>
        </is>
      </c>
      <c r="C84" s="45" t="n">
        <v>523.89</v>
      </c>
      <c r="D84" s="47" t="n">
        <v>18000</v>
      </c>
      <c r="E84" s="46">
        <f>(INT($E$20*1/$D84)-INT($E$20*(1-1)/$D84))*$C84</f>
        <v>0.0</v>
      </c>
      <c r="F84" s="46">
        <f>(INT($E$20*2/$D84)-INT($E$20*(2-1)/$D84))*$C84</f>
        <v>0.0</v>
      </c>
      <c r="G84" s="46">
        <f>(INT($E$20*3/$D84)-INT($E$20*(3-1)/$D84))*$C84</f>
        <v>523.89</v>
      </c>
      <c r="H84" s="46">
        <f>(INT($E$20*4/$D84)-INT($E$20*(4-1)/$D84))*$C84</f>
        <v>0.0</v>
      </c>
      <c r="I84" s="46">
        <f>(INT($E$20*5/$D84)-INT($E$20*(5-1)/$D84))*$C84</f>
        <v>0.0</v>
      </c>
      <c r="J84" s="46">
        <f>(INT($E$20*6/$D84)-INT($E$20*(6-1)/$D84))*$C84</f>
        <v>523.89</v>
      </c>
      <c r="K84" s="46">
        <f>(INT($E$20*7/$D84)-INT($E$20*(7-1)/$D84))*$C84</f>
        <v>0.0</v>
      </c>
      <c r="L84" s="46">
        <f>(INT($E$20*8/$D84)-INT($E$20*(8-1)/$D84))*$C84</f>
        <v>523.89</v>
      </c>
      <c r="M84" s="46">
        <f>(INT($E$20*9/$D84)-INT($E$20*(9-1)/$D84))*$C84</f>
        <v>0.0</v>
      </c>
      <c r="N84" s="46">
        <f>(INT($E$20*10/$D84)-INT($E$20*(10-1)/$D84))*$C84</f>
        <v>0.0</v>
      </c>
      <c r="P84" s="47" t="n">
        <v>24</v>
      </c>
    </row>
    <row r="85">
      <c r="B85" s="22" t="inlineStr">
        <is>
          <t>Гидромотор хода 2 шт</t>
        </is>
      </c>
      <c r="C85" s="45" t="n">
        <v>362.8</v>
      </c>
      <c r="D85" s="47" t="n">
        <v>18000</v>
      </c>
      <c r="E85" s="46">
        <f>(INT($E$20*1/$D85)-INT($E$20*(1-1)/$D85))*$C85</f>
        <v>0.0</v>
      </c>
      <c r="F85" s="46">
        <f>(INT($E$20*2/$D85)-INT($E$20*(2-1)/$D85))*$C85</f>
        <v>0.0</v>
      </c>
      <c r="G85" s="46">
        <f>(INT($E$20*3/$D85)-INT($E$20*(3-1)/$D85))*$C85</f>
        <v>362.8</v>
      </c>
      <c r="H85" s="46">
        <f>(INT($E$20*4/$D85)-INT($E$20*(4-1)/$D85))*$C85</f>
        <v>0.0</v>
      </c>
      <c r="I85" s="46">
        <f>(INT($E$20*5/$D85)-INT($E$20*(5-1)/$D85))*$C85</f>
        <v>0.0</v>
      </c>
      <c r="J85" s="46">
        <f>(INT($E$20*6/$D85)-INT($E$20*(6-1)/$D85))*$C85</f>
        <v>362.8</v>
      </c>
      <c r="K85" s="46">
        <f>(INT($E$20*7/$D85)-INT($E$20*(7-1)/$D85))*$C85</f>
        <v>0.0</v>
      </c>
      <c r="L85" s="46">
        <f>(INT($E$20*8/$D85)-INT($E$20*(8-1)/$D85))*$C85</f>
        <v>362.8</v>
      </c>
      <c r="M85" s="46">
        <f>(INT($E$20*9/$D85)-INT($E$20*(9-1)/$D85))*$C85</f>
        <v>0.0</v>
      </c>
      <c r="N85" s="46">
        <f>(INT($E$20*10/$D85)-INT($E$20*(10-1)/$D85))*$C85</f>
        <v>0.0</v>
      </c>
      <c r="P85" s="47" t="n">
        <v>24</v>
      </c>
    </row>
    <row r="86">
      <c r="B86" s="22" t="inlineStr">
        <is>
          <t>Направляющее колесо 2 шт</t>
        </is>
      </c>
      <c r="C86" s="45" t="n">
        <v>157.49</v>
      </c>
      <c r="D86" s="47" t="n">
        <v>18000</v>
      </c>
      <c r="E86" s="46">
        <f>(INT($E$20*1/$D86)-INT($E$20*(1-1)/$D86))*$C86</f>
        <v>0.0</v>
      </c>
      <c r="F86" s="46">
        <f>(INT($E$20*2/$D86)-INT($E$20*(2-1)/$D86))*$C86</f>
        <v>0.0</v>
      </c>
      <c r="G86" s="46">
        <f>(INT($E$20*3/$D86)-INT($E$20*(3-1)/$D86))*$C86</f>
        <v>157.49</v>
      </c>
      <c r="H86" s="46">
        <f>(INT($E$20*4/$D86)-INT($E$20*(4-1)/$D86))*$C86</f>
        <v>0.0</v>
      </c>
      <c r="I86" s="46">
        <f>(INT($E$20*5/$D86)-INT($E$20*(5-1)/$D86))*$C86</f>
        <v>0.0</v>
      </c>
      <c r="J86" s="46">
        <f>(INT($E$20*6/$D86)-INT($E$20*(6-1)/$D86))*$C86</f>
        <v>157.49</v>
      </c>
      <c r="K86" s="46">
        <f>(INT($E$20*7/$D86)-INT($E$20*(7-1)/$D86))*$C86</f>
        <v>0.0</v>
      </c>
      <c r="L86" s="46">
        <f>(INT($E$20*8/$D86)-INT($E$20*(8-1)/$D86))*$C86</f>
        <v>157.49</v>
      </c>
      <c r="M86" s="46">
        <f>(INT($E$20*9/$D86)-INT($E$20*(9-1)/$D86))*$C86</f>
        <v>0.0</v>
      </c>
      <c r="N86" s="46">
        <f>(INT($E$20*10/$D86)-INT($E$20*(10-1)/$D86))*$C86</f>
        <v>0.0</v>
      </c>
      <c r="P86" s="47" t="n">
        <v>24</v>
      </c>
    </row>
    <row r="87">
      <c r="B87" s="22" t="inlineStr">
        <is>
          <t>Гидроцилиндр натяжителей</t>
        </is>
      </c>
      <c r="C87" s="45" t="n">
        <v>268.3</v>
      </c>
      <c r="D87" s="47" t="n">
        <v>18000</v>
      </c>
      <c r="E87" s="46">
        <f>(INT($E$20*1/$D87)-INT($E$20*(1-1)/$D87))*$C87</f>
        <v>0.0</v>
      </c>
      <c r="F87" s="46">
        <f>(INT($E$20*2/$D87)-INT($E$20*(2-1)/$D87))*$C87</f>
        <v>0.0</v>
      </c>
      <c r="G87" s="46">
        <f>(INT($E$20*3/$D87)-INT($E$20*(3-1)/$D87))*$C87</f>
        <v>268.3</v>
      </c>
      <c r="H87" s="46">
        <f>(INT($E$20*4/$D87)-INT($E$20*(4-1)/$D87))*$C87</f>
        <v>0.0</v>
      </c>
      <c r="I87" s="46">
        <f>(INT($E$20*5/$D87)-INT($E$20*(5-1)/$D87))*$C87</f>
        <v>0.0</v>
      </c>
      <c r="J87" s="46">
        <f>(INT($E$20*6/$D87)-INT($E$20*(6-1)/$D87))*$C87</f>
        <v>268.3</v>
      </c>
      <c r="K87" s="46">
        <f>(INT($E$20*7/$D87)-INT($E$20*(7-1)/$D87))*$C87</f>
        <v>0.0</v>
      </c>
      <c r="L87" s="46">
        <f>(INT($E$20*8/$D87)-INT($E$20*(8-1)/$D87))*$C87</f>
        <v>268.3</v>
      </c>
      <c r="M87" s="46">
        <f>(INT($E$20*9/$D87)-INT($E$20*(9-1)/$D87))*$C87</f>
        <v>0.0</v>
      </c>
      <c r="N87" s="46">
        <f>(INT($E$20*10/$D87)-INT($E$20*(10-1)/$D87))*$C87</f>
        <v>0.0</v>
      </c>
      <c r="P87" s="47" t="n">
        <v>24</v>
      </c>
    </row>
    <row r="88">
      <c r="B88" s="22" t="inlineStr">
        <is>
          <t>Звёздочка</t>
        </is>
      </c>
      <c r="C88" s="45" t="n">
        <v>83.64</v>
      </c>
      <c r="D88" s="47" t="n">
        <v>18000</v>
      </c>
      <c r="E88" s="46">
        <f>(INT($E$20*1/$D88)-INT($E$20*(1-1)/$D88))*$C88</f>
        <v>0.0</v>
      </c>
      <c r="F88" s="46">
        <f>(INT($E$20*2/$D88)-INT($E$20*(2-1)/$D88))*$C88</f>
        <v>0.0</v>
      </c>
      <c r="G88" s="46">
        <f>(INT($E$20*3/$D88)-INT($E$20*(3-1)/$D88))*$C88</f>
        <v>83.64</v>
      </c>
      <c r="H88" s="46">
        <f>(INT($E$20*4/$D88)-INT($E$20*(4-1)/$D88))*$C88</f>
        <v>0.0</v>
      </c>
      <c r="I88" s="46">
        <f>(INT($E$20*5/$D88)-INT($E$20*(5-1)/$D88))*$C88</f>
        <v>0.0</v>
      </c>
      <c r="J88" s="46">
        <f>(INT($E$20*6/$D88)-INT($E$20*(6-1)/$D88))*$C88</f>
        <v>83.64</v>
      </c>
      <c r="K88" s="46">
        <f>(INT($E$20*7/$D88)-INT($E$20*(7-1)/$D88))*$C88</f>
        <v>0.0</v>
      </c>
      <c r="L88" s="46">
        <f>(INT($E$20*8/$D88)-INT($E$20*(8-1)/$D88))*$C88</f>
        <v>83.64</v>
      </c>
      <c r="M88" s="46">
        <f>(INT($E$20*9/$D88)-INT($E$20*(9-1)/$D88))*$C88</f>
        <v>0.0</v>
      </c>
      <c r="N88" s="46">
        <f>(INT($E$20*10/$D88)-INT($E$20*(10-1)/$D88))*$C88</f>
        <v>0.0</v>
      </c>
      <c r="P88" s="47" t="n">
        <v>24</v>
      </c>
    </row>
    <row r="89">
      <c r="B89" s="22" t="inlineStr">
        <is>
          <t>Гусеница</t>
        </is>
      </c>
      <c r="C89" s="45" t="n">
        <v>1507.98</v>
      </c>
      <c r="D89" s="47" t="n">
        <v>18000</v>
      </c>
      <c r="E89" s="46">
        <f>(INT($E$20*1/$D89)-INT($E$20*(1-1)/$D89))*$C89</f>
        <v>0.0</v>
      </c>
      <c r="F89" s="46">
        <f>(INT($E$20*2/$D89)-INT($E$20*(2-1)/$D89))*$C89</f>
        <v>0.0</v>
      </c>
      <c r="G89" s="46">
        <f>(INT($E$20*3/$D89)-INT($E$20*(3-1)/$D89))*$C89</f>
        <v>1507.98</v>
      </c>
      <c r="H89" s="46">
        <f>(INT($E$20*4/$D89)-INT($E$20*(4-1)/$D89))*$C89</f>
        <v>0.0</v>
      </c>
      <c r="I89" s="46">
        <f>(INT($E$20*5/$D89)-INT($E$20*(5-1)/$D89))*$C89</f>
        <v>0.0</v>
      </c>
      <c r="J89" s="46">
        <f>(INT($E$20*6/$D89)-INT($E$20*(6-1)/$D89))*$C89</f>
        <v>1507.98</v>
      </c>
      <c r="K89" s="46">
        <f>(INT($E$20*7/$D89)-INT($E$20*(7-1)/$D89))*$C89</f>
        <v>0.0</v>
      </c>
      <c r="L89" s="46">
        <f>(INT($E$20*8/$D89)-INT($E$20*(8-1)/$D89))*$C89</f>
        <v>1507.98</v>
      </c>
      <c r="M89" s="46">
        <f>(INT($E$20*9/$D89)-INT($E$20*(9-1)/$D89))*$C89</f>
        <v>0.0</v>
      </c>
      <c r="N89" s="46">
        <f>(INT($E$20*10/$D89)-INT($E$20*(10-1)/$D89))*$C89</f>
        <v>0.0</v>
      </c>
      <c r="P89" s="47" t="n">
        <v>24</v>
      </c>
    </row>
    <row r="90">
      <c r="B90" s="22" t="inlineStr">
        <is>
          <t>Каток опорный</t>
        </is>
      </c>
      <c r="C90" s="45" t="n">
        <v>1921.4</v>
      </c>
      <c r="D90" s="47" t="n">
        <v>18000</v>
      </c>
      <c r="E90" s="46">
        <f>(INT($E$20*1/$D90)-INT($E$20*(1-1)/$D90))*$C90</f>
        <v>0.0</v>
      </c>
      <c r="F90" s="46">
        <f>(INT($E$20*2/$D90)-INT($E$20*(2-1)/$D90))*$C90</f>
        <v>0.0</v>
      </c>
      <c r="G90" s="46">
        <f>(INT($E$20*3/$D90)-INT($E$20*(3-1)/$D90))*$C90</f>
        <v>1921.4</v>
      </c>
      <c r="H90" s="46">
        <f>(INT($E$20*4/$D90)-INT($E$20*(4-1)/$D90))*$C90</f>
        <v>0.0</v>
      </c>
      <c r="I90" s="46">
        <f>(INT($E$20*5/$D90)-INT($E$20*(5-1)/$D90))*$C90</f>
        <v>0.0</v>
      </c>
      <c r="J90" s="46">
        <f>(INT($E$20*6/$D90)-INT($E$20*(6-1)/$D90))*$C90</f>
        <v>1921.4</v>
      </c>
      <c r="K90" s="46">
        <f>(INT($E$20*7/$D90)-INT($E$20*(7-1)/$D90))*$C90</f>
        <v>0.0</v>
      </c>
      <c r="L90" s="46">
        <f>(INT($E$20*8/$D90)-INT($E$20*(8-1)/$D90))*$C90</f>
        <v>1921.4</v>
      </c>
      <c r="M90" s="46">
        <f>(INT($E$20*9/$D90)-INT($E$20*(9-1)/$D90))*$C90</f>
        <v>0.0</v>
      </c>
      <c r="N90" s="46">
        <f>(INT($E$20*10/$D90)-INT($E$20*(10-1)/$D90))*$C90</f>
        <v>0.0</v>
      </c>
      <c r="P90" s="47" t="n">
        <v>24</v>
      </c>
    </row>
    <row r="91">
      <c r="B91" s="22" t="inlineStr">
        <is>
          <t>Каток поддерживающий</t>
        </is>
      </c>
      <c r="C91" s="45" t="n">
        <v>83.86</v>
      </c>
      <c r="D91" s="47" t="n">
        <v>18000</v>
      </c>
      <c r="E91" s="46">
        <f>(INT($E$20*1/$D91)-INT($E$20*(1-1)/$D91))*$C91</f>
        <v>0.0</v>
      </c>
      <c r="F91" s="46">
        <f>(INT($E$20*2/$D91)-INT($E$20*(2-1)/$D91))*$C91</f>
        <v>0.0</v>
      </c>
      <c r="G91" s="46">
        <f>(INT($E$20*3/$D91)-INT($E$20*(3-1)/$D91))*$C91</f>
        <v>83.86</v>
      </c>
      <c r="H91" s="46">
        <f>(INT($E$20*4/$D91)-INT($E$20*(4-1)/$D91))*$C91</f>
        <v>0.0</v>
      </c>
      <c r="I91" s="46">
        <f>(INT($E$20*5/$D91)-INT($E$20*(5-1)/$D91))*$C91</f>
        <v>0.0</v>
      </c>
      <c r="J91" s="46">
        <f>(INT($E$20*6/$D91)-INT($E$20*(6-1)/$D91))*$C91</f>
        <v>83.86</v>
      </c>
      <c r="K91" s="46">
        <f>(INT($E$20*7/$D91)-INT($E$20*(7-1)/$D91))*$C91</f>
        <v>0.0</v>
      </c>
      <c r="L91" s="46">
        <f>(INT($E$20*8/$D91)-INT($E$20*(8-1)/$D91))*$C91</f>
        <v>83.86</v>
      </c>
      <c r="M91" s="46">
        <f>(INT($E$20*9/$D91)-INT($E$20*(9-1)/$D91))*$C91</f>
        <v>0.0</v>
      </c>
      <c r="N91" s="46">
        <f>(INT($E$20*10/$D91)-INT($E$20*(10-1)/$D91))*$C91</f>
        <v>0.0</v>
      </c>
      <c r="P91" s="47" t="n">
        <v>24</v>
      </c>
    </row>
    <row r="92">
      <c r="B92" s="22" t="inlineStr">
        <is>
          <t>Джойстики управления 2 шт</t>
        </is>
      </c>
      <c r="C92" s="45" t="n">
        <v>22.32</v>
      </c>
      <c r="D92" s="47" t="n">
        <v>12000</v>
      </c>
      <c r="E92" s="46">
        <f>(INT($E$20*1/$D92)-INT($E$20*(1-1)/$D92))*$C92</f>
        <v>0.0</v>
      </c>
      <c r="F92" s="46">
        <f>(INT($E$20*2/$D92)-INT($E$20*(2-1)/$D92))*$C92</f>
        <v>22.32</v>
      </c>
      <c r="G92" s="46">
        <f>(INT($E$20*3/$D92)-INT($E$20*(3-1)/$D92))*$C92</f>
        <v>0.0</v>
      </c>
      <c r="H92" s="46">
        <f>(INT($E$20*4/$D92)-INT($E$20*(4-1)/$D92))*$C92</f>
        <v>22.32</v>
      </c>
      <c r="I92" s="46">
        <f>(INT($E$20*5/$D92)-INT($E$20*(5-1)/$D92))*$C92</f>
        <v>0.0</v>
      </c>
      <c r="J92" s="46">
        <f>(INT($E$20*6/$D92)-INT($E$20*(6-1)/$D92))*$C92</f>
        <v>22.32</v>
      </c>
      <c r="K92" s="46">
        <f>(INT($E$20*7/$D92)-INT($E$20*(7-1)/$D92))*$C92</f>
        <v>22.32</v>
      </c>
      <c r="L92" s="46">
        <f>(INT($E$20*8/$D92)-INT($E$20*(8-1)/$D92))*$C92</f>
        <v>0.0</v>
      </c>
      <c r="M92" s="46">
        <f>(INT($E$20*9/$D92)-INT($E$20*(9-1)/$D92))*$C92</f>
        <v>22.32</v>
      </c>
      <c r="N92" s="46">
        <f>(INT($E$20*10/$D92)-INT($E$20*(10-1)/$D92))*$C92</f>
        <v>0.0</v>
      </c>
      <c r="P92" s="47" t="n">
        <v>24</v>
      </c>
    </row>
    <row r="93">
      <c r="B93" s="22" t="inlineStr">
        <is>
          <t>Гидронасосы основные</t>
        </is>
      </c>
      <c r="C93" s="45" t="n">
        <v>187.04</v>
      </c>
      <c r="D93" s="47" t="n">
        <v>12000</v>
      </c>
      <c r="E93" s="46">
        <f>(INT($E$20*1/$D93)-INT($E$20*(1-1)/$D93))*$C93</f>
        <v>0.0</v>
      </c>
      <c r="F93" s="46">
        <f>(INT($E$20*2/$D93)-INT($E$20*(2-1)/$D93))*$C93</f>
        <v>187.04</v>
      </c>
      <c r="G93" s="46">
        <f>(INT($E$20*3/$D93)-INT($E$20*(3-1)/$D93))*$C93</f>
        <v>0.0</v>
      </c>
      <c r="H93" s="46">
        <f>(INT($E$20*4/$D93)-INT($E$20*(4-1)/$D93))*$C93</f>
        <v>187.04</v>
      </c>
      <c r="I93" s="46">
        <f>(INT($E$20*5/$D93)-INT($E$20*(5-1)/$D93))*$C93</f>
        <v>0.0</v>
      </c>
      <c r="J93" s="46">
        <f>(INT($E$20*6/$D93)-INT($E$20*(6-1)/$D93))*$C93</f>
        <v>187.04</v>
      </c>
      <c r="K93" s="46">
        <f>(INT($E$20*7/$D93)-INT($E$20*(7-1)/$D93))*$C93</f>
        <v>187.04</v>
      </c>
      <c r="L93" s="46">
        <f>(INT($E$20*8/$D93)-INT($E$20*(8-1)/$D93))*$C93</f>
        <v>0.0</v>
      </c>
      <c r="M93" s="46">
        <f>(INT($E$20*9/$D93)-INT($E$20*(9-1)/$D93))*$C93</f>
        <v>187.04</v>
      </c>
      <c r="N93" s="46">
        <f>(INT($E$20*10/$D93)-INT($E$20*(10-1)/$D93))*$C93</f>
        <v>0.0</v>
      </c>
      <c r="P93" s="47" t="n">
        <v>24</v>
      </c>
    </row>
    <row r="94">
      <c r="B94" s="22" t="inlineStr">
        <is>
          <t>Гидронасос вентилятора</t>
        </is>
      </c>
      <c r="C94" s="45" t="n">
        <v>38.11</v>
      </c>
      <c r="D94" s="47" t="n">
        <v>12000</v>
      </c>
      <c r="E94" s="46">
        <f>(INT($E$20*1/$D94)-INT($E$20*(1-1)/$D94))*$C94</f>
        <v>0.0</v>
      </c>
      <c r="F94" s="46">
        <f>(INT($E$20*2/$D94)-INT($E$20*(2-1)/$D94))*$C94</f>
        <v>38.11</v>
      </c>
      <c r="G94" s="46">
        <f>(INT($E$20*3/$D94)-INT($E$20*(3-1)/$D94))*$C94</f>
        <v>0.0</v>
      </c>
      <c r="H94" s="46">
        <f>(INT($E$20*4/$D94)-INT($E$20*(4-1)/$D94))*$C94</f>
        <v>38.11</v>
      </c>
      <c r="I94" s="46">
        <f>(INT($E$20*5/$D94)-INT($E$20*(5-1)/$D94))*$C94</f>
        <v>0.0</v>
      </c>
      <c r="J94" s="46">
        <f>(INT($E$20*6/$D94)-INT($E$20*(6-1)/$D94))*$C94</f>
        <v>38.11</v>
      </c>
      <c r="K94" s="46">
        <f>(INT($E$20*7/$D94)-INT($E$20*(7-1)/$D94))*$C94</f>
        <v>38.11</v>
      </c>
      <c r="L94" s="46">
        <f>(INT($E$20*8/$D94)-INT($E$20*(8-1)/$D94))*$C94</f>
        <v>0.0</v>
      </c>
      <c r="M94" s="46">
        <f>(INT($E$20*9/$D94)-INT($E$20*(9-1)/$D94))*$C94</f>
        <v>38.11</v>
      </c>
      <c r="N94" s="46">
        <f>(INT($E$20*10/$D94)-INT($E$20*(10-1)/$D94))*$C94</f>
        <v>0.0</v>
      </c>
      <c r="P94" s="47" t="n">
        <v>24</v>
      </c>
    </row>
    <row r="95">
      <c r="B95" s="22" t="inlineStr">
        <is>
          <t>Редуктор поворота 2 шт</t>
        </is>
      </c>
      <c r="C95" s="45" t="n">
        <v>500.23</v>
      </c>
      <c r="D95" s="47" t="n">
        <v>30000</v>
      </c>
      <c r="E95" s="46">
        <f>(INT($E$20*1/$D95)-INT($E$20*(1-1)/$D95))*$C95</f>
        <v>0.0</v>
      </c>
      <c r="F95" s="46">
        <f>(INT($E$20*2/$D95)-INT($E$20*(2-1)/$D95))*$C95</f>
        <v>0.0</v>
      </c>
      <c r="G95" s="46">
        <f>(INT($E$20*3/$D95)-INT($E$20*(3-1)/$D95))*$C95</f>
        <v>0.0</v>
      </c>
      <c r="H95" s="46">
        <f>(INT($E$20*4/$D95)-INT($E$20*(4-1)/$D95))*$C95</f>
        <v>0.0</v>
      </c>
      <c r="I95" s="46">
        <f>(INT($E$20*5/$D95)-INT($E$20*(5-1)/$D95))*$C95</f>
        <v>500.23</v>
      </c>
      <c r="J95" s="46">
        <f>(INT($E$20*6/$D95)-INT($E$20*(6-1)/$D95))*$C95</f>
        <v>0.0</v>
      </c>
      <c r="K95" s="46">
        <f>(INT($E$20*7/$D95)-INT($E$20*(7-1)/$D95))*$C95</f>
        <v>0.0</v>
      </c>
      <c r="L95" s="46">
        <f>(INT($E$20*8/$D95)-INT($E$20*(8-1)/$D95))*$C95</f>
        <v>0.0</v>
      </c>
      <c r="M95" s="46">
        <f>(INT($E$20*9/$D95)-INT($E$20*(9-1)/$D95))*$C95</f>
        <v>500.23</v>
      </c>
      <c r="N95" s="46">
        <f>(INT($E$20*10/$D95)-INT($E$20*(10-1)/$D95))*$C95</f>
        <v>0.0</v>
      </c>
      <c r="P95" s="47" t="n">
        <v>24</v>
      </c>
    </row>
    <row r="96">
      <c r="B96" s="22" t="inlineStr">
        <is>
          <t>Редуктор хода 2 шт</t>
        </is>
      </c>
      <c r="C96" s="45" t="n">
        <v>1391.86</v>
      </c>
      <c r="D96" s="47" t="n">
        <v>30000</v>
      </c>
      <c r="E96" s="46">
        <f>(INT($E$20*1/$D96)-INT($E$20*(1-1)/$D96))*$C96</f>
        <v>0.0</v>
      </c>
      <c r="F96" s="46">
        <f>(INT($E$20*2/$D96)-INT($E$20*(2-1)/$D96))*$C96</f>
        <v>0.0</v>
      </c>
      <c r="G96" s="46">
        <f>(INT($E$20*3/$D96)-INT($E$20*(3-1)/$D96))*$C96</f>
        <v>0.0</v>
      </c>
      <c r="H96" s="46">
        <f>(INT($E$20*4/$D96)-INT($E$20*(4-1)/$D96))*$C96</f>
        <v>0.0</v>
      </c>
      <c r="I96" s="46">
        <f>(INT($E$20*5/$D96)-INT($E$20*(5-1)/$D96))*$C96</f>
        <v>1391.86</v>
      </c>
      <c r="J96" s="46">
        <f>(INT($E$20*6/$D96)-INT($E$20*(6-1)/$D96))*$C96</f>
        <v>0.0</v>
      </c>
      <c r="K96" s="46">
        <f>(INT($E$20*7/$D96)-INT($E$20*(7-1)/$D96))*$C96</f>
        <v>0.0</v>
      </c>
      <c r="L96" s="46">
        <f>(INT($E$20*8/$D96)-INT($E$20*(8-1)/$D96))*$C96</f>
        <v>0.0</v>
      </c>
      <c r="M96" s="46">
        <f>(INT($E$20*9/$D96)-INT($E$20*(9-1)/$D96))*$C96</f>
        <v>1391.86</v>
      </c>
      <c r="N96" s="46">
        <f>(INT($E$20*10/$D96)-INT($E$20*(10-1)/$D96))*$C96</f>
        <v>0.0</v>
      </c>
      <c r="P96" s="47" t="n">
        <v>24</v>
      </c>
    </row>
    <row r="97">
      <c r="B97" s="22" t="inlineStr">
        <is>
          <t>Редуктор гидронасосов</t>
        </is>
      </c>
      <c r="C97" s="45" t="n">
        <v>446.02</v>
      </c>
      <c r="D97" s="47" t="n">
        <v>30000</v>
      </c>
      <c r="E97" s="46">
        <f>(INT($E$20*1/$D97)-INT($E$20*(1-1)/$D97))*$C97</f>
        <v>0.0</v>
      </c>
      <c r="F97" s="46">
        <f>(INT($E$20*2/$D97)-INT($E$20*(2-1)/$D97))*$C97</f>
        <v>0.0</v>
      </c>
      <c r="G97" s="46">
        <f>(INT($E$20*3/$D97)-INT($E$20*(3-1)/$D97))*$C97</f>
        <v>0.0</v>
      </c>
      <c r="H97" s="46">
        <f>(INT($E$20*4/$D97)-INT($E$20*(4-1)/$D97))*$C97</f>
        <v>0.0</v>
      </c>
      <c r="I97" s="46">
        <f>(INT($E$20*5/$D97)-INT($E$20*(5-1)/$D97))*$C97</f>
        <v>446.02</v>
      </c>
      <c r="J97" s="46">
        <f>(INT($E$20*6/$D97)-INT($E$20*(6-1)/$D97))*$C97</f>
        <v>0.0</v>
      </c>
      <c r="K97" s="46">
        <f>(INT($E$20*7/$D97)-INT($E$20*(7-1)/$D97))*$C97</f>
        <v>0.0</v>
      </c>
      <c r="L97" s="46">
        <f>(INT($E$20*8/$D97)-INT($E$20*(8-1)/$D97))*$C97</f>
        <v>0.0</v>
      </c>
      <c r="M97" s="46">
        <f>(INT($E$20*9/$D97)-INT($E$20*(9-1)/$D97))*$C97</f>
        <v>446.02</v>
      </c>
      <c r="N97" s="46">
        <f>(INT($E$20*10/$D97)-INT($E$20*(10-1)/$D97))*$C97</f>
        <v>0.0</v>
      </c>
      <c r="P97" s="47" t="n">
        <v>24</v>
      </c>
    </row>
    <row r="98">
      <c r="B98" s="22" t="inlineStr">
        <is>
          <t>Гидромотор поворота 2 шт</t>
        </is>
      </c>
      <c r="C98" s="45" t="n">
        <v>362.8</v>
      </c>
      <c r="D98" s="47" t="n">
        <v>12000</v>
      </c>
      <c r="E98" s="46">
        <f>(INT($E$20*1/$D98)-INT($E$20*(1-1)/$D98))*$C98</f>
        <v>0.0</v>
      </c>
      <c r="F98" s="46">
        <f>(INT($E$20*2/$D98)-INT($E$20*(2-1)/$D98))*$C98</f>
        <v>362.8</v>
      </c>
      <c r="G98" s="46">
        <f>(INT($E$20*3/$D98)-INT($E$20*(3-1)/$D98))*$C98</f>
        <v>0.0</v>
      </c>
      <c r="H98" s="46">
        <f>(INT($E$20*4/$D98)-INT($E$20*(4-1)/$D98))*$C98</f>
        <v>362.8</v>
      </c>
      <c r="I98" s="46">
        <f>(INT($E$20*5/$D98)-INT($E$20*(5-1)/$D98))*$C98</f>
        <v>0.0</v>
      </c>
      <c r="J98" s="46">
        <f>(INT($E$20*6/$D98)-INT($E$20*(6-1)/$D98))*$C98</f>
        <v>362.8</v>
      </c>
      <c r="K98" s="46">
        <f>(INT($E$20*7/$D98)-INT($E$20*(7-1)/$D98))*$C98</f>
        <v>362.8</v>
      </c>
      <c r="L98" s="46">
        <f>(INT($E$20*8/$D98)-INT($E$20*(8-1)/$D98))*$C98</f>
        <v>0.0</v>
      </c>
      <c r="M98" s="46">
        <f>(INT($E$20*9/$D98)-INT($E$20*(9-1)/$D98))*$C98</f>
        <v>362.8</v>
      </c>
      <c r="N98" s="46">
        <f>(INT($E$20*10/$D98)-INT($E$20*(10-1)/$D98))*$C98</f>
        <v>0.0</v>
      </c>
      <c r="P98" s="47" t="n">
        <v>24</v>
      </c>
    </row>
    <row r="99">
      <c r="B99" s="22" t="inlineStr">
        <is>
          <t>Гидромоторы крыльчатки</t>
        </is>
      </c>
      <c r="C99" s="45" t="n">
        <v>94.34</v>
      </c>
      <c r="D99" s="47" t="n">
        <v>12000</v>
      </c>
      <c r="E99" s="46">
        <f>(INT($E$20*1/$D99)-INT($E$20*(1-1)/$D99))*$C99</f>
        <v>0.0</v>
      </c>
      <c r="F99" s="46">
        <f>(INT($E$20*2/$D99)-INT($E$20*(2-1)/$D99))*$C99</f>
        <v>94.34</v>
      </c>
      <c r="G99" s="46">
        <f>(INT($E$20*3/$D99)-INT($E$20*(3-1)/$D99))*$C99</f>
        <v>0.0</v>
      </c>
      <c r="H99" s="46">
        <f>(INT($E$20*4/$D99)-INT($E$20*(4-1)/$D99))*$C99</f>
        <v>94.34</v>
      </c>
      <c r="I99" s="46">
        <f>(INT($E$20*5/$D99)-INT($E$20*(5-1)/$D99))*$C99</f>
        <v>0.0</v>
      </c>
      <c r="J99" s="46">
        <f>(INT($E$20*6/$D99)-INT($E$20*(6-1)/$D99))*$C99</f>
        <v>94.34</v>
      </c>
      <c r="K99" s="46">
        <f>(INT($E$20*7/$D99)-INT($E$20*(7-1)/$D99))*$C99</f>
        <v>94.34</v>
      </c>
      <c r="L99" s="46">
        <f>(INT($E$20*8/$D99)-INT($E$20*(8-1)/$D99))*$C99</f>
        <v>0.0</v>
      </c>
      <c r="M99" s="46">
        <f>(INT($E$20*9/$D99)-INT($E$20*(9-1)/$D99))*$C99</f>
        <v>94.34</v>
      </c>
      <c r="N99" s="46">
        <f>(INT($E$20*10/$D99)-INT($E$20*(10-1)/$D99))*$C99</f>
        <v>0.0</v>
      </c>
      <c r="P99" s="47" t="n">
        <v>24</v>
      </c>
    </row>
    <row r="100">
      <c r="B100" s="22" t="inlineStr">
        <is>
          <t>Крыльчатка</t>
        </is>
      </c>
      <c r="C100" s="45" t="n">
        <v>85.73999999999999</v>
      </c>
      <c r="D100" s="47" t="n">
        <v>12000</v>
      </c>
      <c r="E100" s="46">
        <f>(INT($E$20*1/$D100)-INT($E$20*(1-1)/$D100))*$C100</f>
        <v>0.0</v>
      </c>
      <c r="F100" s="46">
        <f>(INT($E$20*2/$D100)-INT($E$20*(2-1)/$D100))*$C100</f>
        <v>85.74</v>
      </c>
      <c r="G100" s="46">
        <f>(INT($E$20*3/$D100)-INT($E$20*(3-1)/$D100))*$C100</f>
        <v>0.0</v>
      </c>
      <c r="H100" s="46">
        <f>(INT($E$20*4/$D100)-INT($E$20*(4-1)/$D100))*$C100</f>
        <v>85.74</v>
      </c>
      <c r="I100" s="46">
        <f>(INT($E$20*5/$D100)-INT($E$20*(5-1)/$D100))*$C100</f>
        <v>0.0</v>
      </c>
      <c r="J100" s="46">
        <f>(INT($E$20*6/$D100)-INT($E$20*(6-1)/$D100))*$C100</f>
        <v>85.74</v>
      </c>
      <c r="K100" s="46">
        <f>(INT($E$20*7/$D100)-INT($E$20*(7-1)/$D100))*$C100</f>
        <v>85.74</v>
      </c>
      <c r="L100" s="46">
        <f>(INT($E$20*8/$D100)-INT($E$20*(8-1)/$D100))*$C100</f>
        <v>0.0</v>
      </c>
      <c r="M100" s="46">
        <f>(INT($E$20*9/$D100)-INT($E$20*(9-1)/$D100))*$C100</f>
        <v>85.74</v>
      </c>
      <c r="N100" s="46">
        <f>(INT($E$20*10/$D100)-INT($E$20*(10-1)/$D100))*$C100</f>
        <v>0.0</v>
      </c>
      <c r="P100" s="47" t="n">
        <v>24</v>
      </c>
    </row>
    <row r="101">
      <c r="B101" s="22" t="inlineStr">
        <is>
          <t>Гидроаккумулятор</t>
        </is>
      </c>
      <c r="C101" s="45" t="n">
        <v>8.07</v>
      </c>
      <c r="D101" s="47" t="n">
        <v>18000</v>
      </c>
      <c r="E101" s="46">
        <f>(INT($E$20*1/$D101)-INT($E$20*(1-1)/$D101))*$C101</f>
        <v>0.0</v>
      </c>
      <c r="F101" s="46">
        <f>(INT($E$20*2/$D101)-INT($E$20*(2-1)/$D101))*$C101</f>
        <v>0.0</v>
      </c>
      <c r="G101" s="46">
        <f>(INT($E$20*3/$D101)-INT($E$20*(3-1)/$D101))*$C101</f>
        <v>8.07</v>
      </c>
      <c r="H101" s="46">
        <f>(INT($E$20*4/$D101)-INT($E$20*(4-1)/$D101))*$C101</f>
        <v>0.0</v>
      </c>
      <c r="I101" s="46">
        <f>(INT($E$20*5/$D101)-INT($E$20*(5-1)/$D101))*$C101</f>
        <v>0.0</v>
      </c>
      <c r="J101" s="46">
        <f>(INT($E$20*6/$D101)-INT($E$20*(6-1)/$D101))*$C101</f>
        <v>8.07</v>
      </c>
      <c r="K101" s="46">
        <f>(INT($E$20*7/$D101)-INT($E$20*(7-1)/$D101))*$C101</f>
        <v>0.0</v>
      </c>
      <c r="L101" s="46">
        <f>(INT($E$20*8/$D101)-INT($E$20*(8-1)/$D101))*$C101</f>
        <v>8.07</v>
      </c>
      <c r="M101" s="46">
        <f>(INT($E$20*9/$D101)-INT($E$20*(9-1)/$D101))*$C101</f>
        <v>0.0</v>
      </c>
      <c r="N101" s="46">
        <f>(INT($E$20*10/$D101)-INT($E$20*(10-1)/$D101))*$C101</f>
        <v>0.0</v>
      </c>
      <c r="P101" s="47" t="n">
        <v>24</v>
      </c>
    </row>
    <row r="102">
      <c r="B102" s="22" t="inlineStr">
        <is>
          <t>Пальцы и втулки раб.об. 2</t>
        </is>
      </c>
      <c r="C102" s="45" t="n">
        <v>90.69</v>
      </c>
      <c r="D102" s="47" t="n">
        <v>18000</v>
      </c>
      <c r="E102" s="46">
        <f>(INT($E$20*1/$D102)-INT($E$20*(1-1)/$D102))*$C102</f>
        <v>0.0</v>
      </c>
      <c r="F102" s="46">
        <f>(INT($E$20*2/$D102)-INT($E$20*(2-1)/$D102))*$C102</f>
        <v>0.0</v>
      </c>
      <c r="G102" s="46">
        <f>(INT($E$20*3/$D102)-INT($E$20*(3-1)/$D102))*$C102</f>
        <v>90.69</v>
      </c>
      <c r="H102" s="46">
        <f>(INT($E$20*4/$D102)-INT($E$20*(4-1)/$D102))*$C102</f>
        <v>0.0</v>
      </c>
      <c r="I102" s="46">
        <f>(INT($E$20*5/$D102)-INT($E$20*(5-1)/$D102))*$C102</f>
        <v>0.0</v>
      </c>
      <c r="J102" s="46">
        <f>(INT($E$20*6/$D102)-INT($E$20*(6-1)/$D102))*$C102</f>
        <v>90.69</v>
      </c>
      <c r="K102" s="46">
        <f>(INT($E$20*7/$D102)-INT($E$20*(7-1)/$D102))*$C102</f>
        <v>0.0</v>
      </c>
      <c r="L102" s="46">
        <f>(INT($E$20*8/$D102)-INT($E$20*(8-1)/$D102))*$C102</f>
        <v>90.69</v>
      </c>
      <c r="M102" s="46">
        <f>(INT($E$20*9/$D102)-INT($E$20*(9-1)/$D102))*$C102</f>
        <v>0.0</v>
      </c>
      <c r="N102" s="46">
        <f>(INT($E$20*10/$D102)-INT($E$20*(10-1)/$D102))*$C102</f>
        <v>0.0</v>
      </c>
      <c r="P102" s="47" t="n">
        <v>24</v>
      </c>
    </row>
    <row r="103">
      <c r="B103" s="22" t="inlineStr">
        <is>
          <t>Электропроводка MCV</t>
        </is>
      </c>
      <c r="C103" s="45" t="n">
        <v>3.76</v>
      </c>
      <c r="D103" s="47" t="n">
        <v>18000</v>
      </c>
      <c r="E103" s="46">
        <f>(INT($E$20*1/$D103)-INT($E$20*(1-1)/$D103))*$C103</f>
        <v>0.0</v>
      </c>
      <c r="F103" s="46">
        <f>(INT($E$20*2/$D103)-INT($E$20*(2-1)/$D103))*$C103</f>
        <v>0.0</v>
      </c>
      <c r="G103" s="46">
        <f>(INT($E$20*3/$D103)-INT($E$20*(3-1)/$D103))*$C103</f>
        <v>3.76</v>
      </c>
      <c r="H103" s="46">
        <f>(INT($E$20*4/$D103)-INT($E$20*(4-1)/$D103))*$C103</f>
        <v>0.0</v>
      </c>
      <c r="I103" s="46">
        <f>(INT($E$20*5/$D103)-INT($E$20*(5-1)/$D103))*$C103</f>
        <v>0.0</v>
      </c>
      <c r="J103" s="46">
        <f>(INT($E$20*6/$D103)-INT($E$20*(6-1)/$D103))*$C103</f>
        <v>3.76</v>
      </c>
      <c r="K103" s="46">
        <f>(INT($E$20*7/$D103)-INT($E$20*(7-1)/$D103))*$C103</f>
        <v>0.0</v>
      </c>
      <c r="L103" s="46">
        <f>(INT($E$20*8/$D103)-INT($E$20*(8-1)/$D103))*$C103</f>
        <v>3.76</v>
      </c>
      <c r="M103" s="46">
        <f>(INT($E$20*9/$D103)-INT($E$20*(9-1)/$D103))*$C103</f>
        <v>0.0</v>
      </c>
      <c r="N103" s="46">
        <f>(INT($E$20*10/$D103)-INT($E$20*(10-1)/$D103))*$C103</f>
        <v>0.0</v>
      </c>
      <c r="P103" s="47" t="n">
        <v>24</v>
      </c>
    </row>
    <row r="105">
      <c r="B105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19:N19"/>
    <mergeCell ref="B68:N68"/>
    <mergeCell ref="B7:N7"/>
    <mergeCell ref="B72:N72"/>
    <mergeCell ref="B2:N2"/>
    <mergeCell ref="B105:P105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P84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6" max="16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 t="str">
        <f>'Ввод данных'!I7</f>
        <v>TZCO TZ2000
Дзикай</v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>273.21</v>
      </c>
      <c r="F8" s="38">
        <f>$G$27</f>
        <v>273.21</v>
      </c>
      <c r="G8" s="38">
        <f>$G$27</f>
        <v>273.21</v>
      </c>
      <c r="H8" s="38">
        <f>$G$27</f>
        <v>273.21</v>
      </c>
      <c r="I8" s="38">
        <f>$G$27</f>
        <v>273.21</v>
      </c>
      <c r="J8" s="38">
        <f>$G$27</f>
        <v>273.21</v>
      </c>
      <c r="K8" s="38">
        <f>$G$27</f>
        <v>273.21</v>
      </c>
      <c r="L8" s="38">
        <f>$G$27</f>
        <v>273.21</v>
      </c>
      <c r="M8" s="38">
        <f>$G$27</f>
        <v>273.21</v>
      </c>
      <c r="N8" s="38">
        <f>$G$27</f>
        <v>273.21</v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>786.13</v>
      </c>
      <c r="F9" s="38">
        <f>F32</f>
        <v>1924.36</v>
      </c>
      <c r="G9" s="38">
        <f>G32</f>
        <v>1682.92</v>
      </c>
      <c r="H9" s="38">
        <f>H32</f>
        <v>2228.84</v>
      </c>
      <c r="I9" s="38">
        <f>I32</f>
        <v>2239.02</v>
      </c>
      <c r="J9" s="38">
        <f>J32</f>
        <v>1794.52</v>
      </c>
      <c r="K9" s="38">
        <f>K32</f>
        <v>2025.05</v>
      </c>
      <c r="L9" s="38">
        <f>L32</f>
        <v>1519.78</v>
      </c>
      <c r="M9" s="38">
        <f>M32</f>
        <v>2468.19</v>
      </c>
      <c r="N9" s="38">
        <f>N32</f>
        <v>1663.35</v>
      </c>
    </row>
    <row r="10">
      <c r="B10" s="37" t="inlineStr">
        <is>
          <t>Ежесменное ТО (20 мин/смену)</t>
        </is>
      </c>
      <c r="C10" s="24" t="inlineStr">
        <is>
          <t>ч/год</t>
        </is>
      </c>
      <c r="E10" s="38">
        <f>('Параметры'!C26-E8-E9)/'Параметры'!C33*20/60</f>
        <v>213.90722222222223</v>
      </c>
      <c r="F10" s="38">
        <f>('Параметры'!C26-F8-F9)/'Параметры'!C33*20/60</f>
        <v>182.28972222222225</v>
      </c>
      <c r="G10" s="38">
        <f>('Параметры'!C26-G8-G9)/'Параметры'!C33*20/60</f>
        <v>188.9963888888889</v>
      </c>
      <c r="H10" s="38">
        <f>('Параметры'!C26-H8-H9)/'Параметры'!C33*20/60</f>
        <v>173.83194444444447</v>
      </c>
      <c r="I10" s="38">
        <f>('Параметры'!C26-I8-I9)/'Параметры'!C33*20/60</f>
        <v>173.54916666666668</v>
      </c>
      <c r="J10" s="38">
        <f>('Параметры'!C26-J8-J9)/'Параметры'!C33*20/60</f>
        <v>185.89638888888888</v>
      </c>
      <c r="K10" s="38">
        <f>('Параметры'!C26-K8-K9)/'Параметры'!C33*20/60</f>
        <v>179.4927777777778</v>
      </c>
      <c r="L10" s="38">
        <f>('Параметры'!C26-L8-L9)/'Параметры'!C33*20/60</f>
        <v>193.52805555555557</v>
      </c>
      <c r="M10" s="38">
        <f>('Параметры'!C26-M8-M9)/'Параметры'!C33*20/60</f>
        <v>167.18333333333334</v>
      </c>
      <c r="N10" s="38">
        <f>('Параметры'!C26-N8-N9)/'Параметры'!C33*20/60</f>
        <v>189.54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>0.8546521435819382</v>
      </c>
      <c r="F11" s="39">
        <f>('Параметры'!C26-F8-F9-F10)/'Параметры'!C26</f>
        <v>0.728326515728057</v>
      </c>
      <c r="G11" s="39">
        <f>('Параметры'!C26-G8-G9-G10)/'Параметры'!C26</f>
        <v>0.7551225583460174</v>
      </c>
      <c r="H11" s="39">
        <f>('Параметры'!C26-H8-H9-H10)/'Параметры'!C26</f>
        <v>0.6945340246067987</v>
      </c>
      <c r="I11" s="39">
        <f>('Параметры'!C26-I8-I9-I10)/'Параметры'!C26</f>
        <v>0.6934042047184171</v>
      </c>
      <c r="J11" s="39">
        <f>('Параметры'!C26-J8-J9-J10)/'Параметры'!C26</f>
        <v>0.7427367135971588</v>
      </c>
      <c r="K11" s="39">
        <f>('Параметры'!C26-K8-K9-K10)/'Параметры'!C26</f>
        <v>0.7171515093860985</v>
      </c>
      <c r="L11" s="39">
        <f>('Параметры'!C26-L8-L9-L10)/'Параметры'!C26</f>
        <v>0.7732285324708271</v>
      </c>
      <c r="M11" s="39">
        <f>('Параметры'!C26-M8-M9-M10)/'Параметры'!C26</f>
        <v>0.6679699391171994</v>
      </c>
      <c r="N11" s="39">
        <f>('Параметры'!C26-N8-N9-N10)/'Параметры'!C26</f>
        <v>0.7572945205479452</v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>107.51971999999999</v>
      </c>
      <c r="F12" s="38">
        <f>$E$28</f>
        <v>107.51971999999999</v>
      </c>
      <c r="G12" s="38">
        <f>$E$28</f>
        <v>107.51971999999999</v>
      </c>
      <c r="H12" s="38">
        <f>$E$28</f>
        <v>107.51971999999999</v>
      </c>
      <c r="I12" s="38">
        <f>$E$28</f>
        <v>107.51971999999999</v>
      </c>
      <c r="J12" s="38">
        <f>$E$28</f>
        <v>107.51971999999999</v>
      </c>
      <c r="K12" s="38">
        <f>$E$28</f>
        <v>107.51971999999999</v>
      </c>
      <c r="L12" s="38">
        <f>$E$28</f>
        <v>107.51971999999999</v>
      </c>
      <c r="M12" s="38">
        <f>$E$28</f>
        <v>107.51971999999999</v>
      </c>
      <c r="N12" s="38">
        <f>$E$28</f>
        <v>107.51971999999999</v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>1.5</v>
      </c>
      <c r="F13" s="38">
        <f>F33</f>
        <v>2.5</v>
      </c>
      <c r="G13" s="38">
        <f>G33</f>
        <v>2.5</v>
      </c>
      <c r="H13" s="38">
        <f>H33</f>
        <v>2.5</v>
      </c>
      <c r="I13" s="38">
        <f>I33</f>
        <v>1.5</v>
      </c>
      <c r="J13" s="38">
        <f>J33</f>
        <v>3.0</v>
      </c>
      <c r="K13" s="38">
        <f>K33</f>
        <v>2.5</v>
      </c>
      <c r="L13" s="38">
        <f>L33</f>
        <v>2.5</v>
      </c>
      <c r="M13" s="38">
        <f>M33</f>
        <v>1.5</v>
      </c>
      <c r="N13" s="38">
        <f>N33</f>
        <v>2.5</v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>0.0</v>
      </c>
      <c r="F14" s="38">
        <f>F34</f>
        <v>0.0</v>
      </c>
      <c r="G14" s="38">
        <f>G34</f>
        <v>0.0</v>
      </c>
      <c r="H14" s="38">
        <f>H34</f>
        <v>0.0</v>
      </c>
      <c r="I14" s="38">
        <f>I34</f>
        <v>60.0</v>
      </c>
      <c r="J14" s="38">
        <f>J34</f>
        <v>0.0</v>
      </c>
      <c r="K14" s="38">
        <f>K34</f>
        <v>1080.0</v>
      </c>
      <c r="L14" s="38">
        <f>L34</f>
        <v>0.0</v>
      </c>
      <c r="M14" s="38">
        <f>M34</f>
        <v>0.0</v>
      </c>
      <c r="N14" s="38">
        <f>N34</f>
        <v>820.0</v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>29.720999999999997</v>
      </c>
      <c r="F15" s="38">
        <f>$E$30+F35</f>
        <v>29.720999999999997</v>
      </c>
      <c r="G15" s="38">
        <f>$E$30+G35</f>
        <v>29.720999999999997</v>
      </c>
      <c r="H15" s="38">
        <f>$E$30+H35</f>
        <v>29.720999999999997</v>
      </c>
      <c r="I15" s="38">
        <f>$E$30+I35</f>
        <v>32.120999999999995</v>
      </c>
      <c r="J15" s="38">
        <f>$E$30+J35</f>
        <v>29.720999999999997</v>
      </c>
      <c r="K15" s="38">
        <f>$E$30+K35</f>
        <v>33.321</v>
      </c>
      <c r="L15" s="38">
        <f>$E$30+L35</f>
        <v>29.720999999999997</v>
      </c>
      <c r="M15" s="38">
        <f>$E$30+M35</f>
        <v>29.720999999999997</v>
      </c>
      <c r="N15" s="38">
        <f>$E$30+N35</f>
        <v>35.721</v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>138.74071999999998</v>
      </c>
      <c r="F16" s="38">
        <f>F12+F13+F14+F15</f>
        <v>139.74071999999998</v>
      </c>
      <c r="G16" s="38">
        <f>G12+G13+G14+G15</f>
        <v>139.74071999999998</v>
      </c>
      <c r="H16" s="38">
        <f>H12+H13+H14+H15</f>
        <v>139.74071999999998</v>
      </c>
      <c r="I16" s="38">
        <f>I12+I13+I14+I15</f>
        <v>201.14072</v>
      </c>
      <c r="J16" s="38">
        <f>J12+J13+J14+J15</f>
        <v>140.24071999999998</v>
      </c>
      <c r="K16" s="38">
        <f>K12+K13+K14+K15</f>
        <v>1223.34072</v>
      </c>
      <c r="L16" s="38">
        <f>L12+L13+L14+L15</f>
        <v>139.74071999999998</v>
      </c>
      <c r="M16" s="38">
        <f>M12+M13+M14+M15</f>
        <v>138.74071999999998</v>
      </c>
      <c r="N16" s="38">
        <f>N12+N13+N14+N15</f>
        <v>965.74072</v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>14.0</v>
      </c>
      <c r="G22" s="42">
        <f>F22*D22</f>
        <v>142.79999999999998</v>
      </c>
      <c r="H22" s="42">
        <f>G22*E22</f>
        <v>285.59999999999997</v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>7.0</v>
      </c>
      <c r="G23" s="42">
        <f>F23*D23</f>
        <v>65.8</v>
      </c>
      <c r="H23" s="42">
        <f>G23*E23</f>
        <v>131.6</v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>3.5</v>
      </c>
      <c r="G24" s="42">
        <f>F24*D24</f>
        <v>43.4</v>
      </c>
      <c r="H24" s="42">
        <f>G24*E24</f>
        <v>86.8</v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>1.75</v>
      </c>
      <c r="G25" s="42">
        <f>F25*D25</f>
        <v>13.65</v>
      </c>
      <c r="H25" s="42">
        <f>G25*E25</f>
        <v>27.3</v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>1.4</v>
      </c>
      <c r="G26" s="42">
        <f>F26*D26</f>
        <v>7.56</v>
      </c>
      <c r="H26" s="42">
        <f>G26*E26</f>
        <v>15.12</v>
      </c>
    </row>
    <row r="27">
      <c r="B27" s="43" t="inlineStr">
        <is>
          <t>Итого простои / ч·часы ТО</t>
        </is>
      </c>
      <c r="G27" s="44">
        <f>SUM(G22:G26)</f>
        <v>273.21</v>
      </c>
      <c r="H27" s="44">
        <f>SUM(H22:H26)</f>
        <v>546.42</v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SUM(F39:F66)</f>
        <v>107.51971999999999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>27.320999999999998</v>
      </c>
    </row>
    <row r="31">
      <c r="B31" s="5" t="inlineStr">
        <is>
          <t>РАСЧЁТ РЕМОНТОВ (из списков по периодичности замены узлов)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786.13</v>
      </c>
      <c r="F32" s="31" t="n">
        <v>1924.36</v>
      </c>
      <c r="G32" s="31" t="n">
        <v>1682.92</v>
      </c>
      <c r="H32" s="31" t="n">
        <v>2228.84</v>
      </c>
      <c r="I32" s="31" t="n">
        <v>2239.02</v>
      </c>
      <c r="J32" s="31" t="n">
        <v>1794.52</v>
      </c>
      <c r="K32" s="31" t="n">
        <v>2025.05</v>
      </c>
      <c r="L32" s="31" t="n">
        <v>1519.78</v>
      </c>
      <c r="M32" s="31" t="n">
        <v>2468.19</v>
      </c>
      <c r="N32" s="31" t="n">
        <v>1663.35</v>
      </c>
    </row>
    <row r="33">
      <c r="B33" s="37" t="inlineStr">
        <is>
          <t>Текущие ремонты (из списка)</t>
        </is>
      </c>
      <c r="C33" s="24" t="inlineStr">
        <is>
          <t>тыс/год</t>
        </is>
      </c>
      <c r="E33" s="38">
        <f>SUM(E70:E71)*$E$36</f>
        <v>1.5</v>
      </c>
      <c r="F33" s="38">
        <f>SUM(F70:F71)*$E$36</f>
        <v>2.5</v>
      </c>
      <c r="G33" s="38">
        <f>SUM(G70:G71)*$E$36</f>
        <v>2.5</v>
      </c>
      <c r="H33" s="38">
        <f>SUM(H70:H71)*$E$36</f>
        <v>2.5</v>
      </c>
      <c r="I33" s="38">
        <f>SUM(I70:I71)*$E$36</f>
        <v>1.5</v>
      </c>
      <c r="J33" s="38">
        <f>SUM(J70:J71)*$E$36</f>
        <v>3.0</v>
      </c>
      <c r="K33" s="38">
        <f>SUM(K70:K71)*$E$36</f>
        <v>2.5</v>
      </c>
      <c r="L33" s="38">
        <f>SUM(L70:L71)*$E$36</f>
        <v>2.5</v>
      </c>
      <c r="M33" s="38">
        <f>SUM(M70:M71)*$E$36</f>
        <v>1.5</v>
      </c>
      <c r="N33" s="38">
        <f>SUM(N70:N71)*$E$36</f>
        <v>2.5</v>
      </c>
    </row>
    <row r="34">
      <c r="B34" s="37" t="inlineStr">
        <is>
          <t>Капитальные ремонты ППР (из списка)</t>
        </is>
      </c>
      <c r="C34" s="24" t="inlineStr">
        <is>
          <t>тыс/год</t>
        </is>
      </c>
      <c r="E34" s="38">
        <f>SUM(E75:E82)*$E$36</f>
        <v>0.0</v>
      </c>
      <c r="F34" s="38">
        <f>SUM(F75:F82)*$E$36</f>
        <v>0.0</v>
      </c>
      <c r="G34" s="38">
        <f>SUM(G75:G82)*$E$36</f>
        <v>0.0</v>
      </c>
      <c r="H34" s="38">
        <f>SUM(H75:H82)*$E$36</f>
        <v>0.0</v>
      </c>
      <c r="I34" s="38">
        <f>SUM(I75:I82)*$E$36</f>
        <v>60.0</v>
      </c>
      <c r="J34" s="38">
        <f>SUM(J75:J82)*$E$36</f>
        <v>0.0</v>
      </c>
      <c r="K34" s="38">
        <f>SUM(K75:K82)*$E$36</f>
        <v>1080.0</v>
      </c>
      <c r="L34" s="38">
        <f>SUM(L75:L82)*$E$36</f>
        <v>0.0</v>
      </c>
      <c r="M34" s="38">
        <f>SUM(M75:M82)*$E$36</f>
        <v>0.0</v>
      </c>
      <c r="N34" s="38">
        <f>SUM(N75:N82)*$E$36</f>
        <v>820.0</v>
      </c>
    </row>
    <row r="35">
      <c r="B35" s="37" t="inlineStr">
        <is>
          <t>Сервис ремонтов (трудозатраты, авто)</t>
        </is>
      </c>
      <c r="C35" s="24" t="inlineStr">
        <is>
          <t>тыс/год</t>
        </is>
      </c>
      <c r="E35" s="38">
        <f>(SUMPRODUCT($P$70:$P$71,(E70:E71&gt;0)*1)+SUMPRODUCT($P$75:$P$82,(E75:E82&gt;0)*1))*$E$29/1000</f>
        <v>2.4</v>
      </c>
      <c r="F35" s="38">
        <f>(SUMPRODUCT($P$70:$P$71,(F70:F71&gt;0)*1)+SUMPRODUCT($P$75:$P$82,(F75:F82&gt;0)*1))*$E$29/1000</f>
        <v>2.4</v>
      </c>
      <c r="G35" s="38">
        <f>(SUMPRODUCT($P$70:$P$71,(G70:G71&gt;0)*1)+SUMPRODUCT($P$75:$P$82,(G75:G82&gt;0)*1))*$E$29/1000</f>
        <v>2.4</v>
      </c>
      <c r="H35" s="38">
        <f>(SUMPRODUCT($P$70:$P$71,(H70:H71&gt;0)*1)+SUMPRODUCT($P$75:$P$82,(H75:H82&gt;0)*1))*$E$29/1000</f>
        <v>2.4</v>
      </c>
      <c r="I35" s="38">
        <f>(SUMPRODUCT($P$70:$P$71,(I70:I71&gt;0)*1)+SUMPRODUCT($P$75:$P$82,(I75:I82&gt;0)*1))*$E$29/1000</f>
        <v>4.8</v>
      </c>
      <c r="J35" s="38">
        <f>(SUMPRODUCT($P$70:$P$71,(J70:J71&gt;0)*1)+SUMPRODUCT($P$75:$P$82,(J75:J82&gt;0)*1))*$E$29/1000</f>
        <v>2.4</v>
      </c>
      <c r="K35" s="38">
        <f>(SUMPRODUCT($P$70:$P$71,(K70:K71&gt;0)*1)+SUMPRODUCT($P$75:$P$82,(K75:K82&gt;0)*1))*$E$29/1000</f>
        <v>6.0</v>
      </c>
      <c r="L35" s="38">
        <f>(SUMPRODUCT($P$70:$P$71,(L70:L71&gt;0)*1)+SUMPRODUCT($P$75:$P$82,(L75:L82&gt;0)*1))*$E$29/1000</f>
        <v>2.4</v>
      </c>
      <c r="M35" s="38">
        <f>(SUMPRODUCT($P$70:$P$71,(M70:M71&gt;0)*1)+SUMPRODUCT($P$75:$P$82,(M75:M82&gt;0)*1))*$E$29/1000</f>
        <v>2.4</v>
      </c>
      <c r="N35" s="38">
        <f>(SUMPRODUCT($P$70:$P$71,(N70:N71&gt;0)*1)+SUMPRODUCT($P$75:$P$82,(N75:N82&gt;0)*1))*$E$29/1000</f>
        <v>8.4</v>
      </c>
    </row>
    <row r="36">
      <c r="B36" s="22" t="inlineStr">
        <is>
          <t>Коэффициент поглощения (0–1; 1=как у поставщика)</t>
        </is>
      </c>
      <c r="C36" s="24" t="inlineStr">
        <is>
          <t>коэф.</t>
        </is>
      </c>
      <c r="E36" s="40" t="n">
        <v>1</v>
      </c>
    </row>
    <row r="37">
      <c r="B37" s="5" t="inlineStr">
        <is>
          <t>КАТАЛОГ ЗАПЧАСТЕЙ ТО (заполняет подрядчик)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B38" s="15" t="inlineStr">
        <is>
          <t>Наименование</t>
        </is>
      </c>
      <c r="C38" s="15" t="inlineStr">
        <is>
          <t>цена за ед</t>
        </is>
      </c>
      <c r="D38" s="15" t="inlineStr">
        <is>
          <t>кол-во/ТО</t>
        </is>
      </c>
      <c r="E38" s="15" t="inlineStr">
        <is>
          <t>№ ТО</t>
        </is>
      </c>
      <c r="F38" s="15" t="inlineStr">
        <is>
          <t>стоимость,тыс/год</t>
        </is>
      </c>
    </row>
    <row r="39">
      <c r="B39" s="22" t="inlineStr">
        <is>
          <t>Масляный фильтр</t>
        </is>
      </c>
      <c r="C39" s="45" t="n">
        <v>114.83</v>
      </c>
      <c r="D39" s="45" t="n">
        <v>4</v>
      </c>
      <c r="E39" s="45" t="n">
        <v>1</v>
      </c>
      <c r="F39" s="46">
        <f>($E$20/INDEX($C$22:$C$26,E39))*D39*C39/1000</f>
        <v>6.430479999999999</v>
      </c>
    </row>
    <row r="40">
      <c r="B40" s="22" t="inlineStr">
        <is>
          <t>Топливный фильтр</t>
        </is>
      </c>
      <c r="C40" s="45" t="n">
        <v>141.33</v>
      </c>
      <c r="D40" s="45" t="n">
        <v>2</v>
      </c>
      <c r="E40" s="45" t="n">
        <v>1</v>
      </c>
      <c r="F40" s="46">
        <f>($E$20/INDEX($C$22:$C$26,E40))*D40*C40/1000</f>
        <v>3.95724</v>
      </c>
    </row>
    <row r="41">
      <c r="B41" s="22" t="inlineStr">
        <is>
          <t>Масло ДВС</t>
        </is>
      </c>
      <c r="C41" s="45" t="n">
        <v>6.87</v>
      </c>
      <c r="D41" s="45" t="n">
        <v>130</v>
      </c>
      <c r="E41" s="45" t="n">
        <v>1</v>
      </c>
      <c r="F41" s="46">
        <f>($E$20/INDEX($C$22:$C$26,E41))*D41*C41/1000</f>
        <v>12.5034</v>
      </c>
    </row>
    <row r="42">
      <c r="B42" s="22" t="inlineStr">
        <is>
          <t>Фильтр управляющего контура</t>
        </is>
      </c>
      <c r="C42" s="45" t="n">
        <v>126</v>
      </c>
      <c r="D42" s="45" t="n">
        <v>1</v>
      </c>
      <c r="E42" s="45" t="n">
        <v>1</v>
      </c>
      <c r="F42" s="46">
        <f>($E$20/INDEX($C$22:$C$26,E42))*D42*C42/1000</f>
        <v>1.764</v>
      </c>
    </row>
    <row r="43">
      <c r="B43" s="22" t="inlineStr">
        <is>
          <t>Сливной фильтр</t>
        </is>
      </c>
      <c r="C43" s="45" t="n">
        <v>30.67</v>
      </c>
      <c r="D43" s="45" t="n">
        <v>2</v>
      </c>
      <c r="E43" s="45" t="n">
        <v>1</v>
      </c>
      <c r="F43" s="46">
        <f>($E$20/INDEX($C$22:$C$26,E43))*D43*C43/1000</f>
        <v>0.85876</v>
      </c>
    </row>
    <row r="44">
      <c r="B44" s="22" t="inlineStr">
        <is>
          <t>Сливной фильтр насоса</t>
        </is>
      </c>
      <c r="C44" s="45" t="n">
        <v>201</v>
      </c>
      <c r="D44" s="45" t="n">
        <v>3</v>
      </c>
      <c r="E44" s="45" t="n">
        <v>1</v>
      </c>
      <c r="F44" s="46">
        <f>($E$20/INDEX($C$22:$C$26,E44))*D44*C44/1000</f>
        <v>8.442</v>
      </c>
    </row>
    <row r="45">
      <c r="B45" s="22" t="inlineStr">
        <is>
          <t>Смазка</t>
        </is>
      </c>
      <c r="C45" s="45" t="n">
        <v>12.24</v>
      </c>
      <c r="D45" s="45" t="n">
        <v>200</v>
      </c>
      <c r="E45" s="45" t="n">
        <v>1</v>
      </c>
      <c r="F45" s="46">
        <f>($E$20/INDEX($C$22:$C$26,E45))*D45*C45/1000</f>
        <v>34.272</v>
      </c>
    </row>
    <row r="46">
      <c r="B46" s="22" t="inlineStr">
        <is>
          <t>Топливный фильтр (ТО-2)</t>
        </is>
      </c>
      <c r="C46" s="45" t="n">
        <v>80.17</v>
      </c>
      <c r="D46" s="45" t="n">
        <v>2</v>
      </c>
      <c r="E46" s="45" t="n">
        <v>2</v>
      </c>
      <c r="F46" s="46">
        <f>($E$20/INDEX($C$22:$C$26,E46))*D46*C46/1000</f>
        <v>1.1223800000000002</v>
      </c>
    </row>
    <row r="47">
      <c r="B47" s="22" t="inlineStr">
        <is>
          <t>Фильтр сапуна топл.бака</t>
        </is>
      </c>
      <c r="C47" s="45" t="n">
        <v>19.17</v>
      </c>
      <c r="D47" s="45" t="n">
        <v>1</v>
      </c>
      <c r="E47" s="45" t="n">
        <v>2</v>
      </c>
      <c r="F47" s="46">
        <f>($E$20/INDEX($C$22:$C$26,E47))*D47*C47/1000</f>
        <v>0.13419</v>
      </c>
    </row>
    <row r="48">
      <c r="B48" s="22" t="inlineStr">
        <is>
          <t>Фильтр сапуна гидробака</t>
        </is>
      </c>
      <c r="C48" s="45" t="n">
        <v>19.17</v>
      </c>
      <c r="D48" s="45" t="n">
        <v>2</v>
      </c>
      <c r="E48" s="45" t="n">
        <v>2</v>
      </c>
      <c r="F48" s="46">
        <f>($E$20/INDEX($C$22:$C$26,E48))*D48*C48/1000</f>
        <v>0.26838</v>
      </c>
    </row>
    <row r="49">
      <c r="B49" s="22" t="inlineStr">
        <is>
          <t>Гидравлический фильтр</t>
        </is>
      </c>
      <c r="C49" s="45" t="n">
        <v>344.33</v>
      </c>
      <c r="D49" s="45" t="n">
        <v>3</v>
      </c>
      <c r="E49" s="45" t="n">
        <v>2</v>
      </c>
      <c r="F49" s="46">
        <f>($E$20/INDEX($C$22:$C$26,E49))*D49*C49/1000</f>
        <v>7.230929999999999</v>
      </c>
    </row>
    <row r="50">
      <c r="B50" s="22" t="inlineStr">
        <is>
          <t>О-кольцо</t>
        </is>
      </c>
      <c r="C50" s="45" t="n">
        <v>24.5</v>
      </c>
      <c r="D50" s="45" t="n">
        <v>3</v>
      </c>
      <c r="E50" s="45" t="n">
        <v>2</v>
      </c>
      <c r="F50" s="46">
        <f>($E$20/INDEX($C$22:$C$26,E50))*D50*C50/1000</f>
        <v>0.5145</v>
      </c>
    </row>
    <row r="51">
      <c r="B51" s="22" t="inlineStr">
        <is>
          <t>Воздушный фильтр</t>
        </is>
      </c>
      <c r="C51" s="45" t="n">
        <v>401.33</v>
      </c>
      <c r="D51" s="45" t="n">
        <v>2</v>
      </c>
      <c r="E51" s="45" t="n">
        <v>2</v>
      </c>
      <c r="F51" s="46">
        <f>($E$20/INDEX($C$22:$C$26,E51))*D51*C51/1000</f>
        <v>5.61862</v>
      </c>
    </row>
    <row r="52">
      <c r="B52" s="22" t="inlineStr">
        <is>
          <t>О-кольцо (2)</t>
        </is>
      </c>
      <c r="C52" s="45" t="n">
        <v>9.83</v>
      </c>
      <c r="D52" s="45" t="n">
        <v>2</v>
      </c>
      <c r="E52" s="45" t="n">
        <v>2</v>
      </c>
      <c r="F52" s="46">
        <f>($E$20/INDEX($C$22:$C$26,E52))*D52*C52/1000</f>
        <v>0.13762</v>
      </c>
    </row>
    <row r="53">
      <c r="B53" s="22" t="inlineStr">
        <is>
          <t>Масло редуктора поворота</t>
        </is>
      </c>
      <c r="C53" s="45" t="n">
        <v>6.89</v>
      </c>
      <c r="D53" s="45" t="n">
        <v>60</v>
      </c>
      <c r="E53" s="45" t="n">
        <v>2</v>
      </c>
      <c r="F53" s="46">
        <f>($E$20/INDEX($C$22:$C$26,E53))*D53*C53/1000</f>
        <v>2.8937999999999997</v>
      </c>
    </row>
    <row r="54">
      <c r="B54" s="22" t="inlineStr">
        <is>
          <t>Масло механизма отбора мощн.</t>
        </is>
      </c>
      <c r="C54" s="45" t="n">
        <v>6.89</v>
      </c>
      <c r="D54" s="45" t="n">
        <v>36</v>
      </c>
      <c r="E54" s="45" t="n">
        <v>2</v>
      </c>
      <c r="F54" s="46">
        <f>($E$20/INDEX($C$22:$C$26,E54))*D54*C54/1000</f>
        <v>1.73628</v>
      </c>
    </row>
    <row r="55">
      <c r="B55" s="22" t="inlineStr">
        <is>
          <t>Фильтр гидромотора поворота</t>
        </is>
      </c>
      <c r="C55" s="45" t="n">
        <v>102</v>
      </c>
      <c r="D55" s="45" t="n">
        <v>2</v>
      </c>
      <c r="E55" s="45" t="n">
        <v>2</v>
      </c>
      <c r="F55" s="46">
        <f>($E$20/INDEX($C$22:$C$26,E55))*D55*C55/1000</f>
        <v>1.428</v>
      </c>
    </row>
    <row r="56">
      <c r="B56" s="22" t="inlineStr">
        <is>
          <t>Прокладка клапанной крышки</t>
        </is>
      </c>
      <c r="C56" s="45" t="n">
        <v>4.17</v>
      </c>
      <c r="D56" s="45" t="n">
        <v>12</v>
      </c>
      <c r="E56" s="45" t="n">
        <v>3</v>
      </c>
      <c r="F56" s="46">
        <f>($E$20/INDEX($C$22:$C$26,E56))*D56*C56/1000</f>
        <v>0.17514</v>
      </c>
    </row>
    <row r="57">
      <c r="B57" s="22" t="inlineStr">
        <is>
          <t>Фильтр салонный кондиц.</t>
        </is>
      </c>
      <c r="C57" s="45" t="n">
        <v>10.83</v>
      </c>
      <c r="D57" s="45" t="n">
        <v>2</v>
      </c>
      <c r="E57" s="45" t="n">
        <v>3</v>
      </c>
      <c r="F57" s="46">
        <f>($E$20/INDEX($C$22:$C$26,E57))*D57*C57/1000</f>
        <v>0.07581</v>
      </c>
    </row>
    <row r="58">
      <c r="B58" s="22" t="inlineStr">
        <is>
          <t>Фильтр наружный кондиц.</t>
        </is>
      </c>
      <c r="C58" s="45" t="n">
        <v>51.33</v>
      </c>
      <c r="D58" s="45" t="n">
        <v>2</v>
      </c>
      <c r="E58" s="45" t="n">
        <v>3</v>
      </c>
      <c r="F58" s="46">
        <f>($E$20/INDEX($C$22:$C$26,E58))*D58*C58/1000</f>
        <v>0.35931</v>
      </c>
    </row>
    <row r="59">
      <c r="B59" s="22" t="inlineStr">
        <is>
          <t>Масло конечной передачи</t>
        </is>
      </c>
      <c r="C59" s="45" t="n">
        <v>6.89</v>
      </c>
      <c r="D59" s="45" t="n">
        <v>170</v>
      </c>
      <c r="E59" s="45" t="n">
        <v>3</v>
      </c>
      <c r="F59" s="46">
        <f>($E$20/INDEX($C$22:$C$26,E59))*D59*C59/1000</f>
        <v>4.09955</v>
      </c>
    </row>
    <row r="60">
      <c r="B60" s="22" t="inlineStr">
        <is>
          <t>Фильтр охлажд. жидкости</t>
        </is>
      </c>
      <c r="C60" s="45" t="n">
        <v>134.83</v>
      </c>
      <c r="D60" s="45" t="n">
        <v>2</v>
      </c>
      <c r="E60" s="45" t="n">
        <v>4</v>
      </c>
      <c r="F60" s="46">
        <f>($E$20/INDEX($C$22:$C$26,E60))*D60*C60/1000</f>
        <v>0.471905</v>
      </c>
    </row>
    <row r="61">
      <c r="B61" s="22" t="inlineStr">
        <is>
          <t>Ремень генератора</t>
        </is>
      </c>
      <c r="C61" s="45" t="n">
        <v>28</v>
      </c>
      <c r="D61" s="45" t="n">
        <v>1</v>
      </c>
      <c r="E61" s="45" t="n">
        <v>4</v>
      </c>
      <c r="F61" s="46">
        <f>($E$20/INDEX($C$22:$C$26,E61))*D61*C61/1000</f>
        <v>0.049</v>
      </c>
    </row>
    <row r="62">
      <c r="B62" s="22" t="inlineStr">
        <is>
          <t>Ремень генератора (2)</t>
        </is>
      </c>
      <c r="C62" s="45" t="n">
        <v>157.5</v>
      </c>
      <c r="D62" s="45" t="n">
        <v>1</v>
      </c>
      <c r="E62" s="45" t="n">
        <v>4</v>
      </c>
      <c r="F62" s="46">
        <f>($E$20/INDEX($C$22:$C$26,E62))*D62*C62/1000</f>
        <v>0.275625</v>
      </c>
    </row>
    <row r="63">
      <c r="B63" s="22" t="inlineStr">
        <is>
          <t>Ремень кондиционера</t>
        </is>
      </c>
      <c r="C63" s="45" t="n">
        <v>61</v>
      </c>
      <c r="D63" s="45" t="n">
        <v>2</v>
      </c>
      <c r="E63" s="45" t="n">
        <v>4</v>
      </c>
      <c r="F63" s="46">
        <f>($E$20/INDEX($C$22:$C$26,E63))*D63*C63/1000</f>
        <v>0.2135</v>
      </c>
    </row>
    <row r="64">
      <c r="B64" s="22" t="inlineStr">
        <is>
          <t>Охлаждающая жидкость</t>
        </is>
      </c>
      <c r="C64" s="45" t="n">
        <v>2.36</v>
      </c>
      <c r="D64" s="45" t="n">
        <v>190</v>
      </c>
      <c r="E64" s="45" t="n">
        <v>4</v>
      </c>
      <c r="F64" s="46">
        <f>($E$20/INDEX($C$22:$C$26,E64))*D64*C64/1000</f>
        <v>0.7847</v>
      </c>
    </row>
    <row r="65">
      <c r="B65" s="22" t="inlineStr">
        <is>
          <t>Гидравлическое масло</t>
        </is>
      </c>
      <c r="C65" s="45" t="n">
        <v>6.43</v>
      </c>
      <c r="D65" s="45" t="n">
        <v>1300</v>
      </c>
      <c r="E65" s="45" t="n">
        <v>5</v>
      </c>
      <c r="F65" s="46">
        <f>($E$20/INDEX($C$22:$C$26,E65))*D65*C65/1000</f>
        <v>11.702599999999999</v>
      </c>
    </row>
    <row r="66">
      <c r="B66" s="22" t="inlineStr">
        <is>
          <t>Корректировка (поглощения/прочее)</t>
        </is>
      </c>
      <c r="F66" s="45" t="n">
        <v>0</v>
      </c>
    </row>
    <row r="68">
      <c r="B68" s="5" t="inlineStr">
        <is>
          <t>ТЕКУЩИЕ РЕМОНТЫ — по ресурсу замены (затрата в годы кратные ресурсу)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15" t="inlineStr">
        <is>
          <t>Узел / вид ремонта</t>
        </is>
      </c>
      <c r="C69" s="15" t="inlineStr">
        <is>
          <t>стоим.замены,тыс</t>
        </is>
      </c>
      <c r="D69" s="15" t="inlineStr">
        <is>
          <t>ресурс, м/ч</t>
        </is>
      </c>
      <c r="E69" s="15" t="inlineStr">
        <is>
          <t>год 1</t>
        </is>
      </c>
      <c r="F69" s="15" t="inlineStr">
        <is>
          <t>год 2</t>
        </is>
      </c>
      <c r="G69" s="15" t="inlineStr">
        <is>
          <t>год 3</t>
        </is>
      </c>
      <c r="H69" s="15" t="inlineStr">
        <is>
          <t>год 4</t>
        </is>
      </c>
      <c r="I69" s="15" t="inlineStr">
        <is>
          <t>год 5</t>
        </is>
      </c>
      <c r="J69" s="15" t="inlineStr">
        <is>
          <t>год 6</t>
        </is>
      </c>
      <c r="K69" s="15" t="inlineStr">
        <is>
          <t>год 7</t>
        </is>
      </c>
      <c r="L69" s="15" t="inlineStr">
        <is>
          <t>год 8</t>
        </is>
      </c>
      <c r="M69" s="15" t="inlineStr">
        <is>
          <t>год 9</t>
        </is>
      </c>
      <c r="N69" s="15" t="inlineStr">
        <is>
          <t>год 10</t>
        </is>
      </c>
      <c r="P69" s="15" t="inlineStr">
        <is>
          <t>нормо-час</t>
        </is>
      </c>
    </row>
    <row r="70">
      <c r="B70" s="22" t="inlineStr">
        <is>
          <t>Расходники</t>
        </is>
      </c>
      <c r="C70" s="45" t="n">
        <v>1</v>
      </c>
      <c r="D70" s="47" t="n">
        <v>4000</v>
      </c>
      <c r="E70" s="46">
        <f>(INT($E$20*1/$D70)-INT($E$20*(1-1)/$D70))*$C70</f>
        <v>1.0</v>
      </c>
      <c r="F70" s="46">
        <f>(INT($E$20*2/$D70)-INT($E$20*(2-1)/$D70))*$C70</f>
        <v>2.0</v>
      </c>
      <c r="G70" s="46">
        <f>(INT($E$20*3/$D70)-INT($E$20*(3-1)/$D70))*$C70</f>
        <v>2.0</v>
      </c>
      <c r="H70" s="46">
        <f>(INT($E$20*4/$D70)-INT($E$20*(4-1)/$D70))*$C70</f>
        <v>2.0</v>
      </c>
      <c r="I70" s="46">
        <f>(INT($E$20*5/$D70)-INT($E$20*(5-1)/$D70))*$C70</f>
        <v>1.0</v>
      </c>
      <c r="J70" s="46">
        <f>(INT($E$20*6/$D70)-INT($E$20*(6-1)/$D70))*$C70</f>
        <v>2.0</v>
      </c>
      <c r="K70" s="46">
        <f>(INT($E$20*7/$D70)-INT($E$20*(7-1)/$D70))*$C70</f>
        <v>2.0</v>
      </c>
      <c r="L70" s="46">
        <f>(INT($E$20*8/$D70)-INT($E$20*(8-1)/$D70))*$C70</f>
        <v>2.0</v>
      </c>
      <c r="M70" s="46">
        <f>(INT($E$20*9/$D70)-INT($E$20*(9-1)/$D70))*$C70</f>
        <v>1.0</v>
      </c>
      <c r="N70" s="46">
        <f>(INT($E$20*10/$D70)-INT($E$20*(10-1)/$D70))*$C70</f>
        <v>2.0</v>
      </c>
      <c r="P70" s="47" t="n">
        <v>24</v>
      </c>
    </row>
    <row r="71">
      <c r="B71" s="22" t="inlineStr">
        <is>
          <t>Расходники 2</t>
        </is>
      </c>
      <c r="C71" s="45" t="n">
        <v>0.5</v>
      </c>
      <c r="D71" s="47" t="n">
        <v>6000</v>
      </c>
      <c r="E71" s="46">
        <f>(INT($E$20*1/$D71)-INT($E$20*(1-1)/$D71))*$C71</f>
        <v>0.5</v>
      </c>
      <c r="F71" s="46">
        <f>(INT($E$20*2/$D71)-INT($E$20*(2-1)/$D71))*$C71</f>
        <v>0.5</v>
      </c>
      <c r="G71" s="46">
        <f>(INT($E$20*3/$D71)-INT($E$20*(3-1)/$D71))*$C71</f>
        <v>0.5</v>
      </c>
      <c r="H71" s="46">
        <f>(INT($E$20*4/$D71)-INT($E$20*(4-1)/$D71))*$C71</f>
        <v>0.5</v>
      </c>
      <c r="I71" s="46">
        <f>(INT($E$20*5/$D71)-INT($E$20*(5-1)/$D71))*$C71</f>
        <v>0.5</v>
      </c>
      <c r="J71" s="46">
        <f>(INT($E$20*6/$D71)-INT($E$20*(6-1)/$D71))*$C71</f>
        <v>1.0</v>
      </c>
      <c r="K71" s="46">
        <f>(INT($E$20*7/$D71)-INT($E$20*(7-1)/$D71))*$C71</f>
        <v>0.5</v>
      </c>
      <c r="L71" s="46">
        <f>(INT($E$20*8/$D71)-INT($E$20*(8-1)/$D71))*$C71</f>
        <v>0.5</v>
      </c>
      <c r="M71" s="46">
        <f>(INT($E$20*9/$D71)-INT($E$20*(9-1)/$D71))*$C71</f>
        <v>0.5</v>
      </c>
      <c r="N71" s="46">
        <f>(INT($E$20*10/$D71)-INT($E$20*(10-1)/$D71))*$C71</f>
        <v>0.5</v>
      </c>
      <c r="P71" s="47" t="n">
        <v>24</v>
      </c>
    </row>
    <row r="73">
      <c r="B73" s="5" t="inlineStr">
        <is>
          <t>КАПИТАЛЬНЫЕ РЕМОНТЫ (ППР) — по ресурсу до замены узла (данные поставщика)</t>
        </is>
      </c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B74" s="15" t="inlineStr">
        <is>
          <t>Узел / вид ремонта</t>
        </is>
      </c>
      <c r="C74" s="15" t="inlineStr">
        <is>
          <t>стоим.замены,тыс</t>
        </is>
      </c>
      <c r="D74" s="15" t="inlineStr">
        <is>
          <t>ресурс, м/ч</t>
        </is>
      </c>
      <c r="E74" s="15" t="inlineStr">
        <is>
          <t>год 1</t>
        </is>
      </c>
      <c r="F74" s="15" t="inlineStr">
        <is>
          <t>год 2</t>
        </is>
      </c>
      <c r="G74" s="15" t="inlineStr">
        <is>
          <t>год 3</t>
        </is>
      </c>
      <c r="H74" s="15" t="inlineStr">
        <is>
          <t>год 4</t>
        </is>
      </c>
      <c r="I74" s="15" t="inlineStr">
        <is>
          <t>год 5</t>
        </is>
      </c>
      <c r="J74" s="15" t="inlineStr">
        <is>
          <t>год 6</t>
        </is>
      </c>
      <c r="K74" s="15" t="inlineStr">
        <is>
          <t>год 7</t>
        </is>
      </c>
      <c r="L74" s="15" t="inlineStr">
        <is>
          <t>год 8</t>
        </is>
      </c>
      <c r="M74" s="15" t="inlineStr">
        <is>
          <t>год 9</t>
        </is>
      </c>
      <c r="N74" s="15" t="inlineStr">
        <is>
          <t>год 10</t>
        </is>
      </c>
      <c r="P74" s="15" t="inlineStr">
        <is>
          <t>нормо-час</t>
        </is>
      </c>
    </row>
    <row r="75">
      <c r="B75" s="22" t="inlineStr">
        <is>
          <t>Ходовой двигатель</t>
        </is>
      </c>
      <c r="C75" s="45" t="n">
        <v>150</v>
      </c>
      <c r="D75" s="47" t="n">
        <v>70000</v>
      </c>
      <c r="E75" s="46">
        <f>(INT($E$20*1/$D75)-INT($E$20*(1-1)/$D75))*$C75</f>
        <v>0.0</v>
      </c>
      <c r="F75" s="46">
        <f>(INT($E$20*2/$D75)-INT($E$20*(2-1)/$D75))*$C75</f>
        <v>0.0</v>
      </c>
      <c r="G75" s="46">
        <f>(INT($E$20*3/$D75)-INT($E$20*(3-1)/$D75))*$C75</f>
        <v>0.0</v>
      </c>
      <c r="H75" s="46">
        <f>(INT($E$20*4/$D75)-INT($E$20*(4-1)/$D75))*$C75</f>
        <v>0.0</v>
      </c>
      <c r="I75" s="46">
        <f>(INT($E$20*5/$D75)-INT($E$20*(5-1)/$D75))*$C75</f>
        <v>0.0</v>
      </c>
      <c r="J75" s="46">
        <f>(INT($E$20*6/$D75)-INT($E$20*(6-1)/$D75))*$C75</f>
        <v>0.0</v>
      </c>
      <c r="K75" s="46">
        <f>(INT($E$20*7/$D75)-INT($E$20*(7-1)/$D75))*$C75</f>
        <v>0.0</v>
      </c>
      <c r="L75" s="46">
        <f>(INT($E$20*8/$D75)-INT($E$20*(8-1)/$D75))*$C75</f>
        <v>0.0</v>
      </c>
      <c r="M75" s="46">
        <f>(INT($E$20*9/$D75)-INT($E$20*(9-1)/$D75))*$C75</f>
        <v>0.0</v>
      </c>
      <c r="N75" s="46">
        <f>(INT($E$20*10/$D75)-INT($E$20*(10-1)/$D75))*$C75</f>
        <v>150.0</v>
      </c>
      <c r="P75" s="47" t="n">
        <v>24</v>
      </c>
    </row>
    <row r="76">
      <c r="B76" s="22" t="inlineStr">
        <is>
          <t>Редуктор хода</t>
        </is>
      </c>
      <c r="C76" s="45" t="n">
        <v>460</v>
      </c>
      <c r="D76" s="47" t="n">
        <v>70000</v>
      </c>
      <c r="E76" s="46">
        <f>(INT($E$20*1/$D76)-INT($E$20*(1-1)/$D76))*$C76</f>
        <v>0.0</v>
      </c>
      <c r="F76" s="46">
        <f>(INT($E$20*2/$D76)-INT($E$20*(2-1)/$D76))*$C76</f>
        <v>0.0</v>
      </c>
      <c r="G76" s="46">
        <f>(INT($E$20*3/$D76)-INT($E$20*(3-1)/$D76))*$C76</f>
        <v>0.0</v>
      </c>
      <c r="H76" s="46">
        <f>(INT($E$20*4/$D76)-INT($E$20*(4-1)/$D76))*$C76</f>
        <v>0.0</v>
      </c>
      <c r="I76" s="46">
        <f>(INT($E$20*5/$D76)-INT($E$20*(5-1)/$D76))*$C76</f>
        <v>0.0</v>
      </c>
      <c r="J76" s="46">
        <f>(INT($E$20*6/$D76)-INT($E$20*(6-1)/$D76))*$C76</f>
        <v>0.0</v>
      </c>
      <c r="K76" s="46">
        <f>(INT($E$20*7/$D76)-INT($E$20*(7-1)/$D76))*$C76</f>
        <v>0.0</v>
      </c>
      <c r="L76" s="46">
        <f>(INT($E$20*8/$D76)-INT($E$20*(8-1)/$D76))*$C76</f>
        <v>0.0</v>
      </c>
      <c r="M76" s="46">
        <f>(INT($E$20*9/$D76)-INT($E$20*(9-1)/$D76))*$C76</f>
        <v>0.0</v>
      </c>
      <c r="N76" s="46">
        <f>(INT($E$20*10/$D76)-INT($E$20*(10-1)/$D76))*$C76</f>
        <v>460.0</v>
      </c>
      <c r="P76" s="47" t="n">
        <v>24</v>
      </c>
    </row>
    <row r="77">
      <c r="B77" s="22" t="inlineStr">
        <is>
          <t>Тормоз хода</t>
        </is>
      </c>
      <c r="C77" s="45" t="n">
        <v>30</v>
      </c>
      <c r="D77" s="47" t="n">
        <v>35000</v>
      </c>
      <c r="E77" s="46">
        <f>(INT($E$20*1/$D77)-INT($E$20*(1-1)/$D77))*$C77</f>
        <v>0.0</v>
      </c>
      <c r="F77" s="46">
        <f>(INT($E$20*2/$D77)-INT($E$20*(2-1)/$D77))*$C77</f>
        <v>0.0</v>
      </c>
      <c r="G77" s="46">
        <f>(INT($E$20*3/$D77)-INT($E$20*(3-1)/$D77))*$C77</f>
        <v>0.0</v>
      </c>
      <c r="H77" s="46">
        <f>(INT($E$20*4/$D77)-INT($E$20*(4-1)/$D77))*$C77</f>
        <v>0.0</v>
      </c>
      <c r="I77" s="46">
        <f>(INT($E$20*5/$D77)-INT($E$20*(5-1)/$D77))*$C77</f>
        <v>30.0</v>
      </c>
      <c r="J77" s="46">
        <f>(INT($E$20*6/$D77)-INT($E$20*(6-1)/$D77))*$C77</f>
        <v>0.0</v>
      </c>
      <c r="K77" s="46">
        <f>(INT($E$20*7/$D77)-INT($E$20*(7-1)/$D77))*$C77</f>
        <v>0.0</v>
      </c>
      <c r="L77" s="46">
        <f>(INT($E$20*8/$D77)-INT($E$20*(8-1)/$D77))*$C77</f>
        <v>0.0</v>
      </c>
      <c r="M77" s="46">
        <f>(INT($E$20*9/$D77)-INT($E$20*(9-1)/$D77))*$C77</f>
        <v>0.0</v>
      </c>
      <c r="N77" s="46">
        <f>(INT($E$20*10/$D77)-INT($E$20*(10-1)/$D77))*$C77</f>
        <v>30.0</v>
      </c>
      <c r="P77" s="47" t="n">
        <v>24</v>
      </c>
    </row>
    <row r="78">
      <c r="B78" s="22" t="inlineStr">
        <is>
          <t>Гусеничная лента</t>
        </is>
      </c>
      <c r="C78" s="45" t="n">
        <v>500</v>
      </c>
      <c r="D78" s="47" t="n">
        <v>49000</v>
      </c>
      <c r="E78" s="46">
        <f>(INT($E$20*1/$D78)-INT($E$20*(1-1)/$D78))*$C78</f>
        <v>0.0</v>
      </c>
      <c r="F78" s="46">
        <f>(INT($E$20*2/$D78)-INT($E$20*(2-1)/$D78))*$C78</f>
        <v>0.0</v>
      </c>
      <c r="G78" s="46">
        <f>(INT($E$20*3/$D78)-INT($E$20*(3-1)/$D78))*$C78</f>
        <v>0.0</v>
      </c>
      <c r="H78" s="46">
        <f>(INT($E$20*4/$D78)-INT($E$20*(4-1)/$D78))*$C78</f>
        <v>0.0</v>
      </c>
      <c r="I78" s="46">
        <f>(INT($E$20*5/$D78)-INT($E$20*(5-1)/$D78))*$C78</f>
        <v>0.0</v>
      </c>
      <c r="J78" s="46">
        <f>(INT($E$20*6/$D78)-INT($E$20*(6-1)/$D78))*$C78</f>
        <v>0.0</v>
      </c>
      <c r="K78" s="46">
        <f>(INT($E$20*7/$D78)-INT($E$20*(7-1)/$D78))*$C78</f>
        <v>500.0</v>
      </c>
      <c r="L78" s="46">
        <f>(INT($E$20*8/$D78)-INT($E$20*(8-1)/$D78))*$C78</f>
        <v>0.0</v>
      </c>
      <c r="M78" s="46">
        <f>(INT($E$20*9/$D78)-INT($E$20*(9-1)/$D78))*$C78</f>
        <v>0.0</v>
      </c>
      <c r="N78" s="46">
        <f>(INT($E$20*10/$D78)-INT($E$20*(10-1)/$D78))*$C78</f>
        <v>0.0</v>
      </c>
      <c r="P78" s="47" t="n">
        <v>24</v>
      </c>
    </row>
    <row r="79">
      <c r="B79" s="22" t="inlineStr">
        <is>
          <t>Натяжное колесо</t>
        </is>
      </c>
      <c r="C79" s="45" t="n">
        <v>80</v>
      </c>
      <c r="D79" s="47" t="n">
        <v>49000</v>
      </c>
      <c r="E79" s="46">
        <f>(INT($E$20*1/$D79)-INT($E$20*(1-1)/$D79))*$C79</f>
        <v>0.0</v>
      </c>
      <c r="F79" s="46">
        <f>(INT($E$20*2/$D79)-INT($E$20*(2-1)/$D79))*$C79</f>
        <v>0.0</v>
      </c>
      <c r="G79" s="46">
        <f>(INT($E$20*3/$D79)-INT($E$20*(3-1)/$D79))*$C79</f>
        <v>0.0</v>
      </c>
      <c r="H79" s="46">
        <f>(INT($E$20*4/$D79)-INT($E$20*(4-1)/$D79))*$C79</f>
        <v>0.0</v>
      </c>
      <c r="I79" s="46">
        <f>(INT($E$20*5/$D79)-INT($E$20*(5-1)/$D79))*$C79</f>
        <v>0.0</v>
      </c>
      <c r="J79" s="46">
        <f>(INT($E$20*6/$D79)-INT($E$20*(6-1)/$D79))*$C79</f>
        <v>0.0</v>
      </c>
      <c r="K79" s="46">
        <f>(INT($E$20*7/$D79)-INT($E$20*(7-1)/$D79))*$C79</f>
        <v>80.0</v>
      </c>
      <c r="L79" s="46">
        <f>(INT($E$20*8/$D79)-INT($E$20*(8-1)/$D79))*$C79</f>
        <v>0.0</v>
      </c>
      <c r="M79" s="46">
        <f>(INT($E$20*9/$D79)-INT($E$20*(9-1)/$D79))*$C79</f>
        <v>0.0</v>
      </c>
      <c r="N79" s="46">
        <f>(INT($E$20*10/$D79)-INT($E$20*(10-1)/$D79))*$C79</f>
        <v>0.0</v>
      </c>
      <c r="P79" s="47" t="n">
        <v>24</v>
      </c>
    </row>
    <row r="80">
      <c r="B80" s="22" t="inlineStr">
        <is>
          <t>Двигатель</t>
        </is>
      </c>
      <c r="C80" s="45" t="n">
        <v>150</v>
      </c>
      <c r="D80" s="47" t="n">
        <v>70000</v>
      </c>
      <c r="E80" s="46">
        <f>(INT($E$20*1/$D80)-INT($E$20*(1-1)/$D80))*$C80</f>
        <v>0.0</v>
      </c>
      <c r="F80" s="46">
        <f>(INT($E$20*2/$D80)-INT($E$20*(2-1)/$D80))*$C80</f>
        <v>0.0</v>
      </c>
      <c r="G80" s="46">
        <f>(INT($E$20*3/$D80)-INT($E$20*(3-1)/$D80))*$C80</f>
        <v>0.0</v>
      </c>
      <c r="H80" s="46">
        <f>(INT($E$20*4/$D80)-INT($E$20*(4-1)/$D80))*$C80</f>
        <v>0.0</v>
      </c>
      <c r="I80" s="46">
        <f>(INT($E$20*5/$D80)-INT($E$20*(5-1)/$D80))*$C80</f>
        <v>0.0</v>
      </c>
      <c r="J80" s="46">
        <f>(INT($E$20*6/$D80)-INT($E$20*(6-1)/$D80))*$C80</f>
        <v>0.0</v>
      </c>
      <c r="K80" s="46">
        <f>(INT($E$20*7/$D80)-INT($E$20*(7-1)/$D80))*$C80</f>
        <v>0.0</v>
      </c>
      <c r="L80" s="46">
        <f>(INT($E$20*8/$D80)-INT($E$20*(8-1)/$D80))*$C80</f>
        <v>0.0</v>
      </c>
      <c r="M80" s="46">
        <f>(INT($E$20*9/$D80)-INT($E$20*(9-1)/$D80))*$C80</f>
        <v>0.0</v>
      </c>
      <c r="N80" s="46">
        <f>(INT($E$20*10/$D80)-INT($E$20*(10-1)/$D80))*$C80</f>
        <v>150.0</v>
      </c>
      <c r="P80" s="47" t="n">
        <v>24</v>
      </c>
    </row>
    <row r="81">
      <c r="B81" s="22" t="inlineStr">
        <is>
          <t>Передача</t>
        </is>
      </c>
      <c r="C81" s="45" t="n">
        <v>30</v>
      </c>
      <c r="D81" s="47" t="n">
        <v>35000</v>
      </c>
      <c r="E81" s="46">
        <f>(INT($E$20*1/$D81)-INT($E$20*(1-1)/$D81))*$C81</f>
        <v>0.0</v>
      </c>
      <c r="F81" s="46">
        <f>(INT($E$20*2/$D81)-INT($E$20*(2-1)/$D81))*$C81</f>
        <v>0.0</v>
      </c>
      <c r="G81" s="46">
        <f>(INT($E$20*3/$D81)-INT($E$20*(3-1)/$D81))*$C81</f>
        <v>0.0</v>
      </c>
      <c r="H81" s="46">
        <f>(INT($E$20*4/$D81)-INT($E$20*(4-1)/$D81))*$C81</f>
        <v>0.0</v>
      </c>
      <c r="I81" s="46">
        <f>(INT($E$20*5/$D81)-INT($E$20*(5-1)/$D81))*$C81</f>
        <v>30.0</v>
      </c>
      <c r="J81" s="46">
        <f>(INT($E$20*6/$D81)-INT($E$20*(6-1)/$D81))*$C81</f>
        <v>0.0</v>
      </c>
      <c r="K81" s="46">
        <f>(INT($E$20*7/$D81)-INT($E$20*(7-1)/$D81))*$C81</f>
        <v>0.0</v>
      </c>
      <c r="L81" s="46">
        <f>(INT($E$20*8/$D81)-INT($E$20*(8-1)/$D81))*$C81</f>
        <v>0.0</v>
      </c>
      <c r="M81" s="46">
        <f>(INT($E$20*9/$D81)-INT($E$20*(9-1)/$D81))*$C81</f>
        <v>0.0</v>
      </c>
      <c r="N81" s="46">
        <f>(INT($E$20*10/$D81)-INT($E$20*(10-1)/$D81))*$C81</f>
        <v>30.0</v>
      </c>
      <c r="P81" s="47" t="n">
        <v>24</v>
      </c>
    </row>
    <row r="82">
      <c r="B82" s="22" t="inlineStr">
        <is>
          <t>Тормоз</t>
        </is>
      </c>
      <c r="C82" s="45" t="n">
        <v>500</v>
      </c>
      <c r="D82" s="47" t="n">
        <v>49000</v>
      </c>
      <c r="E82" s="46">
        <f>(INT($E$20*1/$D82)-INT($E$20*(1-1)/$D82))*$C82</f>
        <v>0.0</v>
      </c>
      <c r="F82" s="46">
        <f>(INT($E$20*2/$D82)-INT($E$20*(2-1)/$D82))*$C82</f>
        <v>0.0</v>
      </c>
      <c r="G82" s="46">
        <f>(INT($E$20*3/$D82)-INT($E$20*(3-1)/$D82))*$C82</f>
        <v>0.0</v>
      </c>
      <c r="H82" s="46">
        <f>(INT($E$20*4/$D82)-INT($E$20*(4-1)/$D82))*$C82</f>
        <v>0.0</v>
      </c>
      <c r="I82" s="46">
        <f>(INT($E$20*5/$D82)-INT($E$20*(5-1)/$D82))*$C82</f>
        <v>0.0</v>
      </c>
      <c r="J82" s="46">
        <f>(INT($E$20*6/$D82)-INT($E$20*(6-1)/$D82))*$C82</f>
        <v>0.0</v>
      </c>
      <c r="K82" s="46">
        <f>(INT($E$20*7/$D82)-INT($E$20*(7-1)/$D82))*$C82</f>
        <v>500.0</v>
      </c>
      <c r="L82" s="46">
        <f>(INT($E$20*8/$D82)-INT($E$20*(8-1)/$D82))*$C82</f>
        <v>0.0</v>
      </c>
      <c r="M82" s="46">
        <f>(INT($E$20*9/$D82)-INT($E$20*(9-1)/$D82))*$C82</f>
        <v>0.0</v>
      </c>
      <c r="N82" s="46">
        <f>(INT($E$20*10/$D82)-INT($E$20*(10-1)/$D82))*$C82</f>
        <v>0.0</v>
      </c>
      <c r="P82" s="47" t="n">
        <v>24</v>
      </c>
    </row>
    <row r="84">
      <c r="B84" s="48" t="inlineStr">
        <is>
          <t>Капремонты считаются ПО ПЕРИОДИЧНОСТИ, как у поставщиков: для каждого узла заданы стоимость замены и ресурс (м/ч); затрата возникает в те годы, когда наработка пересекает кратное ресурсу значение (число замен = ЦЕЛОЕ(наработка×год/ресурс) − ЦЕЛОЕ(наработка×(год−1)/ресурс)). Трудозатраты — нормо-часы × ставку. «Коэффициент поглощения» &lt; 1 учитывает восстановление/поглощение узлов (у поставщика = 1).</t>
        </is>
      </c>
    </row>
  </sheetData>
  <mergeCells count="10">
    <mergeCell ref="B37:N37"/>
    <mergeCell ref="B31:N31"/>
    <mergeCell ref="B1:N1"/>
    <mergeCell ref="E4:N4"/>
    <mergeCell ref="B73:N73"/>
    <mergeCell ref="B19:N19"/>
    <mergeCell ref="B68:N68"/>
    <mergeCell ref="B84:P84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 t="str">
        <f>"Вариант 1:  "&amp;'Ввод данных'!D7</f>
        <v>Вариант 1:  Komatsu PC2000-8
Mining Solutions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>0.9240628170979199</v>
      </c>
      <c r="F7" s="50">
        <f>'Поставщик 1'!F11</f>
        <v>0.9000003170979199</v>
      </c>
      <c r="G7" s="50">
        <f>'Поставщик 1'!G11</f>
        <v>0.8600004756468798</v>
      </c>
      <c r="H7" s="50">
        <f>'Поставщик 1'!H11</f>
        <v>0.8499996829020803</v>
      </c>
      <c r="I7" s="50">
        <f>'Поставщик 1'!I11</f>
        <v>0.8600004756468798</v>
      </c>
      <c r="J7" s="50">
        <f>'Поставщик 1'!J11</f>
        <v>0.81214849695586</v>
      </c>
      <c r="K7" s="50">
        <f>'Поставщик 1'!K11</f>
        <v>0.7865632927447997</v>
      </c>
      <c r="L7" s="50">
        <f>'Поставщик 1'!L11</f>
        <v>0.8426392059868087</v>
      </c>
      <c r="M7" s="50">
        <f>'Поставщик 1'!M11</f>
        <v>0.7373806126331812</v>
      </c>
      <c r="N7" s="50">
        <f>'Поставщик 1'!N11</f>
        <v>0.826705194063927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 t="str">
        <f>'Поставщик 1'!$D$5</f>
        <v>USD</v>
      </c>
      <c r="E8" s="52">
        <f>'Поставщик 1'!E16</f>
        <v>137.78071999999997</v>
      </c>
      <c r="F8" s="52">
        <f>'Поставщик 1'!F16</f>
        <v>1510.79072</v>
      </c>
      <c r="G8" s="52">
        <f>'Поставщик 1'!G16</f>
        <v>1596.00072</v>
      </c>
      <c r="H8" s="52">
        <f>'Поставщик 1'!H16</f>
        <v>1507.8507200000001</v>
      </c>
      <c r="I8" s="52">
        <f>'Поставщик 1'!I16</f>
        <v>147.69072</v>
      </c>
      <c r="J8" s="52">
        <f>'Поставщик 1'!J16</f>
        <v>2909.5407200000004</v>
      </c>
      <c r="K8" s="52">
        <f>'Поставщик 1'!K16</f>
        <v>196.38071999999997</v>
      </c>
      <c r="L8" s="52">
        <f>'Поставщик 1'!L16</f>
        <v>2907.4707200000003</v>
      </c>
      <c r="M8" s="52">
        <f>'Поставщик 1'!M16</f>
        <v>199.32072</v>
      </c>
      <c r="N8" s="52">
        <f>'Поставщик 1'!N16</f>
        <v>1459.16072</v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>88.46</v>
      </c>
      <c r="F9" s="53">
        <f>'Поставщик 1'!F17</f>
        <v>88.46</v>
      </c>
      <c r="G9" s="53">
        <f>'Поставщик 1'!G17</f>
        <v>88.46</v>
      </c>
      <c r="H9" s="53">
        <f>'Поставщик 1'!H17</f>
        <v>88.46</v>
      </c>
      <c r="I9" s="53">
        <f>'Поставщик 1'!I17</f>
        <v>88.46</v>
      </c>
      <c r="J9" s="53">
        <f>'Поставщик 1'!J17</f>
        <v>88.46</v>
      </c>
      <c r="K9" s="53">
        <f>'Поставщик 1'!K17</f>
        <v>88.46</v>
      </c>
      <c r="L9" s="53">
        <f>'Поставщик 1'!L17</f>
        <v>88.46</v>
      </c>
      <c r="M9" s="53">
        <f>'Поставщик 1'!M17</f>
        <v>88.46</v>
      </c>
      <c r="N9" s="53">
        <f>'Поставщик 1'!N17</f>
        <v>88.46</v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>0.87</v>
      </c>
      <c r="F10" s="54">
        <f>'Поставщик 1'!F18</f>
        <v>0.87</v>
      </c>
      <c r="G10" s="54">
        <f>'Поставщик 1'!G18</f>
        <v>0.87</v>
      </c>
      <c r="H10" s="54">
        <f>'Поставщик 1'!H18</f>
        <v>0.87</v>
      </c>
      <c r="I10" s="54">
        <f>'Поставщик 1'!I18</f>
        <v>0.87</v>
      </c>
      <c r="J10" s="54">
        <f>'Поставщик 1'!J18</f>
        <v>0.87</v>
      </c>
      <c r="K10" s="54">
        <f>'Поставщик 1'!K18</f>
        <v>0.87</v>
      </c>
      <c r="L10" s="54">
        <f>'Поставщик 1'!L18</f>
        <v>0.87</v>
      </c>
      <c r="M10" s="54">
        <f>'Поставщик 1'!M18</f>
        <v>0.87</v>
      </c>
      <c r="N10" s="54">
        <f>'Поставщик 1'!N18</f>
        <v>0.87</v>
      </c>
    </row>
    <row r="11">
      <c r="B11" s="5" t="str">
        <f>"Вариант 2:  "&amp;'Ввод данных'!E7</f>
        <v>Вариант 2:  Komatsu PC2000-11R
ИСТК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>0.9240628170979199</v>
      </c>
      <c r="F12" s="50">
        <f>'Поставщик 2'!F11</f>
        <v>0.797738299086758</v>
      </c>
      <c r="G12" s="50">
        <f>'Поставщик 2'!G11</f>
        <v>0.8245343417047185</v>
      </c>
      <c r="H12" s="50">
        <f>'Поставщик 2'!H11</f>
        <v>0.7639435882800609</v>
      </c>
      <c r="I12" s="50">
        <f>'Поставщик 2'!I11</f>
        <v>0.7628148782343989</v>
      </c>
      <c r="J12" s="50">
        <f>'Поставщик 2'!J11</f>
        <v>0.81214849695586</v>
      </c>
      <c r="K12" s="50">
        <f>'Поставщик 2'!K11</f>
        <v>0.7865632927447997</v>
      </c>
      <c r="L12" s="50">
        <f>'Поставщик 2'!L11</f>
        <v>0.8426392059868087</v>
      </c>
      <c r="M12" s="50">
        <f>'Поставщик 2'!M11</f>
        <v>0.7373806126331812</v>
      </c>
      <c r="N12" s="50">
        <f>'Поставщик 2'!N11</f>
        <v>0.826705194063927</v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 t="str">
        <f>'Поставщик 2'!$D$5</f>
        <v>USD</v>
      </c>
      <c r="E13" s="52">
        <f>'Поставщик 2'!E16</f>
        <v>134.84071999999998</v>
      </c>
      <c r="F13" s="52">
        <f>'Поставщик 2'!F16</f>
        <v>177.13072</v>
      </c>
      <c r="G13" s="52">
        <f>'Поставщик 2'!G16</f>
        <v>667.9207199999998</v>
      </c>
      <c r="H13" s="52">
        <f>'Поставщик 2'!H16</f>
        <v>1462.68072</v>
      </c>
      <c r="I13" s="52">
        <f>'Поставщик 2'!I16</f>
        <v>246.04072</v>
      </c>
      <c r="J13" s="52">
        <f>'Поставщик 2'!J16</f>
        <v>710.2107199999999</v>
      </c>
      <c r="K13" s="52">
        <f>'Поставщик 2'!K16</f>
        <v>177.13072</v>
      </c>
      <c r="L13" s="52">
        <f>'Поставщик 2'!L16</f>
        <v>1420.3907199999999</v>
      </c>
      <c r="M13" s="52">
        <f>'Поставщик 2'!M16</f>
        <v>821.41072</v>
      </c>
      <c r="N13" s="52">
        <f>'Поставщик 2'!N16</f>
        <v>134.84071999999998</v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>85.81</v>
      </c>
      <c r="F14" s="53">
        <f>'Поставщик 2'!F17</f>
        <v>85.81</v>
      </c>
      <c r="G14" s="53">
        <f>'Поставщик 2'!G17</f>
        <v>85.81</v>
      </c>
      <c r="H14" s="53">
        <f>'Поставщик 2'!H17</f>
        <v>85.81</v>
      </c>
      <c r="I14" s="53">
        <f>'Поставщик 2'!I17</f>
        <v>85.81</v>
      </c>
      <c r="J14" s="53">
        <f>'Поставщик 2'!J17</f>
        <v>85.81</v>
      </c>
      <c r="K14" s="53">
        <f>'Поставщик 2'!K17</f>
        <v>85.81</v>
      </c>
      <c r="L14" s="53">
        <f>'Поставщик 2'!L17</f>
        <v>85.81</v>
      </c>
      <c r="M14" s="53">
        <f>'Поставщик 2'!M17</f>
        <v>85.81</v>
      </c>
      <c r="N14" s="53">
        <f>'Поставщик 2'!N17</f>
        <v>85.81</v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>0.87</v>
      </c>
      <c r="F15" s="54">
        <f>'Поставщик 2'!F18</f>
        <v>0.87</v>
      </c>
      <c r="G15" s="54">
        <f>'Поставщик 2'!G18</f>
        <v>0.87</v>
      </c>
      <c r="H15" s="54">
        <f>'Поставщик 2'!H18</f>
        <v>0.87</v>
      </c>
      <c r="I15" s="54">
        <f>'Поставщик 2'!I18</f>
        <v>0.87</v>
      </c>
      <c r="J15" s="54">
        <f>'Поставщик 2'!J18</f>
        <v>0.87</v>
      </c>
      <c r="K15" s="54">
        <f>'Поставщик 2'!K18</f>
        <v>0.87</v>
      </c>
      <c r="L15" s="54">
        <f>'Поставщик 2'!L18</f>
        <v>0.87</v>
      </c>
      <c r="M15" s="54">
        <f>'Поставщик 2'!M18</f>
        <v>0.87</v>
      </c>
      <c r="N15" s="54">
        <f>'Поставщик 2'!N18</f>
        <v>0.87</v>
      </c>
    </row>
    <row r="16">
      <c r="B16" s="5" t="str">
        <f>"Вариант 3:  "&amp;'Ввод данных'!F7</f>
        <v>Вариант 3:  Zoomlion ZE2000G
Орикс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>0.8546521435819382</v>
      </c>
      <c r="F17" s="50">
        <f>'Поставщик 3'!F11</f>
        <v>0.728326515728057</v>
      </c>
      <c r="G17" s="50">
        <f>'Поставщик 3'!G11</f>
        <v>0.7551225583460174</v>
      </c>
      <c r="H17" s="50">
        <f>'Поставщик 3'!H11</f>
        <v>0.6945340246067987</v>
      </c>
      <c r="I17" s="50">
        <f>'Поставщик 3'!I11</f>
        <v>0.6934042047184171</v>
      </c>
      <c r="J17" s="50">
        <f>'Поставщик 3'!J11</f>
        <v>0.7427367135971588</v>
      </c>
      <c r="K17" s="50">
        <f>'Поставщик 3'!K11</f>
        <v>0.7171515093860985</v>
      </c>
      <c r="L17" s="50">
        <f>'Поставщик 3'!L11</f>
        <v>0.7732285324708271</v>
      </c>
      <c r="M17" s="50">
        <f>'Поставщик 3'!M11</f>
        <v>0.6679699391171994</v>
      </c>
      <c r="N17" s="50">
        <f>'Поставщик 3'!N11</f>
        <v>0.7572945205479452</v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 t="str">
        <f>'Поставщик 3'!$D$5</f>
        <v>USD</v>
      </c>
      <c r="E18" s="52">
        <f>'Поставщик 3'!E16</f>
        <v>192.15072</v>
      </c>
      <c r="F18" s="52">
        <f>'Поставщик 3'!F16</f>
        <v>219.47071999999997</v>
      </c>
      <c r="G18" s="52">
        <f>'Поставщик 3'!G16</f>
        <v>847.10072</v>
      </c>
      <c r="H18" s="52">
        <f>'Поставщик 3'!H16</f>
        <v>283.55072</v>
      </c>
      <c r="I18" s="52">
        <f>'Поставщик 3'!I16</f>
        <v>816.92072</v>
      </c>
      <c r="J18" s="52">
        <f>'Поставщик 3'!J16</f>
        <v>250.00072</v>
      </c>
      <c r="K18" s="52">
        <f>'Поставщик 3'!K16</f>
        <v>789.60072</v>
      </c>
      <c r="L18" s="52">
        <f>'Поставщик 3'!L16</f>
        <v>310.87072</v>
      </c>
      <c r="M18" s="52">
        <f>'Поставщик 3'!M16</f>
        <v>847.10072</v>
      </c>
      <c r="N18" s="52">
        <f>'Поставщик 3'!N16</f>
        <v>219.47071999999997</v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>90.23</v>
      </c>
      <c r="F19" s="53">
        <f>'Поставщик 3'!F17</f>
        <v>90.23</v>
      </c>
      <c r="G19" s="53">
        <f>'Поставщик 3'!G17</f>
        <v>90.23</v>
      </c>
      <c r="H19" s="53">
        <f>'Поставщик 3'!H17</f>
        <v>90.23</v>
      </c>
      <c r="I19" s="53">
        <f>'Поставщик 3'!I17</f>
        <v>90.23</v>
      </c>
      <c r="J19" s="53">
        <f>'Поставщик 3'!J17</f>
        <v>90.23</v>
      </c>
      <c r="K19" s="53">
        <f>'Поставщик 3'!K17</f>
        <v>90.23</v>
      </c>
      <c r="L19" s="53">
        <f>'Поставщик 3'!L17</f>
        <v>90.23</v>
      </c>
      <c r="M19" s="53">
        <f>'Поставщик 3'!M17</f>
        <v>90.23</v>
      </c>
      <c r="N19" s="53">
        <f>'Поставщик 3'!N17</f>
        <v>90.23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>0.87</v>
      </c>
      <c r="F20" s="54">
        <f>'Поставщик 3'!F18</f>
        <v>0.87</v>
      </c>
      <c r="G20" s="54">
        <f>'Поставщик 3'!G18</f>
        <v>0.87</v>
      </c>
      <c r="H20" s="54">
        <f>'Поставщик 3'!H18</f>
        <v>0.87</v>
      </c>
      <c r="I20" s="54">
        <f>'Поставщик 3'!I18</f>
        <v>0.87</v>
      </c>
      <c r="J20" s="54">
        <f>'Поставщик 3'!J18</f>
        <v>0.87</v>
      </c>
      <c r="K20" s="54">
        <f>'Поставщик 3'!K18</f>
        <v>0.87</v>
      </c>
      <c r="L20" s="54">
        <f>'Поставщик 3'!L18</f>
        <v>0.87</v>
      </c>
      <c r="M20" s="54">
        <f>'Поставщик 3'!M18</f>
        <v>0.87</v>
      </c>
      <c r="N20" s="54">
        <f>'Поставщик 3'!N18</f>
        <v>0.87</v>
      </c>
    </row>
    <row r="21">
      <c r="B21" s="5" t="str">
        <f>"Вариант 4:  "&amp;'Ввод данных'!G7</f>
        <v>Вариант 4:  Sany SY2000
АСТ</v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>0.8546521435819382</v>
      </c>
      <c r="F22" s="50">
        <f>'Поставщик 4'!F11</f>
        <v>0.728326515728057</v>
      </c>
      <c r="G22" s="50">
        <f>'Поставщик 4'!G11</f>
        <v>0.7551225583460174</v>
      </c>
      <c r="H22" s="50">
        <f>'Поставщик 4'!H11</f>
        <v>0.6945340246067987</v>
      </c>
      <c r="I22" s="50">
        <f>'Поставщик 4'!I11</f>
        <v>0.6934042047184171</v>
      </c>
      <c r="J22" s="50">
        <f>'Поставщик 4'!J11</f>
        <v>0.7427367135971588</v>
      </c>
      <c r="K22" s="50">
        <f>'Поставщик 4'!K11</f>
        <v>0.7171515093860985</v>
      </c>
      <c r="L22" s="50">
        <f>'Поставщик 4'!L11</f>
        <v>0.7732285324708271</v>
      </c>
      <c r="M22" s="50">
        <f>'Поставщик 4'!M11</f>
        <v>0.6679699391171994</v>
      </c>
      <c r="N22" s="50">
        <f>'Поставщик 4'!N11</f>
        <v>0.7572945205479452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 t="str">
        <f>'Поставщик 4'!$D$5</f>
        <v>USD</v>
      </c>
      <c r="E23" s="52">
        <f>'Поставщик 4'!E16</f>
        <v>192.15072</v>
      </c>
      <c r="F23" s="52">
        <f>'Поставщик 4'!F16</f>
        <v>219.47071999999997</v>
      </c>
      <c r="G23" s="52">
        <f>'Поставщик 4'!G16</f>
        <v>847.10072</v>
      </c>
      <c r="H23" s="52">
        <f>'Поставщик 4'!H16</f>
        <v>283.55072</v>
      </c>
      <c r="I23" s="52">
        <f>'Поставщик 4'!I16</f>
        <v>816.92072</v>
      </c>
      <c r="J23" s="52">
        <f>'Поставщик 4'!J16</f>
        <v>250.00072</v>
      </c>
      <c r="K23" s="52">
        <f>'Поставщик 4'!K16</f>
        <v>789.60072</v>
      </c>
      <c r="L23" s="52">
        <f>'Поставщик 4'!L16</f>
        <v>310.87072</v>
      </c>
      <c r="M23" s="52">
        <f>'Поставщик 4'!M16</f>
        <v>847.10072</v>
      </c>
      <c r="N23" s="52">
        <f>'Поставщик 4'!N16</f>
        <v>219.47071999999997</v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>92.04</v>
      </c>
      <c r="F24" s="53">
        <f>'Поставщик 4'!F17</f>
        <v>92.04</v>
      </c>
      <c r="G24" s="53">
        <f>'Поставщик 4'!G17</f>
        <v>92.04</v>
      </c>
      <c r="H24" s="53">
        <f>'Поставщик 4'!H17</f>
        <v>92.04</v>
      </c>
      <c r="I24" s="53">
        <f>'Поставщик 4'!I17</f>
        <v>92.04</v>
      </c>
      <c r="J24" s="53">
        <f>'Поставщик 4'!J17</f>
        <v>92.04</v>
      </c>
      <c r="K24" s="53">
        <f>'Поставщик 4'!K17</f>
        <v>92.04</v>
      </c>
      <c r="L24" s="53">
        <f>'Поставщик 4'!L17</f>
        <v>92.04</v>
      </c>
      <c r="M24" s="53">
        <f>'Поставщик 4'!M17</f>
        <v>92.04</v>
      </c>
      <c r="N24" s="53">
        <f>'Поставщик 4'!N17</f>
        <v>92.04</v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>0.87</v>
      </c>
      <c r="F25" s="54">
        <f>'Поставщик 4'!F18</f>
        <v>0.87</v>
      </c>
      <c r="G25" s="54">
        <f>'Поставщик 4'!G18</f>
        <v>0.87</v>
      </c>
      <c r="H25" s="54">
        <f>'Поставщик 4'!H18</f>
        <v>0.87</v>
      </c>
      <c r="I25" s="54">
        <f>'Поставщик 4'!I18</f>
        <v>0.87</v>
      </c>
      <c r="J25" s="54">
        <f>'Поставщик 4'!J18</f>
        <v>0.87</v>
      </c>
      <c r="K25" s="54">
        <f>'Поставщик 4'!K18</f>
        <v>0.87</v>
      </c>
      <c r="L25" s="54">
        <f>'Поставщик 4'!L18</f>
        <v>0.87</v>
      </c>
      <c r="M25" s="54">
        <f>'Поставщик 4'!M18</f>
        <v>0.87</v>
      </c>
      <c r="N25" s="54">
        <f>'Поставщик 4'!N18</f>
        <v>0.87</v>
      </c>
    </row>
    <row r="26">
      <c r="B26" s="5" t="str">
        <f>"Вариант 5:  "&amp;'Ввод данных'!H7</f>
        <v>Вариант 5:  Shantui SE2000LCW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>0.8546521435819382</v>
      </c>
      <c r="F27" s="50">
        <f>'Поставщик 5'!F11</f>
        <v>0.728326515728057</v>
      </c>
      <c r="G27" s="50">
        <f>'Поставщик 5'!G11</f>
        <v>0.7551225583460174</v>
      </c>
      <c r="H27" s="50">
        <f>'Поставщик 5'!H11</f>
        <v>0.6945340246067987</v>
      </c>
      <c r="I27" s="50">
        <f>'Поставщик 5'!I11</f>
        <v>0.6934042047184171</v>
      </c>
      <c r="J27" s="50">
        <f>'Поставщик 5'!J11</f>
        <v>0.7427367135971588</v>
      </c>
      <c r="K27" s="50">
        <f>'Поставщик 5'!K11</f>
        <v>0.7171515093860985</v>
      </c>
      <c r="L27" s="50">
        <f>'Поставщик 5'!L11</f>
        <v>0.7732285324708271</v>
      </c>
      <c r="M27" s="50">
        <f>'Поставщик 5'!M11</f>
        <v>0.6679699391171994</v>
      </c>
      <c r="N27" s="50">
        <f>'Поставщик 5'!N11</f>
        <v>0.7572945205479452</v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 t="str">
        <f>'Поставщик 5'!$D$5</f>
        <v>USD</v>
      </c>
      <c r="E28" s="52">
        <f>'Поставщик 5'!E16</f>
        <v>179.52071999999998</v>
      </c>
      <c r="F28" s="52">
        <f>'Поставщик 5'!F16</f>
        <v>1242.17072</v>
      </c>
      <c r="G28" s="52">
        <f>'Поставщик 5'!G16</f>
        <v>7645.57072</v>
      </c>
      <c r="H28" s="52">
        <f>'Поставщик 5'!H16</f>
        <v>3278.77072</v>
      </c>
      <c r="I28" s="52">
        <f>'Поставщик 5'!I16</f>
        <v>2521.2307199999996</v>
      </c>
      <c r="J28" s="52">
        <f>'Поставщик 5'!J16</f>
        <v>8751.700719999999</v>
      </c>
      <c r="K28" s="52">
        <f>'Поставщик 5'!K16</f>
        <v>3278.77072</v>
      </c>
      <c r="L28" s="52">
        <f>'Поставщик 5'!L16</f>
        <v>7645.57072</v>
      </c>
      <c r="M28" s="52">
        <f>'Поставщик 5'!M16</f>
        <v>3583.8807199999997</v>
      </c>
      <c r="N28" s="52">
        <f>'Поставщик 5'!N16</f>
        <v>179.52071999999998</v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>102.0</v>
      </c>
      <c r="F29" s="53">
        <f>'Поставщик 5'!F17</f>
        <v>102.0</v>
      </c>
      <c r="G29" s="53">
        <f>'Поставщик 5'!G17</f>
        <v>102.0</v>
      </c>
      <c r="H29" s="53">
        <f>'Поставщик 5'!H17</f>
        <v>102.0</v>
      </c>
      <c r="I29" s="53">
        <f>'Поставщик 5'!I17</f>
        <v>102.0</v>
      </c>
      <c r="J29" s="53">
        <f>'Поставщик 5'!J17</f>
        <v>102.0</v>
      </c>
      <c r="K29" s="53">
        <f>'Поставщик 5'!K17</f>
        <v>102.0</v>
      </c>
      <c r="L29" s="53">
        <f>'Поставщик 5'!L17</f>
        <v>102.0</v>
      </c>
      <c r="M29" s="53">
        <f>'Поставщик 5'!M17</f>
        <v>102.0</v>
      </c>
      <c r="N29" s="53">
        <f>'Поставщик 5'!N17</f>
        <v>102.0</v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>0.87</v>
      </c>
      <c r="F30" s="54">
        <f>'Поставщик 5'!F18</f>
        <v>0.87</v>
      </c>
      <c r="G30" s="54">
        <f>'Поставщик 5'!G18</f>
        <v>0.87</v>
      </c>
      <c r="H30" s="54">
        <f>'Поставщик 5'!H18</f>
        <v>0.87</v>
      </c>
      <c r="I30" s="54">
        <f>'Поставщик 5'!I18</f>
        <v>0.87</v>
      </c>
      <c r="J30" s="54">
        <f>'Поставщик 5'!J18</f>
        <v>0.87</v>
      </c>
      <c r="K30" s="54">
        <f>'Поставщик 5'!K18</f>
        <v>0.87</v>
      </c>
      <c r="L30" s="54">
        <f>'Поставщик 5'!L18</f>
        <v>0.87</v>
      </c>
      <c r="M30" s="54">
        <f>'Поставщик 5'!M18</f>
        <v>0.87</v>
      </c>
      <c r="N30" s="54">
        <f>'Поставщик 5'!N18</f>
        <v>0.87</v>
      </c>
    </row>
    <row r="31">
      <c r="B31" s="5" t="str">
        <f>"Вариант 6:  "&amp;'Ввод данных'!I7</f>
        <v>Вариант 6:  TZCO TZ2000
Дзикай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>0.8546521435819382</v>
      </c>
      <c r="F32" s="50">
        <f>'Поставщик 6'!F11</f>
        <v>0.728326515728057</v>
      </c>
      <c r="G32" s="50">
        <f>'Поставщик 6'!G11</f>
        <v>0.7551225583460174</v>
      </c>
      <c r="H32" s="50">
        <f>'Поставщик 6'!H11</f>
        <v>0.6945340246067987</v>
      </c>
      <c r="I32" s="50">
        <f>'Поставщик 6'!I11</f>
        <v>0.6934042047184171</v>
      </c>
      <c r="J32" s="50">
        <f>'Поставщик 6'!J11</f>
        <v>0.7427367135971588</v>
      </c>
      <c r="K32" s="50">
        <f>'Поставщик 6'!K11</f>
        <v>0.7171515093860985</v>
      </c>
      <c r="L32" s="50">
        <f>'Поставщик 6'!L11</f>
        <v>0.7732285324708271</v>
      </c>
      <c r="M32" s="50">
        <f>'Поставщик 6'!M11</f>
        <v>0.6679699391171994</v>
      </c>
      <c r="N32" s="50">
        <f>'Поставщик 6'!N11</f>
        <v>0.7572945205479452</v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 t="str">
        <f>'Поставщик 6'!$D$5</f>
        <v>USD</v>
      </c>
      <c r="E33" s="52">
        <f>'Поставщик 6'!E16</f>
        <v>138.74071999999998</v>
      </c>
      <c r="F33" s="52">
        <f>'Поставщик 6'!F16</f>
        <v>139.74071999999998</v>
      </c>
      <c r="G33" s="52">
        <f>'Поставщик 6'!G16</f>
        <v>139.74071999999998</v>
      </c>
      <c r="H33" s="52">
        <f>'Поставщик 6'!H16</f>
        <v>139.74071999999998</v>
      </c>
      <c r="I33" s="52">
        <f>'Поставщик 6'!I16</f>
        <v>201.14072</v>
      </c>
      <c r="J33" s="52">
        <f>'Поставщик 6'!J16</f>
        <v>140.24071999999998</v>
      </c>
      <c r="K33" s="52">
        <f>'Поставщик 6'!K16</f>
        <v>1223.34072</v>
      </c>
      <c r="L33" s="52">
        <f>'Поставщик 6'!L16</f>
        <v>139.74071999999998</v>
      </c>
      <c r="M33" s="52">
        <f>'Поставщик 6'!M16</f>
        <v>138.74071999999998</v>
      </c>
      <c r="N33" s="52">
        <f>'Поставщик 6'!N16</f>
        <v>965.74072</v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>120.0</v>
      </c>
      <c r="F34" s="53">
        <f>'Поставщик 6'!F17</f>
        <v>120.0</v>
      </c>
      <c r="G34" s="53">
        <f>'Поставщик 6'!G17</f>
        <v>120.0</v>
      </c>
      <c r="H34" s="53">
        <f>'Поставщик 6'!H17</f>
        <v>120.0</v>
      </c>
      <c r="I34" s="53">
        <f>'Поставщик 6'!I17</f>
        <v>120.0</v>
      </c>
      <c r="J34" s="53">
        <f>'Поставщик 6'!J17</f>
        <v>120.0</v>
      </c>
      <c r="K34" s="53">
        <f>'Поставщик 6'!K17</f>
        <v>120.0</v>
      </c>
      <c r="L34" s="53">
        <f>'Поставщик 6'!L17</f>
        <v>120.0</v>
      </c>
      <c r="M34" s="53">
        <f>'Поставщик 6'!M17</f>
        <v>120.0</v>
      </c>
      <c r="N34" s="53">
        <f>'Поставщик 6'!N17</f>
        <v>120.0</v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>0.87</v>
      </c>
      <c r="F35" s="54">
        <f>'Поставщик 6'!F18</f>
        <v>0.87</v>
      </c>
      <c r="G35" s="54">
        <f>'Поставщик 6'!G18</f>
        <v>0.87</v>
      </c>
      <c r="H35" s="54">
        <f>'Поставщик 6'!H18</f>
        <v>0.87</v>
      </c>
      <c r="I35" s="54">
        <f>'Поставщик 6'!I18</f>
        <v>0.87</v>
      </c>
      <c r="J35" s="54">
        <f>'Поставщик 6'!J18</f>
        <v>0.87</v>
      </c>
      <c r="K35" s="54">
        <f>'Поставщик 6'!K18</f>
        <v>0.87</v>
      </c>
      <c r="L35" s="54">
        <f>'Поставщик 6'!L18</f>
        <v>0.87</v>
      </c>
      <c r="M35" s="54">
        <f>'Поставщик 6'!M18</f>
        <v>0.87</v>
      </c>
      <c r="N35" s="54">
        <f>'Поставщик 6'!N18</f>
        <v>0.87</v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>289278.04</v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>258952.56631199998</v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>225581.67719999998</v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>219895.57101599997</v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>187624.80594</v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>172584.72</v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>15.049799999999998</v>
      </c>
      <c r="E6" s="57">
        <f>'Ввод данных'!E16*'Параметры'!C27*('Параметры'!C29/'Параметры'!C28)*'Параметры'!C30</f>
        <v>15.049799999999998</v>
      </c>
      <c r="F6" s="57">
        <f>'Ввод данных'!F16*'Параметры'!C27*('Параметры'!C29/'Параметры'!C28)*'Параметры'!C30</f>
        <v>15.049799999999998</v>
      </c>
      <c r="G6" s="57">
        <f>'Ввод данных'!G16*'Параметры'!C27*('Параметры'!C29/'Параметры'!C28)*'Параметры'!C30</f>
        <v>15.049799999999998</v>
      </c>
      <c r="H6" s="57">
        <f>'Ввод данных'!H16*'Параметры'!C27*('Параметры'!C29/'Параметры'!C28)*'Параметры'!C30</f>
        <v>14.447808</v>
      </c>
      <c r="I6" s="57">
        <f>'Ввод данных'!I16*'Параметры'!C27*('Параметры'!C29/'Параметры'!C28)*'Параметры'!C30</f>
        <v>18.05976</v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>10.0</v>
      </c>
      <c r="E7" s="56">
        <f>ROUNDUP('Параметры'!C31/E6,0)</f>
        <v>10.0</v>
      </c>
      <c r="F7" s="56">
        <f>ROUNDUP('Параметры'!C31/F6,0)</f>
        <v>10.0</v>
      </c>
      <c r="G7" s="56">
        <f>ROUNDUP('Параметры'!C31/G6,0)</f>
        <v>10.0</v>
      </c>
      <c r="H7" s="56">
        <f>ROUNDUP('Параметры'!C31/H6,0)</f>
        <v>10.0</v>
      </c>
      <c r="I7" s="56">
        <f>ROUNDUP('Параметры'!C31/I6,0)</f>
        <v>8.0</v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>8.88888888888889</v>
      </c>
      <c r="E8" s="57">
        <f>3600/(E7*'Ввод данных'!E17+'Параметры'!C32)</f>
        <v>8.88888888888889</v>
      </c>
      <c r="F8" s="57">
        <f>3600/(F7*'Ввод данных'!F17+'Параметры'!C32)</f>
        <v>8.88888888888889</v>
      </c>
      <c r="G8" s="57">
        <f>3600/(G7*'Ввод данных'!G17+'Параметры'!C32)</f>
        <v>8.88888888888889</v>
      </c>
      <c r="H8" s="57">
        <f>3600/(H7*'Ввод данных'!H17+'Параметры'!C32)</f>
        <v>8.88888888888889</v>
      </c>
      <c r="I8" s="57">
        <f>3600/(I7*'Ввод данных'!I17+'Параметры'!C32)</f>
        <v>10.89588377723971</v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>1208.888888888889</v>
      </c>
      <c r="E9" s="56">
        <f>'Параметры'!C31*E8</f>
        <v>1208.888888888889</v>
      </c>
      <c r="F9" s="56">
        <f>'Параметры'!C31*F8</f>
        <v>1208.888888888889</v>
      </c>
      <c r="G9" s="56">
        <f>'Параметры'!C31*G8</f>
        <v>1208.888888888889</v>
      </c>
      <c r="H9" s="56">
        <f>'Параметры'!C31*H8</f>
        <v>1208.888888888889</v>
      </c>
      <c r="I9" s="56">
        <f>'Параметры'!C31*I8</f>
        <v>1481.8401937046006</v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>433.75991707531</v>
      </c>
      <c r="E10" s="58">
        <f>E9/'Параметры'!C27</f>
        <v>433.75991707531</v>
      </c>
      <c r="F10" s="58">
        <f>F9/'Параметры'!C27</f>
        <v>433.75991707531</v>
      </c>
      <c r="G10" s="58">
        <f>G9/'Параметры'!C27</f>
        <v>433.75991707531</v>
      </c>
      <c r="H10" s="58">
        <f>H9/'Параметры'!C27</f>
        <v>433.75991707531</v>
      </c>
      <c r="I10" s="58">
        <f>I9/'Параметры'!C27</f>
        <v>531.6972349137426</v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>8094.790277777779</v>
      </c>
      <c r="E11" s="56">
        <f>'Параметры'!C26*'Данные по годам'!E12</f>
        <v>8094.790277777779</v>
      </c>
      <c r="F11" s="56">
        <f>'Параметры'!C26*'Данные по годам'!E17</f>
        <v>7486.752777777779</v>
      </c>
      <c r="G11" s="56">
        <f>'Параметры'!C26*'Данные по годам'!E22</f>
        <v>7486.752777777779</v>
      </c>
      <c r="H11" s="56">
        <f>'Параметры'!C26*'Данные по годам'!E27</f>
        <v>7486.752777777779</v>
      </c>
      <c r="I11" s="56">
        <f>'Параметры'!C26*'Данные по годам'!E32</f>
        <v>7486.752777777779</v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>5103.090704282408</v>
      </c>
      <c r="E12" s="56">
        <f>E11*(1-'Ввод данных'!E18/(60*'Параметры'!C33))</f>
        <v>5103.090704282408</v>
      </c>
      <c r="F12" s="56">
        <f>F11*(1-'Ввод данных'!F18/(60*'Параметры'!C33))</f>
        <v>4719.773730324075</v>
      </c>
      <c r="G12" s="56">
        <f>G11*(1-'Ввод данных'!G18/(60*'Параметры'!C33))</f>
        <v>4719.773730324075</v>
      </c>
      <c r="H12" s="56">
        <f>H11*(1-'Ввод данных'!H18/(60*'Параметры'!C33))</f>
        <v>4719.773730324075</v>
      </c>
      <c r="I12" s="56">
        <f>I11*(1-'Ввод данных'!I18/(60*'Параметры'!C33))</f>
        <v>4719.773730324075</v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>0.5825446009454804</v>
      </c>
      <c r="E13" s="59">
        <f>E12/'Параметры'!C26</f>
        <v>0.5825446009454804</v>
      </c>
      <c r="F13" s="59">
        <f>F12/'Параметры'!C26</f>
        <v>0.5387869555164468</v>
      </c>
      <c r="G13" s="59">
        <f>G12/'Параметры'!C26</f>
        <v>0.5387869555164468</v>
      </c>
      <c r="H13" s="59">
        <f>H12/'Параметры'!C26</f>
        <v>0.5387869555164468</v>
      </c>
      <c r="I13" s="59">
        <f>I12/'Параметры'!C26</f>
        <v>0.5387869555164468</v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>2213.5162007173226</v>
      </c>
      <c r="E14" s="60">
        <f>E10*E12/1000</f>
        <v>2213.5162007173226</v>
      </c>
      <c r="F14" s="60">
        <f>F10*F12/1000</f>
        <v>2047.2486618795972</v>
      </c>
      <c r="G14" s="60">
        <f>G10*G12/1000</f>
        <v>2047.2486618795972</v>
      </c>
      <c r="H14" s="60">
        <f>H10*H12/1000</f>
        <v>2047.2486618795972</v>
      </c>
      <c r="I14" s="60">
        <f>I10*I12/1000</f>
        <v>2509.4906418318305</v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>1.0</v>
      </c>
      <c r="E6" s="64">
        <f>1/(1+'Параметры'!C6)^E$4</f>
        <v>0.8928571428571428</v>
      </c>
      <c r="F6" s="64">
        <f>1/(1+'Параметры'!C6)^F$4</f>
        <v>0.7971938775510203</v>
      </c>
      <c r="G6" s="64">
        <f>1/(1+'Параметры'!C6)^G$4</f>
        <v>0.7117802478134109</v>
      </c>
      <c r="H6" s="64">
        <f>1/(1+'Параметры'!C6)^H$4</f>
        <v>0.6355180784048311</v>
      </c>
      <c r="I6" s="64">
        <f>1/(1+'Параметры'!C6)^I$4</f>
        <v>0.5674268557185992</v>
      </c>
      <c r="J6" s="64">
        <f>1/(1+'Параметры'!C6)^J$4</f>
        <v>0.5066311211773206</v>
      </c>
      <c r="K6" s="64">
        <f>1/(1+'Параметры'!C6)^K$4</f>
        <v>0.4523492153368934</v>
      </c>
      <c r="L6" s="64">
        <f>1/(1+'Параметры'!C6)^L$4</f>
        <v>0.40388322797936904</v>
      </c>
      <c r="M6" s="64">
        <f>1/(1+'Параметры'!C6)^M$4</f>
        <v>0.36061002498157946</v>
      </c>
      <c r="N6" s="64">
        <f>1/(1+'Параметры'!C6)^N$4</f>
        <v>0.32197323659069593</v>
      </c>
    </row>
    <row r="8">
      <c r="B8" s="5" t="str">
        <f>"Вариант 1:  "&amp;'Ввод данных'!D7</f>
        <v>Вариант 1:  Komatsu PC2000-8
Mining Solutions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>0.9240628170979199</v>
      </c>
      <c r="F9" s="59">
        <f>'Данные по годам'!F7</f>
        <v>0.9000003170979199</v>
      </c>
      <c r="G9" s="59">
        <f>'Данные по годам'!G7</f>
        <v>0.8600004756468798</v>
      </c>
      <c r="H9" s="59">
        <f>'Данные по годам'!H7</f>
        <v>0.8499996829020803</v>
      </c>
      <c r="I9" s="59">
        <f>'Данные по годам'!I7</f>
        <v>0.8600004756468798</v>
      </c>
      <c r="J9" s="59">
        <f>'Данные по годам'!J7</f>
        <v>0.81214849695586</v>
      </c>
      <c r="K9" s="59">
        <f>'Данные по годам'!K7</f>
        <v>0.7865632927447997</v>
      </c>
      <c r="L9" s="59">
        <f>'Данные по годам'!L7</f>
        <v>0.8426392059868087</v>
      </c>
      <c r="M9" s="59">
        <f>'Данные по годам'!M7</f>
        <v>0.7373806126331812</v>
      </c>
      <c r="N9" s="59">
        <f>'Данные по годам'!N7</f>
        <v>0.826705194063927</v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>5103.090704282408</v>
      </c>
      <c r="F10" s="56">
        <f>'Параметры'!C26*F9*(1-'Ввод данных'!D18/(60*'Параметры'!C33))</f>
        <v>4970.206751157408</v>
      </c>
      <c r="G10" s="56">
        <f>'Параметры'!C26*G9*(1-'Ввод данных'!D18/(60*'Параметры'!C33))</f>
        <v>4749.309626736111</v>
      </c>
      <c r="H10" s="56">
        <f>'Параметры'!C26*H9*(1-'Ввод данных'!D18/(60*'Параметры'!C33))</f>
        <v>4694.080748842593</v>
      </c>
      <c r="I10" s="56">
        <f>'Параметры'!C26*I9*(1-'Ввод данных'!D18/(60*'Параметры'!C33))</f>
        <v>4749.309626736111</v>
      </c>
      <c r="J10" s="56">
        <f>'Параметры'!C26*J9*(1-'Ввод данных'!D18/(60*'Параметры'!C33))</f>
        <v>4485.049467013889</v>
      </c>
      <c r="K10" s="56">
        <f>'Параметры'!C26*K9*(1-'Ввод данных'!D18/(60*'Параметры'!C33))</f>
        <v>4343.756456018519</v>
      </c>
      <c r="L10" s="56">
        <f>'Параметры'!C26*L9*(1-'Ввод данных'!D18/(60*'Параметры'!C33))</f>
        <v>4653.432883101852</v>
      </c>
      <c r="M10" s="56">
        <f>'Параметры'!C26*M9*(1-'Ввод данных'!D18/(60*'Параметры'!C33))</f>
        <v>4072.147564236111</v>
      </c>
      <c r="N10" s="56">
        <f>'Параметры'!C26*N9*(1-'Ввод данных'!D18/(60*'Параметры'!C33))</f>
        <v>4565.438098958333</v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>2213.5162007173226</v>
      </c>
      <c r="F11" s="56">
        <f>'Производительность'!D10*F10/1000</f>
        <v>2155.876468229183</v>
      </c>
      <c r="G11" s="56">
        <f>'Производительность'!D10*G10/1000</f>
        <v>2060.0601498580268</v>
      </c>
      <c r="H11" s="56">
        <f>'Производительность'!D10*H10/1000</f>
        <v>2036.1040763627718</v>
      </c>
      <c r="I11" s="56">
        <f>'Производительность'!D10*I10/1000</f>
        <v>2060.0601498580268</v>
      </c>
      <c r="J11" s="56">
        <f>'Производительность'!D10*J10/1000</f>
        <v>1945.4346848906075</v>
      </c>
      <c r="K11" s="56">
        <f>'Производительность'!D10*K10/1000</f>
        <v>1884.1474401579353</v>
      </c>
      <c r="L11" s="56">
        <f>'Производительность'!D10*L10/1000</f>
        <v>2018.47266148978</v>
      </c>
      <c r="M11" s="56">
        <f>'Производительность'!D10*M10/1000</f>
        <v>1766.3343897814811</v>
      </c>
      <c r="N11" s="56">
        <f>'Производительность'!D10*N10/1000</f>
        <v>1980.3040512166274</v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>24751.32590491606</v>
      </c>
      <c r="F12" s="56">
        <f>F10*'Данные по годам'!F9*'Параметры'!C10*(1+'Параметры'!C14)^(F$4-1)/1000</f>
        <v>24106.803943240877</v>
      </c>
      <c r="G12" s="56">
        <f>G10*'Данные по годам'!G9*'Параметры'!C10*(1+'Параметры'!C14)^(G$4-1)/1000</f>
        <v>23035.39505893041</v>
      </c>
      <c r="H12" s="56">
        <f>H10*'Данные по годам'!H9*'Параметры'!C10*(1+'Параметры'!C14)^(H$4-1)/1000</f>
        <v>22767.52054222662</v>
      </c>
      <c r="I12" s="56">
        <f>I10*'Данные по годам'!I9*'Параметры'!C10*(1+'Параметры'!C14)^(I$4-1)/1000</f>
        <v>23035.39505893041</v>
      </c>
      <c r="J12" s="56">
        <f>J10*'Данные по годам'!J9*'Параметры'!C10*(1+'Параметры'!C14)^(J$4-1)/1000</f>
        <v>21753.66410096782</v>
      </c>
      <c r="K12" s="56">
        <f>K10*'Данные по годам'!K9*'Параметры'!C10*(1+'Параметры'!C14)^(K$4-1)/1000</f>
        <v>21068.35600713</v>
      </c>
      <c r="L12" s="56">
        <f>L10*'Данные по годам'!L9*'Параметры'!C10*(1+'Параметры'!C14)^(L$4-1)/1000</f>
        <v>22570.367751772777</v>
      </c>
      <c r="M12" s="56">
        <f>M10*'Данные по годам'!M9*'Параметры'!C10*(1+'Параметры'!C14)^(M$4-1)/1000</f>
        <v>19750.981774777454</v>
      </c>
      <c r="N12" s="56">
        <f>N10*'Данные по годам'!N9*'Параметры'!C10*(1+'Параметры'!C14)^(N$4-1)/1000</f>
        <v>22143.570011642223</v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>10488.667534575998</v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>115010.15219257599</v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>121496.831610576</v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>114786.34234057601</v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>11243.074212575999</v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>221491.11494257604</v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>14949.639414575997</v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>221333.53453657601</v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>15173.449266575999</v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>111079.777138576</v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>1925.7590946240707</v>
      </c>
      <c r="F14" s="56">
        <f>'Данные по годам'!F10*F11*(1+'Параметры'!C15)^(F$4-1)</f>
        <v>1875.6125273593893</v>
      </c>
      <c r="G14" s="56">
        <f>'Данные по годам'!G10*G11*(1+'Параметры'!C15)^(G$4-1)</f>
        <v>1792.2523303764833</v>
      </c>
      <c r="H14" s="56">
        <f>'Данные по годам'!H10*H11*(1+'Параметры'!C15)^(H$4-1)</f>
        <v>1771.4105464356114</v>
      </c>
      <c r="I14" s="56">
        <f>'Данные по годам'!I10*I11*(1+'Параметры'!C15)^(I$4-1)</f>
        <v>1792.2523303764833</v>
      </c>
      <c r="J14" s="56">
        <f>'Данные по годам'!J10*J11*(1+'Параметры'!C15)^(J$4-1)</f>
        <v>1692.5281758548285</v>
      </c>
      <c r="K14" s="56">
        <f>'Данные по годам'!K10*K11*(1+'Параметры'!C15)^(K$4-1)</f>
        <v>1639.2082729374038</v>
      </c>
      <c r="L14" s="56">
        <f>'Данные по годам'!L10*L11*(1+'Параметры'!C15)^(L$4-1)</f>
        <v>1756.0712154961086</v>
      </c>
      <c r="M14" s="56">
        <f>'Данные по годам'!M10*M11*(1+'Параметры'!C15)^(M$4-1)</f>
        <v>1536.7109191098887</v>
      </c>
      <c r="N14" s="56">
        <f>'Данные по годам'!N10*N11*(1+'Параметры'!C15)^(N$4-1)</f>
        <v>1722.8645245584657</v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>10015.0</v>
      </c>
      <c r="F15" s="56">
        <f>'Ввод данных'!D20*(1+'Параметры'!C16)^(F$4-1)</f>
        <v>10015.0</v>
      </c>
      <c r="G15" s="56">
        <f>'Ввод данных'!D20*(1+'Параметры'!C16)^(G$4-1)</f>
        <v>10015.0</v>
      </c>
      <c r="H15" s="56">
        <f>'Ввод данных'!D20*(1+'Параметры'!C16)^(H$4-1)</f>
        <v>10015.0</v>
      </c>
      <c r="I15" s="56">
        <f>'Ввод данных'!D20*(1+'Параметры'!C16)^(I$4-1)</f>
        <v>10015.0</v>
      </c>
      <c r="J15" s="56">
        <f>'Ввод данных'!D20*(1+'Параметры'!C16)^(J$4-1)</f>
        <v>10015.0</v>
      </c>
      <c r="K15" s="56">
        <f>'Ввод данных'!D20*(1+'Параметры'!C16)^(K$4-1)</f>
        <v>10015.0</v>
      </c>
      <c r="L15" s="56">
        <f>'Ввод данных'!D20*(1+'Параметры'!C16)^(L$4-1)</f>
        <v>10015.0</v>
      </c>
      <c r="M15" s="56">
        <f>'Ввод данных'!D20*(1+'Параметры'!C16)^(M$4-1)</f>
        <v>10015.0</v>
      </c>
      <c r="N15" s="56">
        <f>'Ввод данных'!D20*(1+'Параметры'!C16)^(N$4-1)</f>
        <v>10015.0</v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>47180.75253411612</v>
      </c>
      <c r="F16" s="65">
        <f>F12+F13+F14+F15</f>
        <v>151007.56866317627</v>
      </c>
      <c r="G16" s="65">
        <f>G12+G13+G14+G15</f>
        <v>156339.47899988288</v>
      </c>
      <c r="H16" s="65">
        <f>H12+H13+H14+H15</f>
        <v>149340.27342923827</v>
      </c>
      <c r="I16" s="65">
        <f>I12+I13+I14+I15</f>
        <v>46085.72160188289</v>
      </c>
      <c r="J16" s="65">
        <f>J12+J13+J14+J15</f>
        <v>254952.30721939867</v>
      </c>
      <c r="K16" s="65">
        <f>K12+K13+K14+K15</f>
        <v>47672.2036946434</v>
      </c>
      <c r="L16" s="65">
        <f>L12+L13+L14+L15</f>
        <v>255674.9735038449</v>
      </c>
      <c r="M16" s="65">
        <f>M12+M13+M14+M15</f>
        <v>46476.14196046334</v>
      </c>
      <c r="N16" s="65">
        <f>N12+N13+N14+N15</f>
        <v>144961.21167477668</v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>55953.19922630561</v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>55953.19922630561</v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>55953.19922630561</v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>55953.19922630561</v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>55953.19922630561</v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>9512.043868471948</v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>0.0</v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>0.0</v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>0.0</v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>0.0</v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>103133.95176042174</v>
      </c>
      <c r="F18" s="56">
        <f>F16+F17</f>
        <v>206960.76788948188</v>
      </c>
      <c r="G18" s="56">
        <f>G16+G17</f>
        <v>212292.6782261885</v>
      </c>
      <c r="H18" s="56">
        <f>H16+H17</f>
        <v>205293.47265554388</v>
      </c>
      <c r="I18" s="56">
        <f>I16+I17</f>
        <v>102038.92082818851</v>
      </c>
      <c r="J18" s="56">
        <f>J16+J17</f>
        <v>264464.3510878706</v>
      </c>
      <c r="K18" s="56">
        <f>K16+K17</f>
        <v>47672.2036946434</v>
      </c>
      <c r="L18" s="56">
        <f>L16+L17</f>
        <v>255674.9735038449</v>
      </c>
      <c r="M18" s="56">
        <f>M16+M17</f>
        <v>46476.14196046334</v>
      </c>
      <c r="N18" s="56">
        <f>N16+N17</f>
        <v>144961.21167477668</v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>-25783.487940105435</v>
      </c>
      <c r="F19" s="56">
        <f>-F18*'Параметры'!C7</f>
        <v>-51740.19197237047</v>
      </c>
      <c r="G19" s="56">
        <f>-G18*'Параметры'!C7</f>
        <v>-53073.169556547124</v>
      </c>
      <c r="H19" s="56">
        <f>-H18*'Параметры'!C7</f>
        <v>-51323.36816388597</v>
      </c>
      <c r="I19" s="56">
        <f>-I18*'Параметры'!C7</f>
        <v>-25509.730207047127</v>
      </c>
      <c r="J19" s="56">
        <f>-J18*'Параметры'!C7</f>
        <v>-66116.08777196765</v>
      </c>
      <c r="K19" s="56">
        <f>-K18*'Параметры'!C7</f>
        <v>-11918.05092366085</v>
      </c>
      <c r="L19" s="56">
        <f>-L18*'Параметры'!C7</f>
        <v>-63918.743375961225</v>
      </c>
      <c r="M19" s="56">
        <f>-M18*'Параметры'!C7</f>
        <v>-11619.035490115835</v>
      </c>
      <c r="N19" s="56">
        <f>-N18*'Параметры'!C7</f>
        <v>-36240.30291869417</v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>21397.264594010696</v>
      </c>
      <c r="F20" s="65">
        <f>F18+F19-F17</f>
        <v>99267.3766908058</v>
      </c>
      <c r="G20" s="65">
        <f>G18+G19-G17</f>
        <v>103266.30944333575</v>
      </c>
      <c r="H20" s="65">
        <f>H18+H19-H17</f>
        <v>98016.90526535231</v>
      </c>
      <c r="I20" s="65">
        <f>I18+I19-I17</f>
        <v>20575.991394835764</v>
      </c>
      <c r="J20" s="65">
        <f>J18+J19-J17</f>
        <v>188836.219447431</v>
      </c>
      <c r="K20" s="65">
        <f>K18+K19-K17</f>
        <v>35754.15277098255</v>
      </c>
      <c r="L20" s="65">
        <f>L18+L19-L17</f>
        <v>191756.23012788367</v>
      </c>
      <c r="M20" s="65">
        <f>M18+M19-M17</f>
        <v>34857.106470347506</v>
      </c>
      <c r="N20" s="65">
        <f>N18+N19-N17</f>
        <v>108720.90875608251</v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>289278.04</v>
      </c>
      <c r="E21" s="56">
        <f>IF(E$4=0,'Производительность'!D5,IF(E$4='Параметры'!C8,-'Ввод данных'!D14*'Производительность'!D5,0))</f>
        <v>0.0</v>
      </c>
      <c r="F21" s="56">
        <f>IF(F$4=0,'Производительность'!D5,IF(F$4='Параметры'!C8,-'Ввод данных'!D14*'Производительность'!D5,0))</f>
        <v>0.0</v>
      </c>
      <c r="G21" s="56">
        <f>IF(G$4=0,'Производительность'!D5,IF(G$4='Параметры'!C8,-'Ввод данных'!D14*'Производительность'!D5,0))</f>
        <v>0.0</v>
      </c>
      <c r="H21" s="56">
        <f>IF(H$4=0,'Производительность'!D5,IF(H$4='Параметры'!C8,-'Ввод данных'!D14*'Производительность'!D5,0))</f>
        <v>0.0</v>
      </c>
      <c r="I21" s="56">
        <f>IF(I$4=0,'Производительность'!D5,IF(I$4='Параметры'!C8,-'Ввод данных'!D14*'Производительность'!D5,0))</f>
        <v>0.0</v>
      </c>
      <c r="J21" s="56">
        <f>IF(J$4=0,'Производительность'!D5,IF(J$4='Параметры'!C8,-'Ввод данных'!D14*'Производительность'!D5,0))</f>
        <v>0.0</v>
      </c>
      <c r="K21" s="56">
        <f>IF(K$4=0,'Производительность'!D5,IF(K$4='Параметры'!C8,-'Ввод данных'!D14*'Производительность'!D5,0))</f>
        <v>0.0</v>
      </c>
      <c r="L21" s="56">
        <f>IF(L$4=0,'Производительность'!D5,IF(L$4='Параметры'!C8,-'Ввод данных'!D14*'Производительность'!D5,0))</f>
        <v>0.0</v>
      </c>
      <c r="M21" s="56">
        <f>IF(M$4=0,'Производительность'!D5,IF(M$4='Параметры'!C8,-'Ввод данных'!D14*'Производительность'!D5,0))</f>
        <v>0.0</v>
      </c>
      <c r="N21" s="56">
        <f>IF(N$4=0,'Производительность'!D5,IF(N$4='Параметры'!C8,-'Ввод данных'!D14*'Производительность'!D5,0))</f>
        <v>-0.0</v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>289278.04</v>
      </c>
      <c r="E22" s="65">
        <f>E20+E21</f>
        <v>21397.264594010696</v>
      </c>
      <c r="F22" s="65">
        <f>F20+F21</f>
        <v>99267.3766908058</v>
      </c>
      <c r="G22" s="65">
        <f>G20+G21</f>
        <v>103266.30944333575</v>
      </c>
      <c r="H22" s="65">
        <f>H20+H21</f>
        <v>98016.90526535231</v>
      </c>
      <c r="I22" s="65">
        <f>I20+I21</f>
        <v>20575.991394835764</v>
      </c>
      <c r="J22" s="65">
        <f>J20+J21</f>
        <v>188836.219447431</v>
      </c>
      <c r="K22" s="65">
        <f>K20+K21</f>
        <v>35754.15277098255</v>
      </c>
      <c r="L22" s="65">
        <f>L20+L21</f>
        <v>191756.23012788367</v>
      </c>
      <c r="M22" s="65">
        <f>M20+M21</f>
        <v>34857.106470347506</v>
      </c>
      <c r="N22" s="65">
        <f>N20+N21</f>
        <v>108720.90875608251</v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>289278.04</v>
      </c>
      <c r="E23" s="56">
        <f>E22*E$6</f>
        <v>19104.700530366692</v>
      </c>
      <c r="F23" s="56">
        <f>F22*F$6</f>
        <v>79135.34493846125</v>
      </c>
      <c r="G23" s="56">
        <f>G22*G$6</f>
        <v>73502.91932635389</v>
      </c>
      <c r="H23" s="56">
        <f>H22*H$6</f>
        <v>62291.51528542507</v>
      </c>
      <c r="I23" s="56">
        <f>I22*I$6</f>
        <v>11675.370100464612</v>
      </c>
      <c r="J23" s="56">
        <f>J22*J$6</f>
        <v>95670.30557753851</v>
      </c>
      <c r="K23" s="56">
        <f>K22*K$6</f>
        <v>16173.362950989369</v>
      </c>
      <c r="L23" s="56">
        <f>L22*L$6</f>
        <v>77447.12520920439</v>
      </c>
      <c r="M23" s="56">
        <f>M22*M$6</f>
        <v>12569.822035057588</v>
      </c>
      <c r="N23" s="56">
        <f>N22*N$6</f>
        <v>35005.22287727762</v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>289278.04</v>
      </c>
      <c r="E24" s="56">
        <f>SUM($D23:E23)</f>
        <v>308382.74053036666</v>
      </c>
      <c r="F24" s="56">
        <f>SUM($D23:F23)</f>
        <v>387518.0854688279</v>
      </c>
      <c r="G24" s="56">
        <f>SUM($D23:G23)</f>
        <v>461021.0047951818</v>
      </c>
      <c r="H24" s="56">
        <f>SUM($D23:H23)</f>
        <v>523312.52008060686</v>
      </c>
      <c r="I24" s="56">
        <f>SUM($D23:I23)</f>
        <v>534987.8901810715</v>
      </c>
      <c r="J24" s="56">
        <f>SUM($D23:J23)</f>
        <v>630658.19575861</v>
      </c>
      <c r="K24" s="56">
        <f>SUM($D23:K23)</f>
        <v>646831.5587095993</v>
      </c>
      <c r="L24" s="56">
        <f>SUM($D23:L23)</f>
        <v>724278.6839188037</v>
      </c>
      <c r="M24" s="56">
        <f>SUM($D23:M23)</f>
        <v>736848.5059538613</v>
      </c>
      <c r="N24" s="56">
        <f>SUM($D23:N23)</f>
        <v>771853.7288311389</v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>156.03620578068612</v>
      </c>
      <c r="F25" s="66">
        <f>SUM($D23:F23)/SUM($E$6:F$6)/(SUM($E11:F11)/F$4)</f>
        <v>104.9545039223911</v>
      </c>
      <c r="G25" s="66">
        <f>SUM($D23:G23)/SUM($E$6:G$6)/(SUM($E11:G11)/G$4)</f>
        <v>89.56234571078932</v>
      </c>
      <c r="H25" s="66">
        <f>SUM($D23:H23)/SUM($E$6:H$6)/(SUM($E11:H11)/H$4)</f>
        <v>81.40870338196157</v>
      </c>
      <c r="I25" s="66">
        <f>SUM($D23:I23)/SUM($E$6:I$6)/(SUM($E11:I11)/I$4)</f>
        <v>70.4998322530559</v>
      </c>
      <c r="J25" s="66">
        <f>SUM($D23:J23)/SUM($E$6:J$6)/(SUM($E11:J11)/J$4)</f>
        <v>73.79920927236941</v>
      </c>
      <c r="K25" s="66">
        <f>SUM($D23:K23)/SUM($E$6:K$6)/(SUM($E11:K11)/K$4)</f>
        <v>69.1126507423442</v>
      </c>
      <c r="L25" s="66">
        <f>SUM($D23:L23)/SUM($E$6:L$6)/(SUM($E11:L11)/L$4)</f>
        <v>71.2359981419934</v>
      </c>
      <c r="M25" s="66">
        <f>SUM($D23:M23)/SUM($E$6:M$6)/(SUM($E11:M11)/M$4)</f>
        <v>68.61178347428711</v>
      </c>
      <c r="N25" s="66">
        <f>SUM($D23:N23)/SUM($E$6:N$6)/(SUM($E11:N11)/N$4)</f>
        <v>67.89452309645978</v>
      </c>
    </row>
    <row r="27">
      <c r="B27" s="5" t="str">
        <f>"Вариант 2:  "&amp;'Ввод данных'!E7</f>
        <v>Вариант 2:  Komatsu PC2000-11R
ИСТК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>0.9240628170979199</v>
      </c>
      <c r="F28" s="59">
        <f>'Данные по годам'!F12</f>
        <v>0.797738299086758</v>
      </c>
      <c r="G28" s="59">
        <f>'Данные по годам'!G12</f>
        <v>0.8245343417047185</v>
      </c>
      <c r="H28" s="59">
        <f>'Данные по годам'!H12</f>
        <v>0.7639435882800609</v>
      </c>
      <c r="I28" s="59">
        <f>'Данные по годам'!I12</f>
        <v>0.7628148782343989</v>
      </c>
      <c r="J28" s="59">
        <f>'Данные по годам'!J12</f>
        <v>0.81214849695586</v>
      </c>
      <c r="K28" s="59">
        <f>'Данные по годам'!K12</f>
        <v>0.7865632927447997</v>
      </c>
      <c r="L28" s="59">
        <f>'Данные по годам'!L12</f>
        <v>0.8426392059868087</v>
      </c>
      <c r="M28" s="59">
        <f>'Данные по годам'!M12</f>
        <v>0.7373806126331812</v>
      </c>
      <c r="N28" s="59">
        <f>'Данные по годам'!N12</f>
        <v>0.826705194063927</v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>5103.090704282408</v>
      </c>
      <c r="F29" s="56">
        <f>'Параметры'!C26*F28*(1-'Ввод данных'!E18/(60*'Параметры'!C33))</f>
        <v>4405.4698697916665</v>
      </c>
      <c r="G29" s="56">
        <f>'Параметры'!C26*G28*(1-'Ввод данных'!E18/(60*'Параметры'!C33))</f>
        <v>4553.449675347223</v>
      </c>
      <c r="H29" s="56">
        <f>'Параметры'!C26*H28*(1-'Ввод данных'!E18/(60*'Параметры'!C33))</f>
        <v>4218.8402690972225</v>
      </c>
      <c r="I29" s="56">
        <f>'Параметры'!C26*I28*(1-'Ввод данных'!E18/(60*'Параметры'!C33))</f>
        <v>4212.607024305556</v>
      </c>
      <c r="J29" s="56">
        <f>'Параметры'!C26*J28*(1-'Ввод данных'!E18/(60*'Параметры'!C33))</f>
        <v>4485.049467013889</v>
      </c>
      <c r="K29" s="56">
        <f>'Параметры'!C26*K28*(1-'Ввод данных'!E18/(60*'Параметры'!C33))</f>
        <v>4343.756456018519</v>
      </c>
      <c r="L29" s="56">
        <f>'Параметры'!C26*L28*(1-'Ввод данных'!E18/(60*'Параметры'!C33))</f>
        <v>4653.432883101852</v>
      </c>
      <c r="M29" s="56">
        <f>'Параметры'!C26*M28*(1-'Ввод данных'!E18/(60*'Параметры'!C33))</f>
        <v>4072.147564236111</v>
      </c>
      <c r="N29" s="56">
        <f>'Параметры'!C26*N28*(1-'Ввод данных'!E18/(60*'Параметры'!C33))</f>
        <v>4565.438098958333</v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>2213.5162007173226</v>
      </c>
      <c r="F30" s="56">
        <f>'Производительность'!E10*F29/1000</f>
        <v>1910.9162453986098</v>
      </c>
      <c r="G30" s="56">
        <f>'Производительность'!E10*G29/1000</f>
        <v>1975.1039535852087</v>
      </c>
      <c r="H30" s="56">
        <f>'Производительность'!E10*H29/1000</f>
        <v>1829.9638052775897</v>
      </c>
      <c r="I30" s="56">
        <f>'Производительность'!E10*I29/1000</f>
        <v>1827.2600735336464</v>
      </c>
      <c r="J30" s="56">
        <f>'Производительность'!E10*J29/1000</f>
        <v>1945.4346848906075</v>
      </c>
      <c r="K30" s="56">
        <f>'Производительность'!E10*K29/1000</f>
        <v>1884.1474401579353</v>
      </c>
      <c r="L30" s="56">
        <f>'Производительность'!E10*L29/1000</f>
        <v>2018.47266148978</v>
      </c>
      <c r="M30" s="56">
        <f>'Производительность'!E10*M29/1000</f>
        <v>1766.3343897814811</v>
      </c>
      <c r="N30" s="56">
        <f>'Производительность'!E10*N29/1000</f>
        <v>1980.3040512166274</v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>24009.849377129183</v>
      </c>
      <c r="F31" s="56">
        <f>F29*'Данные по годам'!F14*'Параметры'!C10*(1+'Параметры'!C14)^(F$4-1)/1000</f>
        <v>20727.5696511557</v>
      </c>
      <c r="G31" s="56">
        <f>G29*'Данные по годам'!G14*'Параметры'!C10*(1+'Параметры'!C14)^(G$4-1)/1000</f>
        <v>21423.809057455925</v>
      </c>
      <c r="H31" s="56">
        <f>H29*'Данные по годам'!H14*'Параметры'!C10*(1+'Параметры'!C14)^(H$4-1)/1000</f>
        <v>19849.484415824285</v>
      </c>
      <c r="I31" s="56">
        <f>I29*'Данные по годам'!I14*'Параметры'!C10*(1+'Параметры'!C14)^(I$4-1)/1000</f>
        <v>19820.157234072823</v>
      </c>
      <c r="J31" s="56">
        <f>J29*'Данные по годам'!J14*'Параметры'!C10*(1+'Параметры'!C14)^(J$4-1)/1000</f>
        <v>21101.98865593544</v>
      </c>
      <c r="K31" s="56">
        <f>K29*'Данные по годам'!K14*'Параметры'!C10*(1+'Параметры'!C14)^(K$4-1)/1000</f>
        <v>20437.21036594874</v>
      </c>
      <c r="L31" s="56">
        <f>L29*'Данные по годам'!L14*'Параметры'!C10*(1+'Параметры'!C14)^(L$4-1)/1000</f>
        <v>21894.226280574523</v>
      </c>
      <c r="M31" s="56">
        <f>M29*'Данные по годам'!M14*'Параметры'!C10*(1+'Параметры'!C14)^(M$4-1)/1000</f>
        <v>19159.30076976773</v>
      </c>
      <c r="N31" s="56">
        <f>N29*'Данные по годам'!N14*'Параметры'!C10*(1+'Параметры'!C14)^(N$4-1)/1000</f>
        <v>21480.21413858263</v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>10264.857682575997</v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>13484.217764576</v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>50845.99914657599</v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>111347.739954576</v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>18730.046642576</v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>54065.359228575995</v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>13484.217764576</v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>108128.37987257598</v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>62530.548188575995</v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>10264.857682575997</v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>1925.7590946240707</v>
      </c>
      <c r="F33" s="56">
        <f>'Данные по годам'!F15*F30*(1+'Параметры'!C15)^(F$4-1)</f>
        <v>1662.4971334967906</v>
      </c>
      <c r="G33" s="56">
        <f>'Данные по годам'!G15*G30*(1+'Параметры'!C15)^(G$4-1)</f>
        <v>1718.3404396191315</v>
      </c>
      <c r="H33" s="56">
        <f>'Данные по годам'!H15*H30*(1+'Параметры'!C15)^(H$4-1)</f>
        <v>1592.0685105915031</v>
      </c>
      <c r="I33" s="56">
        <f>'Данные по годам'!I15*I30*(1+'Параметры'!C15)^(I$4-1)</f>
        <v>1589.7162639742724</v>
      </c>
      <c r="J33" s="56">
        <f>'Данные по годам'!J15*J30*(1+'Параметры'!C15)^(J$4-1)</f>
        <v>1692.5281758548285</v>
      </c>
      <c r="K33" s="56">
        <f>'Данные по годам'!K15*K30*(1+'Параметры'!C15)^(K$4-1)</f>
        <v>1639.2082729374038</v>
      </c>
      <c r="L33" s="56">
        <f>'Данные по годам'!L15*L30*(1+'Параметры'!C15)^(L$4-1)</f>
        <v>1756.0712154961086</v>
      </c>
      <c r="M33" s="56">
        <f>'Данные по годам'!M15*M30*(1+'Параметры'!C15)^(M$4-1)</f>
        <v>1536.7109191098887</v>
      </c>
      <c r="N33" s="56">
        <f>'Данные по годам'!N15*N30*(1+'Параметры'!C15)^(N$4-1)</f>
        <v>1722.8645245584657</v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>10015.0</v>
      </c>
      <c r="F34" s="56">
        <f>'Ввод данных'!E20*(1+'Параметры'!C16)^(F$4-1)</f>
        <v>10015.0</v>
      </c>
      <c r="G34" s="56">
        <f>'Ввод данных'!E20*(1+'Параметры'!C16)^(G$4-1)</f>
        <v>10015.0</v>
      </c>
      <c r="H34" s="56">
        <f>'Ввод данных'!E20*(1+'Параметры'!C16)^(H$4-1)</f>
        <v>10015.0</v>
      </c>
      <c r="I34" s="56">
        <f>'Ввод данных'!E20*(1+'Параметры'!C16)^(I$4-1)</f>
        <v>10015.0</v>
      </c>
      <c r="J34" s="56">
        <f>'Ввод данных'!E20*(1+'Параметры'!C16)^(J$4-1)</f>
        <v>10015.0</v>
      </c>
      <c r="K34" s="56">
        <f>'Ввод данных'!E20*(1+'Параметры'!C16)^(K$4-1)</f>
        <v>10015.0</v>
      </c>
      <c r="L34" s="56">
        <f>'Ввод данных'!E20*(1+'Параметры'!C16)^(L$4-1)</f>
        <v>10015.0</v>
      </c>
      <c r="M34" s="56">
        <f>'Ввод данных'!E20*(1+'Параметры'!C16)^(M$4-1)</f>
        <v>10015.0</v>
      </c>
      <c r="N34" s="56">
        <f>'Ввод данных'!E20*(1+'Параметры'!C16)^(N$4-1)</f>
        <v>10015.0</v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>46215.466154329246</v>
      </c>
      <c r="F35" s="65">
        <f>F31+F32+F33+F34</f>
        <v>45889.28454922849</v>
      </c>
      <c r="G35" s="65">
        <f>G31+G32+G33+G34</f>
        <v>84003.14864365105</v>
      </c>
      <c r="H35" s="65">
        <f>H31+H32+H33+H34</f>
        <v>142804.29288099176</v>
      </c>
      <c r="I35" s="65">
        <f>I31+I32+I33+I34</f>
        <v>50154.9201406231</v>
      </c>
      <c r="J35" s="65">
        <f>J31+J32+J33+J34</f>
        <v>86874.87606036625</v>
      </c>
      <c r="K35" s="65">
        <f>K31+K32+K33+K34</f>
        <v>45575.636403462144</v>
      </c>
      <c r="L35" s="65">
        <f>L31+L32+L33+L34</f>
        <v>141793.67736864663</v>
      </c>
      <c r="M35" s="65">
        <f>M31+M32+M33+M34</f>
        <v>93241.55987745362</v>
      </c>
      <c r="N35" s="65">
        <f>N31+N32+N33+N34</f>
        <v>43482.93634571709</v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>50087.53700425532</v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>50087.53700425532</v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>50087.53700425532</v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>50087.53700425532</v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>50087.53700425532</v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>8514.8812907234</v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>0.0</v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>0.0</v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>0.0</v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>0.0</v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>96303.00315858456</v>
      </c>
      <c r="F37" s="56">
        <f>F35+F36</f>
        <v>95976.82155348381</v>
      </c>
      <c r="G37" s="56">
        <f>G35+G36</f>
        <v>134090.68564790636</v>
      </c>
      <c r="H37" s="56">
        <f>H35+H36</f>
        <v>192891.82988524708</v>
      </c>
      <c r="I37" s="56">
        <f>I35+I36</f>
        <v>100242.45714487843</v>
      </c>
      <c r="J37" s="56">
        <f>J35+J36</f>
        <v>95389.75735108965</v>
      </c>
      <c r="K37" s="56">
        <f>K35+K36</f>
        <v>45575.636403462144</v>
      </c>
      <c r="L37" s="56">
        <f>L35+L36</f>
        <v>141793.67736864663</v>
      </c>
      <c r="M37" s="56">
        <f>M35+M36</f>
        <v>93241.55987745362</v>
      </c>
      <c r="N37" s="56">
        <f>N35+N36</f>
        <v>43482.93634571709</v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>-24075.75078964614</v>
      </c>
      <c r="F38" s="56">
        <f>-F37*'Параметры'!C7</f>
        <v>-23994.205388370952</v>
      </c>
      <c r="G38" s="56">
        <f>-G37*'Параметры'!C7</f>
        <v>-33522.67141197659</v>
      </c>
      <c r="H38" s="56">
        <f>-H37*'Параметры'!C7</f>
        <v>-48222.95747131177</v>
      </c>
      <c r="I38" s="56">
        <f>-I37*'Параметры'!C7</f>
        <v>-25060.614286219607</v>
      </c>
      <c r="J38" s="56">
        <f>-J37*'Параметры'!C7</f>
        <v>-23847.43933777241</v>
      </c>
      <c r="K38" s="56">
        <f>-K37*'Параметры'!C7</f>
        <v>-11393.909100865536</v>
      </c>
      <c r="L38" s="56">
        <f>-L37*'Параметры'!C7</f>
        <v>-35448.41934216166</v>
      </c>
      <c r="M38" s="56">
        <f>-M37*'Параметры'!C7</f>
        <v>-23310.389969363405</v>
      </c>
      <c r="N38" s="56">
        <f>-N37*'Параметры'!C7</f>
        <v>-10870.734086429273</v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>22139.715364683092</v>
      </c>
      <c r="F39" s="65">
        <f>F37+F38-F36</f>
        <v>21895.07916085753</v>
      </c>
      <c r="G39" s="65">
        <f>G37+G38-G36</f>
        <v>50480.47723167444</v>
      </c>
      <c r="H39" s="65">
        <f>H37+H38-H36</f>
        <v>94581.33540968</v>
      </c>
      <c r="I39" s="65">
        <f>I37+I38-I36</f>
        <v>25094.305854403494</v>
      </c>
      <c r="J39" s="65">
        <f>J37+J38-J36</f>
        <v>63027.43672259384</v>
      </c>
      <c r="K39" s="65">
        <f>K37+K38-K36</f>
        <v>34181.727302596606</v>
      </c>
      <c r="L39" s="65">
        <f>L37+L38-L36</f>
        <v>106345.25802648498</v>
      </c>
      <c r="M39" s="65">
        <f>M37+M38-M36</f>
        <v>69931.16990809022</v>
      </c>
      <c r="N39" s="65">
        <f>N37+N38-N36</f>
        <v>32612.20225928782</v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>258952.56631199998</v>
      </c>
      <c r="E40" s="56">
        <f>IF(E$4=0,'Производительность'!E5,IF(E$4='Параметры'!C8,-'Ввод данных'!E14*'Производительность'!E5,0))</f>
        <v>0.0</v>
      </c>
      <c r="F40" s="56">
        <f>IF(F$4=0,'Производительность'!E5,IF(F$4='Параметры'!C8,-'Ввод данных'!E14*'Производительность'!E5,0))</f>
        <v>0.0</v>
      </c>
      <c r="G40" s="56">
        <f>IF(G$4=0,'Производительность'!E5,IF(G$4='Параметры'!C8,-'Ввод данных'!E14*'Производительность'!E5,0))</f>
        <v>0.0</v>
      </c>
      <c r="H40" s="56">
        <f>IF(H$4=0,'Производительность'!E5,IF(H$4='Параметры'!C8,-'Ввод данных'!E14*'Производительность'!E5,0))</f>
        <v>0.0</v>
      </c>
      <c r="I40" s="56">
        <f>IF(I$4=0,'Производительность'!E5,IF(I$4='Параметры'!C8,-'Ввод данных'!E14*'Производительность'!E5,0))</f>
        <v>0.0</v>
      </c>
      <c r="J40" s="56">
        <f>IF(J$4=0,'Производительность'!E5,IF(J$4='Параметры'!C8,-'Ввод данных'!E14*'Производительность'!E5,0))</f>
        <v>0.0</v>
      </c>
      <c r="K40" s="56">
        <f>IF(K$4=0,'Производительность'!E5,IF(K$4='Параметры'!C8,-'Ввод данных'!E14*'Производительность'!E5,0))</f>
        <v>0.0</v>
      </c>
      <c r="L40" s="56">
        <f>IF(L$4=0,'Производительность'!E5,IF(L$4='Параметры'!C8,-'Ввод данных'!E14*'Производительность'!E5,0))</f>
        <v>0.0</v>
      </c>
      <c r="M40" s="56">
        <f>IF(M$4=0,'Производительность'!E5,IF(M$4='Параметры'!C8,-'Ввод данных'!E14*'Производительность'!E5,0))</f>
        <v>0.0</v>
      </c>
      <c r="N40" s="56">
        <f>IF(N$4=0,'Производительность'!E5,IF(N$4='Параметры'!C8,-'Ввод данных'!E14*'Производительность'!E5,0))</f>
        <v>-0.0</v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>258952.56631199998</v>
      </c>
      <c r="E41" s="65">
        <f>E39+E40</f>
        <v>22139.715364683092</v>
      </c>
      <c r="F41" s="65">
        <f>F39+F40</f>
        <v>21895.07916085753</v>
      </c>
      <c r="G41" s="65">
        <f>G39+G40</f>
        <v>50480.47723167444</v>
      </c>
      <c r="H41" s="65">
        <f>H39+H40</f>
        <v>94581.33540968</v>
      </c>
      <c r="I41" s="65">
        <f>I39+I40</f>
        <v>25094.305854403494</v>
      </c>
      <c r="J41" s="65">
        <f>J39+J40</f>
        <v>63027.43672259384</v>
      </c>
      <c r="K41" s="65">
        <f>K39+K40</f>
        <v>34181.727302596606</v>
      </c>
      <c r="L41" s="65">
        <f>L39+L40</f>
        <v>106345.25802648498</v>
      </c>
      <c r="M41" s="65">
        <f>M39+M40</f>
        <v>69931.16990809022</v>
      </c>
      <c r="N41" s="65">
        <f>N39+N40</f>
        <v>32612.20225928782</v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>258952.56631199998</v>
      </c>
      <c r="E42" s="56">
        <f>E41*E$6</f>
        <v>19767.603004181332</v>
      </c>
      <c r="F42" s="56">
        <f>F41*F$6</f>
        <v>17454.623055530556</v>
      </c>
      <c r="G42" s="56">
        <f>G41*G$6</f>
        <v>35931.00659370048</v>
      </c>
      <c r="H42" s="56">
        <f>H41*H$6</f>
        <v>60108.148532522646</v>
      </c>
      <c r="I42" s="56">
        <f>I41*I$6</f>
        <v>14239.18306740501</v>
      </c>
      <c r="J42" s="56">
        <f>J41*J$6</f>
        <v>31931.660931700346</v>
      </c>
      <c r="K42" s="56">
        <f>K41*K$6</f>
        <v>15462.077524189239</v>
      </c>
      <c r="L42" s="56">
        <f>L41*L$6</f>
        <v>42951.06609203566</v>
      </c>
      <c r="M42" s="56">
        <f>M41*M$6</f>
        <v>25217.880927547492</v>
      </c>
      <c r="N42" s="56">
        <f>N41*N$6</f>
        <v>10500.256313773305</v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>258952.56631199998</v>
      </c>
      <c r="E43" s="56">
        <f>SUM($D42:E42)</f>
        <v>278720.16931618133</v>
      </c>
      <c r="F43" s="56">
        <f>SUM($D42:F42)</f>
        <v>296174.79237171187</v>
      </c>
      <c r="G43" s="56">
        <f>SUM($D42:G42)</f>
        <v>332105.79896541237</v>
      </c>
      <c r="H43" s="56">
        <f>SUM($D42:H42)</f>
        <v>392213.94749793503</v>
      </c>
      <c r="I43" s="56">
        <f>SUM($D42:I42)</f>
        <v>406453.13056534005</v>
      </c>
      <c r="J43" s="56">
        <f>SUM($D42:J42)</f>
        <v>438384.7914970404</v>
      </c>
      <c r="K43" s="56">
        <f>SUM($D42:K42)</f>
        <v>453846.8690212296</v>
      </c>
      <c r="L43" s="56">
        <f>SUM($D42:L42)</f>
        <v>496797.9351132653</v>
      </c>
      <c r="M43" s="56">
        <f>SUM($D42:M42)</f>
        <v>522015.81604081276</v>
      </c>
      <c r="N43" s="56">
        <f>SUM($D42:N42)</f>
        <v>532516.0723545861</v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>141.02747001940213</v>
      </c>
      <c r="F44" s="66">
        <f>SUM($D42:F42)/SUM($E$6:F$6)/(SUM($E30:F30)/F$4)</f>
        <v>84.97948171802983</v>
      </c>
      <c r="G44" s="66">
        <f>SUM($D42:G42)/SUM($E$6:G$6)/(SUM($E30:G30)/G$4)</f>
        <v>68.00774769239426</v>
      </c>
      <c r="H44" s="66">
        <f>SUM($D42:H42)/SUM($E$6:H$6)/(SUM($E30:H30)/H$4)</f>
        <v>65.13920654652836</v>
      </c>
      <c r="I44" s="66">
        <f>SUM($D42:I42)/SUM($E$6:I$6)/(SUM($E30:I30)/I$4)</f>
        <v>57.782527590153556</v>
      </c>
      <c r="J44" s="66">
        <f>SUM($D42:J42)/SUM($E$6:J$6)/(SUM($E30:J30)/J$4)</f>
        <v>54.669977482904024</v>
      </c>
      <c r="K44" s="66">
        <f>SUM($D42:K42)/SUM($E$6:K$6)/(SUM($E30:K30)/K$4)</f>
        <v>51.23684270746911</v>
      </c>
      <c r="L44" s="66">
        <f>SUM($D42:L42)/SUM($E$6:L$6)/(SUM($E30:L30)/L$4)</f>
        <v>51.269732072536186</v>
      </c>
      <c r="M44" s="66">
        <f>SUM($D42:M42)/SUM($E$6:M$6)/(SUM($E30:M30)/M$4)</f>
        <v>50.758997655919366</v>
      </c>
      <c r="N44" s="66">
        <f>SUM($D42:N42)/SUM($E$6:N$6)/(SUM($E30:N30)/N$4)</f>
        <v>48.702756068374995</v>
      </c>
    </row>
    <row r="46">
      <c r="B46" s="5" t="str">
        <f>"Вариант 3:  "&amp;'Ввод данных'!F7</f>
        <v>Вариант 3:  Zoomlion ZE2000G
Орикс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>0.8546521435819382</v>
      </c>
      <c r="F47" s="59">
        <f>'Данные по годам'!F17</f>
        <v>0.728326515728057</v>
      </c>
      <c r="G47" s="59">
        <f>'Данные по годам'!G17</f>
        <v>0.7551225583460174</v>
      </c>
      <c r="H47" s="59">
        <f>'Данные по годам'!H17</f>
        <v>0.6945340246067987</v>
      </c>
      <c r="I47" s="59">
        <f>'Данные по годам'!I17</f>
        <v>0.6934042047184171</v>
      </c>
      <c r="J47" s="59">
        <f>'Данные по годам'!J17</f>
        <v>0.7427367135971588</v>
      </c>
      <c r="K47" s="59">
        <f>'Данные по годам'!K17</f>
        <v>0.7171515093860985</v>
      </c>
      <c r="L47" s="59">
        <f>'Данные по годам'!L17</f>
        <v>0.7732285324708271</v>
      </c>
      <c r="M47" s="59">
        <f>'Данные по годам'!M17</f>
        <v>0.6679699391171994</v>
      </c>
      <c r="N47" s="59">
        <f>'Данные по годам'!N17</f>
        <v>0.7572945205479452</v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>4719.773730324075</v>
      </c>
      <c r="F48" s="56">
        <f>'Параметры'!C26*F47*(1-'Ввод данных'!F18/(60*'Параметры'!C33))</f>
        <v>4022.146766782408</v>
      </c>
      <c r="G48" s="56">
        <f>'Параметры'!C26*G47*(1-'Ввод данных'!F18/(60*'Параметры'!C33))</f>
        <v>4170.126572337963</v>
      </c>
      <c r="H48" s="56">
        <f>'Параметры'!C26*H47*(1-'Ввод данных'!F18/(60*'Параметры'!C33))</f>
        <v>3835.529424189815</v>
      </c>
      <c r="I48" s="56">
        <f>'Параметры'!C26*I47*(1-'Ввод данных'!F18/(60*'Параметры'!C33))</f>
        <v>3829.2900503472224</v>
      </c>
      <c r="J48" s="56">
        <f>'Параметры'!C26*J47*(1-'Ввод данных'!F18/(60*'Параметры'!C33))</f>
        <v>4101.726364004629</v>
      </c>
      <c r="K48" s="56">
        <f>'Параметры'!C26*K47*(1-'Ввод данных'!F18/(60*'Параметры'!C33))</f>
        <v>3960.4333530092595</v>
      </c>
      <c r="L48" s="56">
        <f>'Параметры'!C26*L47*(1-'Ввод данных'!F18/(60*'Параметры'!C33))</f>
        <v>4270.115909143519</v>
      </c>
      <c r="M48" s="56">
        <f>'Параметры'!C26*M47*(1-'Ввод данных'!F18/(60*'Параметры'!C33))</f>
        <v>3688.830590277777</v>
      </c>
      <c r="N48" s="56">
        <f>'Параметры'!C26*N47*(1-'Ввод данных'!F18/(60*'Параметры'!C33))</f>
        <v>4182.121125</v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>2047.2486618795972</v>
      </c>
      <c r="F49" s="56">
        <f>'Производительность'!F10*F48/1000</f>
        <v>1744.6460480242636</v>
      </c>
      <c r="G49" s="56">
        <f>'Производительность'!F10*G48/1000</f>
        <v>1808.8337562108616</v>
      </c>
      <c r="H49" s="56">
        <f>'Производительность'!F10*H48/1000</f>
        <v>1663.6989249764858</v>
      </c>
      <c r="I49" s="56">
        <f>'Производительность'!F10*I48/1000</f>
        <v>1660.9925346959208</v>
      </c>
      <c r="J49" s="56">
        <f>'Производительность'!F10*J48/1000</f>
        <v>1779.164487516261</v>
      </c>
      <c r="K49" s="56">
        <f>'Производительность'!F10*K48/1000</f>
        <v>1717.8772427835884</v>
      </c>
      <c r="L49" s="56">
        <f>'Производительность'!F10*L48/1000</f>
        <v>1852.205122652055</v>
      </c>
      <c r="M49" s="56">
        <f>'Производительность'!F10*M48/1000</f>
        <v>1600.0668509437553</v>
      </c>
      <c r="N49" s="56">
        <f>'Производительность'!F10*N48/1000</f>
        <v>1814.036512378902</v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>23350.188021565955</v>
      </c>
      <c r="F50" s="56">
        <f>F48*'Данные по годам'!F19*'Параметры'!C10*(1+'Параметры'!C14)^(F$4-1)/1000</f>
        <v>19898.810540702365</v>
      </c>
      <c r="G50" s="56">
        <f>G48*'Данные по годам'!G19*'Параметры'!C10*(1+'Параметры'!C14)^(G$4-1)/1000</f>
        <v>20630.91264570724</v>
      </c>
      <c r="H50" s="56">
        <f>H48*'Данные по годам'!H19*'Параметры'!C10*(1+'Параметры'!C14)^(H$4-1)/1000</f>
        <v>18975.556527564993</v>
      </c>
      <c r="I50" s="56">
        <f>I48*'Данные по годам'!I19*'Параметры'!C10*(1+'Параметры'!C14)^(I$4-1)/1000</f>
        <v>18944.688405344365</v>
      </c>
      <c r="J50" s="56">
        <f>J48*'Данные по годам'!J19*'Параметры'!C10*(1+'Параметры'!C14)^(J$4-1)/1000</f>
        <v>20292.515549457472</v>
      </c>
      <c r="K50" s="56">
        <f>K48*'Данные по годам'!K19*'Параметры'!C10*(1+'Параметры'!C14)^(K$4-1)/1000</f>
        <v>19593.495096066257</v>
      </c>
      <c r="L50" s="56">
        <f>L48*'Данные по годам'!L19*'Параметры'!C10*(1+'Параметры'!C14)^(L$4-1)/1000</f>
        <v>21125.59098156914</v>
      </c>
      <c r="M50" s="56">
        <f>M48*'Данные по годам'!M19*'Параметры'!C10*(1+'Параметры'!C14)^(M$4-1)/1000</f>
        <v>18249.79178753468</v>
      </c>
      <c r="N50" s="56">
        <f>N48*'Данные по годам'!N19*'Параметры'!C10*(1+'Параметры'!C14)^(N$4-1)/1000</f>
        <v>20690.25342683276</v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>14627.627280576</v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>16707.384136575998</v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>64486.219990576</v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>21585.525400576</v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>62188.743346576</v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>19031.504810576</v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>60108.986490576</v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>23665.282256576</v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>64486.219990576</v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>16707.384136575998</v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>1781.1063358352496</v>
      </c>
      <c r="F52" s="56">
        <f>'Данные по годам'!F20*F49*(1+'Параметры'!C15)^(F$4-1)</f>
        <v>1517.8420617811094</v>
      </c>
      <c r="G52" s="56">
        <f>'Данные по годам'!G20*G49*(1+'Параметры'!C15)^(G$4-1)</f>
        <v>1573.6853679034496</v>
      </c>
      <c r="H52" s="56">
        <f>'Данные по годам'!H20*H49*(1+'Параметры'!C15)^(H$4-1)</f>
        <v>1447.4180647295427</v>
      </c>
      <c r="I52" s="56">
        <f>'Данные по годам'!I20*I49*(1+'Параметры'!C15)^(I$4-1)</f>
        <v>1445.063505185451</v>
      </c>
      <c r="J52" s="56">
        <f>'Данные по годам'!J20*J49*(1+'Параметры'!C15)^(J$4-1)</f>
        <v>1547.873104139147</v>
      </c>
      <c r="K52" s="56">
        <f>'Данные по годам'!K20*K49*(1+'Параметры'!C15)^(K$4-1)</f>
        <v>1494.5532012217218</v>
      </c>
      <c r="L52" s="56">
        <f>'Данные по годам'!L20*L49*(1+'Параметры'!C15)^(L$4-1)</f>
        <v>1611.4184567072878</v>
      </c>
      <c r="M52" s="56">
        <f>'Данные по годам'!M20*M49*(1+'Параметры'!C15)^(M$4-1)</f>
        <v>1392.0581603210671</v>
      </c>
      <c r="N52" s="56">
        <f>'Данные по годам'!N20*N49*(1+'Параметры'!C15)^(N$4-1)</f>
        <v>1578.2117657696447</v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>10015.0</v>
      </c>
      <c r="F53" s="56">
        <f>'Ввод данных'!F20*(1+'Параметры'!C16)^(F$4-1)</f>
        <v>10015.0</v>
      </c>
      <c r="G53" s="56">
        <f>'Ввод данных'!F20*(1+'Параметры'!C16)^(G$4-1)</f>
        <v>10015.0</v>
      </c>
      <c r="H53" s="56">
        <f>'Ввод данных'!F20*(1+'Параметры'!C16)^(H$4-1)</f>
        <v>10015.0</v>
      </c>
      <c r="I53" s="56">
        <f>'Ввод данных'!F20*(1+'Параметры'!C16)^(I$4-1)</f>
        <v>10015.0</v>
      </c>
      <c r="J53" s="56">
        <f>'Ввод данных'!F20*(1+'Параметры'!C16)^(J$4-1)</f>
        <v>10015.0</v>
      </c>
      <c r="K53" s="56">
        <f>'Ввод данных'!F20*(1+'Параметры'!C16)^(K$4-1)</f>
        <v>10015.0</v>
      </c>
      <c r="L53" s="56">
        <f>'Ввод данных'!F20*(1+'Параметры'!C16)^(L$4-1)</f>
        <v>10015.0</v>
      </c>
      <c r="M53" s="56">
        <f>'Ввод данных'!F20*(1+'Параметры'!C16)^(M$4-1)</f>
        <v>10015.0</v>
      </c>
      <c r="N53" s="56">
        <f>'Ввод данных'!F20*(1+'Параметры'!C16)^(N$4-1)</f>
        <v>10015.0</v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>49773.921637977204</v>
      </c>
      <c r="F54" s="65">
        <f>F50+F51+F52+F53</f>
        <v>48139.03673905947</v>
      </c>
      <c r="G54" s="65">
        <f>G50+G51+G52+G53</f>
        <v>96705.81800418669</v>
      </c>
      <c r="H54" s="65">
        <f>H50+H51+H52+H53</f>
        <v>52023.49999287054</v>
      </c>
      <c r="I54" s="65">
        <f>I50+I51+I52+I53</f>
        <v>92593.49525710581</v>
      </c>
      <c r="J54" s="65">
        <f>J50+J51+J52+J53</f>
        <v>50886.893464172615</v>
      </c>
      <c r="K54" s="65">
        <f>K50+K51+K52+K53</f>
        <v>91212.03478786397</v>
      </c>
      <c r="L54" s="65">
        <f>L50+L51+L52+L53</f>
        <v>56417.29169485243</v>
      </c>
      <c r="M54" s="65">
        <f>M50+M51+M52+M53</f>
        <v>94143.06993843176</v>
      </c>
      <c r="N54" s="65">
        <f>N50+N51+N52+N53</f>
        <v>48990.8493291784</v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>43632.81957446808</v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>43632.81957446808</v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>43632.81957446808</v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>43632.81957446808</v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>43632.81957446808</v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>7417.5793276595705</v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>0.0</v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>0.0</v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>0.0</v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>0.0</v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>93406.74121244528</v>
      </c>
      <c r="F56" s="56">
        <f>F54+F55</f>
        <v>91771.85631352755</v>
      </c>
      <c r="G56" s="56">
        <f>G54+G55</f>
        <v>140338.63757865477</v>
      </c>
      <c r="H56" s="56">
        <f>H54+H55</f>
        <v>95656.31956733862</v>
      </c>
      <c r="I56" s="56">
        <f>I54+I55</f>
        <v>136226.3148315739</v>
      </c>
      <c r="J56" s="56">
        <f>J54+J55</f>
        <v>58304.47279183219</v>
      </c>
      <c r="K56" s="56">
        <f>K54+K55</f>
        <v>91212.03478786397</v>
      </c>
      <c r="L56" s="56">
        <f>L54+L55</f>
        <v>56417.29169485243</v>
      </c>
      <c r="M56" s="56">
        <f>M54+M55</f>
        <v>94143.06993843176</v>
      </c>
      <c r="N56" s="56">
        <f>N54+N55</f>
        <v>48990.8493291784</v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>-23351.68530311132</v>
      </c>
      <c r="F57" s="56">
        <f>-F56*'Параметры'!C7</f>
        <v>-22942.964078381887</v>
      </c>
      <c r="G57" s="56">
        <f>-G56*'Параметры'!C7</f>
        <v>-35084.65939466369</v>
      </c>
      <c r="H57" s="56">
        <f>-H56*'Параметры'!C7</f>
        <v>-23914.079891834655</v>
      </c>
      <c r="I57" s="56">
        <f>-I56*'Параметры'!C7</f>
        <v>-34056.57870789347</v>
      </c>
      <c r="J57" s="56">
        <f>-J56*'Параметры'!C7</f>
        <v>-14576.118197958047</v>
      </c>
      <c r="K57" s="56">
        <f>-K56*'Параметры'!C7</f>
        <v>-22803.008696965993</v>
      </c>
      <c r="L57" s="56">
        <f>-L56*'Параметры'!C7</f>
        <v>-14104.322923713107</v>
      </c>
      <c r="M57" s="56">
        <f>-M56*'Параметры'!C7</f>
        <v>-23535.76748460794</v>
      </c>
      <c r="N57" s="56">
        <f>-N56*'Параметры'!C7</f>
        <v>-12247.7123322946</v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>26422.236334865876</v>
      </c>
      <c r="F58" s="65">
        <f>F56+F57-F55</f>
        <v>25196.07266067758</v>
      </c>
      <c r="G58" s="65">
        <f>G56+G57-G55</f>
        <v>61621.158609522994</v>
      </c>
      <c r="H58" s="65">
        <f>H56+H57-H55</f>
        <v>28109.42010103589</v>
      </c>
      <c r="I58" s="65">
        <f>I56+I57-I55</f>
        <v>58536.91654921235</v>
      </c>
      <c r="J58" s="65">
        <f>J56+J57-J55</f>
        <v>36310.77526621457</v>
      </c>
      <c r="K58" s="65">
        <f>K56+K57-K55</f>
        <v>68409.02609089798</v>
      </c>
      <c r="L58" s="65">
        <f>L56+L57-L55</f>
        <v>42312.96877113932</v>
      </c>
      <c r="M58" s="65">
        <f>M56+M57-M55</f>
        <v>70607.30245382382</v>
      </c>
      <c r="N58" s="65">
        <f>N56+N57-N55</f>
        <v>36743.136996883804</v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>225581.67719999998</v>
      </c>
      <c r="E59" s="56">
        <f>IF(E$4=0,'Производительность'!F5,IF(E$4='Параметры'!C8,-'Ввод данных'!F14*'Производительность'!F5,0))</f>
        <v>0.0</v>
      </c>
      <c r="F59" s="56">
        <f>IF(F$4=0,'Производительность'!F5,IF(F$4='Параметры'!C8,-'Ввод данных'!F14*'Производительность'!F5,0))</f>
        <v>0.0</v>
      </c>
      <c r="G59" s="56">
        <f>IF(G$4=0,'Производительность'!F5,IF(G$4='Параметры'!C8,-'Ввод данных'!F14*'Производительность'!F5,0))</f>
        <v>0.0</v>
      </c>
      <c r="H59" s="56">
        <f>IF(H$4=0,'Производительность'!F5,IF(H$4='Параметры'!C8,-'Ввод данных'!F14*'Производительность'!F5,0))</f>
        <v>0.0</v>
      </c>
      <c r="I59" s="56">
        <f>IF(I$4=0,'Производительность'!F5,IF(I$4='Параметры'!C8,-'Ввод данных'!F14*'Производительность'!F5,0))</f>
        <v>0.0</v>
      </c>
      <c r="J59" s="56">
        <f>IF(J$4=0,'Производительность'!F5,IF(J$4='Параметры'!C8,-'Ввод данных'!F14*'Производительность'!F5,0))</f>
        <v>0.0</v>
      </c>
      <c r="K59" s="56">
        <f>IF(K$4=0,'Производительность'!F5,IF(K$4='Параметры'!C8,-'Ввод данных'!F14*'Производительность'!F5,0))</f>
        <v>0.0</v>
      </c>
      <c r="L59" s="56">
        <f>IF(L$4=0,'Производительность'!F5,IF(L$4='Параметры'!C8,-'Ввод данных'!F14*'Производительность'!F5,0))</f>
        <v>0.0</v>
      </c>
      <c r="M59" s="56">
        <f>IF(M$4=0,'Производительность'!F5,IF(M$4='Параметры'!C8,-'Ввод данных'!F14*'Производительность'!F5,0))</f>
        <v>0.0</v>
      </c>
      <c r="N59" s="56">
        <f>IF(N$4=0,'Производительность'!F5,IF(N$4='Параметры'!C8,-'Ввод данных'!F14*'Производительность'!F5,0))</f>
        <v>-0.0</v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>225581.67719999998</v>
      </c>
      <c r="E60" s="65">
        <f>E58+E59</f>
        <v>26422.236334865876</v>
      </c>
      <c r="F60" s="65">
        <f>F58+F59</f>
        <v>25196.07266067758</v>
      </c>
      <c r="G60" s="65">
        <f>G58+G59</f>
        <v>61621.158609522994</v>
      </c>
      <c r="H60" s="65">
        <f>H58+H59</f>
        <v>28109.42010103589</v>
      </c>
      <c r="I60" s="65">
        <f>I58+I59</f>
        <v>58536.91654921235</v>
      </c>
      <c r="J60" s="65">
        <f>J58+J59</f>
        <v>36310.77526621457</v>
      </c>
      <c r="K60" s="65">
        <f>K58+K59</f>
        <v>68409.02609089798</v>
      </c>
      <c r="L60" s="65">
        <f>L58+L59</f>
        <v>42312.96877113932</v>
      </c>
      <c r="M60" s="65">
        <f>M58+M59</f>
        <v>70607.30245382382</v>
      </c>
      <c r="N60" s="65">
        <f>N58+N59</f>
        <v>36743.136996883804</v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>225581.67719999998</v>
      </c>
      <c r="E61" s="56">
        <f>E60*E$6</f>
        <v>23591.28244184453</v>
      </c>
      <c r="F61" s="56">
        <f>F60*F$6</f>
        <v>20086.154863422813</v>
      </c>
      <c r="G61" s="56">
        <f>G60*G$6</f>
        <v>43860.723545635774</v>
      </c>
      <c r="H61" s="56">
        <f>H60*H$6</f>
        <v>17864.044647684463</v>
      </c>
      <c r="I61" s="56">
        <f>I60*I$6</f>
        <v>33215.4185009816</v>
      </c>
      <c r="J61" s="56">
        <f>J60*J$6</f>
        <v>18396.16878394001</v>
      </c>
      <c r="K61" s="56">
        <f>K60*K$6</f>
        <v>30944.76927417877</v>
      </c>
      <c r="L61" s="56">
        <f>L60*L$6</f>
        <v>17089.498412677985</v>
      </c>
      <c r="M61" s="56">
        <f>M60*M$6</f>
        <v>25461.701101755345</v>
      </c>
      <c r="N61" s="56">
        <f>N60*N$6</f>
        <v>11830.306741382023</v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>225581.67719999998</v>
      </c>
      <c r="E62" s="56">
        <f>SUM($D61:E61)</f>
        <v>249172.9596418445</v>
      </c>
      <c r="F62" s="56">
        <f>SUM($D61:F61)</f>
        <v>269259.1145052673</v>
      </c>
      <c r="G62" s="56">
        <f>SUM($D61:G61)</f>
        <v>313119.83805090305</v>
      </c>
      <c r="H62" s="56">
        <f>SUM($D61:H61)</f>
        <v>330983.8826985875</v>
      </c>
      <c r="I62" s="56">
        <f>SUM($D61:I61)</f>
        <v>364199.3011995691</v>
      </c>
      <c r="J62" s="56">
        <f>SUM($D61:J61)</f>
        <v>382595.4699835091</v>
      </c>
      <c r="K62" s="56">
        <f>SUM($D61:K61)</f>
        <v>413540.23925768794</v>
      </c>
      <c r="L62" s="56">
        <f>SUM($D61:L61)</f>
        <v>430629.7376703659</v>
      </c>
      <c r="M62" s="56">
        <f>SUM($D61:M61)</f>
        <v>456091.4387721212</v>
      </c>
      <c r="N62" s="56">
        <f>SUM($D61:N61)</f>
        <v>467921.7455135032</v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>136.31647195345863</v>
      </c>
      <c r="F63" s="66">
        <f>SUM($D61:F61)/SUM($E$6:F$6)/(SUM($E49:F49)/F$4)</f>
        <v>84.03192715271409</v>
      </c>
      <c r="G63" s="66">
        <f>SUM($D61:G61)/SUM($E$6:G$6)/(SUM($E49:G49)/G$4)</f>
        <v>69.83044767525837</v>
      </c>
      <c r="H63" s="66">
        <f>SUM($D61:H61)/SUM($E$6:H$6)/(SUM($E49:H49)/H$4)</f>
        <v>60.00268771640607</v>
      </c>
      <c r="I63" s="66">
        <f>SUM($D61:I61)/SUM($E$6:I$6)/(SUM($E49:I49)/I$4)</f>
        <v>56.598138439956806</v>
      </c>
      <c r="J63" s="66">
        <f>SUM($D61:J61)/SUM($E$6:J$6)/(SUM($E49:J49)/J$4)</f>
        <v>52.159180287521714</v>
      </c>
      <c r="K63" s="66">
        <f>SUM($D61:K61)/SUM($E$6:K$6)/(SUM($E49:K49)/K$4)</f>
        <v>51.060572700664686</v>
      </c>
      <c r="L63" s="66">
        <f>SUM($D61:L61)/SUM($E$6:L$6)/(SUM($E49:L49)/L$4)</f>
        <v>48.582284192254754</v>
      </c>
      <c r="M63" s="66">
        <f>SUM($D61:M61)/SUM($E$6:M$6)/(SUM($E49:M49)/M$4)</f>
        <v>48.5292306386905</v>
      </c>
      <c r="N63" s="66">
        <f>SUM($D61:N61)/SUM($E$6:N$6)/(SUM($E49:N49)/N$4)</f>
        <v>46.81769187841926</v>
      </c>
    </row>
    <row r="65">
      <c r="B65" s="5" t="str">
        <f>"Вариант 4:  "&amp;'Ввод данных'!G7</f>
        <v>Вариант 4:  Sany SY2000
АСТ</v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>0.8546521435819382</v>
      </c>
      <c r="F66" s="59">
        <f>'Данные по годам'!F22</f>
        <v>0.728326515728057</v>
      </c>
      <c r="G66" s="59">
        <f>'Данные по годам'!G22</f>
        <v>0.7551225583460174</v>
      </c>
      <c r="H66" s="59">
        <f>'Данные по годам'!H22</f>
        <v>0.6945340246067987</v>
      </c>
      <c r="I66" s="59">
        <f>'Данные по годам'!I22</f>
        <v>0.6934042047184171</v>
      </c>
      <c r="J66" s="59">
        <f>'Данные по годам'!J22</f>
        <v>0.7427367135971588</v>
      </c>
      <c r="K66" s="59">
        <f>'Данные по годам'!K22</f>
        <v>0.7171515093860985</v>
      </c>
      <c r="L66" s="59">
        <f>'Данные по годам'!L22</f>
        <v>0.7732285324708271</v>
      </c>
      <c r="M66" s="59">
        <f>'Данные по годам'!M22</f>
        <v>0.6679699391171994</v>
      </c>
      <c r="N66" s="59">
        <f>'Данные по годам'!N22</f>
        <v>0.7572945205479452</v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>4719.773730324075</v>
      </c>
      <c r="F67" s="56">
        <f>'Параметры'!C26*F66*(1-'Ввод данных'!G18/(60*'Параметры'!C33))</f>
        <v>4022.146766782408</v>
      </c>
      <c r="G67" s="56">
        <f>'Параметры'!C26*G66*(1-'Ввод данных'!G18/(60*'Параметры'!C33))</f>
        <v>4170.126572337963</v>
      </c>
      <c r="H67" s="56">
        <f>'Параметры'!C26*H66*(1-'Ввод данных'!G18/(60*'Параметры'!C33))</f>
        <v>3835.529424189815</v>
      </c>
      <c r="I67" s="56">
        <f>'Параметры'!C26*I66*(1-'Ввод данных'!G18/(60*'Параметры'!C33))</f>
        <v>3829.2900503472224</v>
      </c>
      <c r="J67" s="56">
        <f>'Параметры'!C26*J66*(1-'Ввод данных'!G18/(60*'Параметры'!C33))</f>
        <v>4101.726364004629</v>
      </c>
      <c r="K67" s="56">
        <f>'Параметры'!C26*K66*(1-'Ввод данных'!G18/(60*'Параметры'!C33))</f>
        <v>3960.4333530092595</v>
      </c>
      <c r="L67" s="56">
        <f>'Параметры'!C26*L66*(1-'Ввод данных'!G18/(60*'Параметры'!C33))</f>
        <v>4270.115909143519</v>
      </c>
      <c r="M67" s="56">
        <f>'Параметры'!C26*M66*(1-'Ввод данных'!G18/(60*'Параметры'!C33))</f>
        <v>3688.830590277777</v>
      </c>
      <c r="N67" s="56">
        <f>'Параметры'!C26*N66*(1-'Ввод данных'!G18/(60*'Параметры'!C33))</f>
        <v>4182.121125</v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>2047.2486618795972</v>
      </c>
      <c r="F68" s="56">
        <f>'Производительность'!G10*F67/1000</f>
        <v>1744.6460480242636</v>
      </c>
      <c r="G68" s="56">
        <f>'Производительность'!G10*G67/1000</f>
        <v>1808.8337562108616</v>
      </c>
      <c r="H68" s="56">
        <f>'Производительность'!G10*H67/1000</f>
        <v>1663.6989249764858</v>
      </c>
      <c r="I68" s="56">
        <f>'Производительность'!G10*I67/1000</f>
        <v>1660.9925346959208</v>
      </c>
      <c r="J68" s="56">
        <f>'Производительность'!G10*J67/1000</f>
        <v>1779.164487516261</v>
      </c>
      <c r="K68" s="56">
        <f>'Производительность'!G10*K67/1000</f>
        <v>1717.8772427835884</v>
      </c>
      <c r="L68" s="56">
        <f>'Производительность'!G10*L67/1000</f>
        <v>1852.205122652055</v>
      </c>
      <c r="M68" s="56">
        <f>'Производительность'!G10*M67/1000</f>
        <v>1600.0668509437553</v>
      </c>
      <c r="N68" s="56">
        <f>'Производительность'!G10*N67/1000</f>
        <v>1814.036512378902</v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>23818.5892220429</v>
      </c>
      <c r="F69" s="56">
        <f>F67*'Данные по годам'!F24*'Параметры'!C10*(1+'Параметры'!C14)^(F$4-1)/1000</f>
        <v>20297.977636775417</v>
      </c>
      <c r="G69" s="56">
        <f>G67*'Данные по годам'!G24*'Параметры'!C10*(1+'Параметры'!C14)^(G$4-1)/1000</f>
        <v>21044.765598037175</v>
      </c>
      <c r="H69" s="56">
        <f>H67*'Данные по годам'!H24*'Параметры'!C10*(1+'Параметры'!C14)^(H$4-1)/1000</f>
        <v>19356.20328933927</v>
      </c>
      <c r="I69" s="56">
        <f>I67*'Данные по годам'!I24*'Параметры'!C10*(1+'Параметры'!C14)^(I$4-1)/1000</f>
        <v>19324.715957307937</v>
      </c>
      <c r="J69" s="56">
        <f>J67*'Данные по годам'!J24*'Параметры'!C10*(1+'Параметры'!C14)^(J$4-1)/1000</f>
        <v>20699.58030779193</v>
      </c>
      <c r="K69" s="56">
        <f>K67*'Данные по годам'!K24*'Параметры'!C10*(1+'Параметры'!C14)^(K$4-1)/1000</f>
        <v>19986.53761101561</v>
      </c>
      <c r="L69" s="56">
        <f>L67*'Данные по годам'!L24*'Параметры'!C10*(1+'Параметры'!C14)^(L$4-1)/1000</f>
        <v>21549.367105659137</v>
      </c>
      <c r="M69" s="56">
        <f>M67*'Данные по годам'!M24*'Параметры'!C10*(1+'Параметры'!C14)^(M$4-1)/1000</f>
        <v>18615.879819624206</v>
      </c>
      <c r="N69" s="56">
        <f>N67*'Данные по годам'!N24*'Параметры'!C10*(1+'Параметры'!C14)^(N$4-1)/1000</f>
        <v>21105.29674615635</v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>14627.627280576</v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>16707.384136575998</v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>64486.219990576</v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>21585.525400576</v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>62188.743346576</v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>19031.504810576</v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>60108.986490576</v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>23665.282256576</v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>64486.219990576</v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>16707.384136575998</v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>1781.1063358352496</v>
      </c>
      <c r="F71" s="56">
        <f>'Данные по годам'!F25*F68*(1+'Параметры'!C15)^(F$4-1)</f>
        <v>1517.8420617811094</v>
      </c>
      <c r="G71" s="56">
        <f>'Данные по годам'!G25*G68*(1+'Параметры'!C15)^(G$4-1)</f>
        <v>1573.6853679034496</v>
      </c>
      <c r="H71" s="56">
        <f>'Данные по годам'!H25*H68*(1+'Параметры'!C15)^(H$4-1)</f>
        <v>1447.4180647295427</v>
      </c>
      <c r="I71" s="56">
        <f>'Данные по годам'!I25*I68*(1+'Параметры'!C15)^(I$4-1)</f>
        <v>1445.063505185451</v>
      </c>
      <c r="J71" s="56">
        <f>'Данные по годам'!J25*J68*(1+'Параметры'!C15)^(J$4-1)</f>
        <v>1547.873104139147</v>
      </c>
      <c r="K71" s="56">
        <f>'Данные по годам'!K25*K68*(1+'Параметры'!C15)^(K$4-1)</f>
        <v>1494.5532012217218</v>
      </c>
      <c r="L71" s="56">
        <f>'Данные по годам'!L25*L68*(1+'Параметры'!C15)^(L$4-1)</f>
        <v>1611.4184567072878</v>
      </c>
      <c r="M71" s="56">
        <f>'Данные по годам'!M25*M68*(1+'Параметры'!C15)^(M$4-1)</f>
        <v>1392.0581603210671</v>
      </c>
      <c r="N71" s="56">
        <f>'Данные по годам'!N25*N68*(1+'Параметры'!C15)^(N$4-1)</f>
        <v>1578.2117657696447</v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>10015.0</v>
      </c>
      <c r="F72" s="56">
        <f>'Ввод данных'!G20*(1+'Параметры'!C16)^(F$4-1)</f>
        <v>10015.0</v>
      </c>
      <c r="G72" s="56">
        <f>'Ввод данных'!G20*(1+'Параметры'!C16)^(G$4-1)</f>
        <v>10015.0</v>
      </c>
      <c r="H72" s="56">
        <f>'Ввод данных'!G20*(1+'Параметры'!C16)^(H$4-1)</f>
        <v>10015.0</v>
      </c>
      <c r="I72" s="56">
        <f>'Ввод данных'!G20*(1+'Параметры'!C16)^(I$4-1)</f>
        <v>10015.0</v>
      </c>
      <c r="J72" s="56">
        <f>'Ввод данных'!G20*(1+'Параметры'!C16)^(J$4-1)</f>
        <v>10015.0</v>
      </c>
      <c r="K72" s="56">
        <f>'Ввод данных'!G20*(1+'Параметры'!C16)^(K$4-1)</f>
        <v>10015.0</v>
      </c>
      <c r="L72" s="56">
        <f>'Ввод данных'!G20*(1+'Параметры'!C16)^(L$4-1)</f>
        <v>10015.0</v>
      </c>
      <c r="M72" s="56">
        <f>'Ввод данных'!G20*(1+'Параметры'!C16)^(M$4-1)</f>
        <v>10015.0</v>
      </c>
      <c r="N72" s="56">
        <f>'Ввод данных'!G20*(1+'Параметры'!C16)^(N$4-1)</f>
        <v>10015.0</v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>50242.32283845415</v>
      </c>
      <c r="F73" s="65">
        <f>F69+F70+F71+F72</f>
        <v>48538.20383513252</v>
      </c>
      <c r="G73" s="65">
        <f>G69+G70+G71+G72</f>
        <v>97119.67095651662</v>
      </c>
      <c r="H73" s="65">
        <f>H69+H70+H71+H72</f>
        <v>52404.14675464481</v>
      </c>
      <c r="I73" s="65">
        <f>I69+I70+I71+I72</f>
        <v>92973.52280906939</v>
      </c>
      <c r="J73" s="65">
        <f>J69+J70+J71+J72</f>
        <v>51293.95822250708</v>
      </c>
      <c r="K73" s="65">
        <f>K69+K70+K71+K72</f>
        <v>91605.07730281333</v>
      </c>
      <c r="L73" s="65">
        <f>L69+L70+L71+L72</f>
        <v>56841.06781894243</v>
      </c>
      <c r="M73" s="65">
        <f>M69+M70+M71+M72</f>
        <v>94509.15797052128</v>
      </c>
      <c r="N73" s="65">
        <f>N69+N70+N71+N72</f>
        <v>49405.89264850199</v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>42532.99245957447</v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>42532.99245957447</v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>42532.99245957447</v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>42532.99245957447</v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>42532.99245957447</v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>7230.608718127655</v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>0.0</v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>0.0</v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>0.0</v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>0.0</v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>92775.31529802861</v>
      </c>
      <c r="F75" s="56">
        <f>F73+F74</f>
        <v>91071.19629470698</v>
      </c>
      <c r="G75" s="56">
        <f>G73+G74</f>
        <v>139652.6634160911</v>
      </c>
      <c r="H75" s="56">
        <f>H73+H74</f>
        <v>94937.13921421928</v>
      </c>
      <c r="I75" s="56">
        <f>I73+I74</f>
        <v>135506.51526864385</v>
      </c>
      <c r="J75" s="56">
        <f>J73+J74</f>
        <v>58524.56694063473</v>
      </c>
      <c r="K75" s="56">
        <f>K73+K74</f>
        <v>91605.07730281333</v>
      </c>
      <c r="L75" s="56">
        <f>L73+L74</f>
        <v>56841.06781894243</v>
      </c>
      <c r="M75" s="56">
        <f>M73+M74</f>
        <v>94509.15797052128</v>
      </c>
      <c r="N75" s="56">
        <f>N73+N74</f>
        <v>49405.89264850199</v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>-23193.828824507153</v>
      </c>
      <c r="F76" s="56">
        <f>-F75*'Параметры'!C7</f>
        <v>-22767.799073676746</v>
      </c>
      <c r="G76" s="56">
        <f>-G75*'Параметры'!C7</f>
        <v>-34913.16585402277</v>
      </c>
      <c r="H76" s="56">
        <f>-H75*'Параметры'!C7</f>
        <v>-23734.28480355482</v>
      </c>
      <c r="I76" s="56">
        <f>-I75*'Параметры'!C7</f>
        <v>-33876.62881716096</v>
      </c>
      <c r="J76" s="56">
        <f>-J75*'Параметры'!C7</f>
        <v>-14631.141735158682</v>
      </c>
      <c r="K76" s="56">
        <f>-K75*'Параметры'!C7</f>
        <v>-22901.26932570333</v>
      </c>
      <c r="L76" s="56">
        <f>-L75*'Параметры'!C7</f>
        <v>-14210.266954735607</v>
      </c>
      <c r="M76" s="56">
        <f>-M75*'Параметры'!C7</f>
        <v>-23627.28949263032</v>
      </c>
      <c r="N76" s="56">
        <f>-N75*'Параметры'!C7</f>
        <v>-12351.473162125498</v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>27048.494013946984</v>
      </c>
      <c r="F77" s="65">
        <f>F75+F76-F74</f>
        <v>25770.404761455764</v>
      </c>
      <c r="G77" s="65">
        <f>G75+G76-G74</f>
        <v>62206.505102493844</v>
      </c>
      <c r="H77" s="65">
        <f>H75+H76-H74</f>
        <v>28669.861951089988</v>
      </c>
      <c r="I77" s="65">
        <f>I75+I76-I74</f>
        <v>59096.89399190842</v>
      </c>
      <c r="J77" s="65">
        <f>J75+J76-J74</f>
        <v>36662.81648734839</v>
      </c>
      <c r="K77" s="65">
        <f>K75+K76-K74</f>
        <v>68703.80797711</v>
      </c>
      <c r="L77" s="65">
        <f>L75+L76-L74</f>
        <v>42630.80086420682</v>
      </c>
      <c r="M77" s="65">
        <f>M75+M76-M74</f>
        <v>70881.86847789097</v>
      </c>
      <c r="N77" s="65">
        <f>N75+N76-N74</f>
        <v>37054.41948637649</v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>219895.57101599997</v>
      </c>
      <c r="E78" s="56">
        <f>IF(E$4=0,'Производительность'!G5,IF(E$4='Параметры'!C8,-'Ввод данных'!G14*'Производительность'!G5,0))</f>
        <v>0.0</v>
      </c>
      <c r="F78" s="56">
        <f>IF(F$4=0,'Производительность'!G5,IF(F$4='Параметры'!C8,-'Ввод данных'!G14*'Производительность'!G5,0))</f>
        <v>0.0</v>
      </c>
      <c r="G78" s="56">
        <f>IF(G$4=0,'Производительность'!G5,IF(G$4='Параметры'!C8,-'Ввод данных'!G14*'Производительность'!G5,0))</f>
        <v>0.0</v>
      </c>
      <c r="H78" s="56">
        <f>IF(H$4=0,'Производительность'!G5,IF(H$4='Параметры'!C8,-'Ввод данных'!G14*'Производительность'!G5,0))</f>
        <v>0.0</v>
      </c>
      <c r="I78" s="56">
        <f>IF(I$4=0,'Производительность'!G5,IF(I$4='Параметры'!C8,-'Ввод данных'!G14*'Производительность'!G5,0))</f>
        <v>0.0</v>
      </c>
      <c r="J78" s="56">
        <f>IF(J$4=0,'Производительность'!G5,IF(J$4='Параметры'!C8,-'Ввод данных'!G14*'Производительность'!G5,0))</f>
        <v>0.0</v>
      </c>
      <c r="K78" s="56">
        <f>IF(K$4=0,'Производительность'!G5,IF(K$4='Параметры'!C8,-'Ввод данных'!G14*'Производительность'!G5,0))</f>
        <v>0.0</v>
      </c>
      <c r="L78" s="56">
        <f>IF(L$4=0,'Производительность'!G5,IF(L$4='Параметры'!C8,-'Ввод данных'!G14*'Производительность'!G5,0))</f>
        <v>0.0</v>
      </c>
      <c r="M78" s="56">
        <f>IF(M$4=0,'Производительность'!G5,IF(M$4='Параметры'!C8,-'Ввод данных'!G14*'Производительность'!G5,0))</f>
        <v>0.0</v>
      </c>
      <c r="N78" s="56">
        <f>IF(N$4=0,'Производительность'!G5,IF(N$4='Параметры'!C8,-'Ввод данных'!G14*'Производительность'!G5,0))</f>
        <v>-0.0</v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>219895.57101599997</v>
      </c>
      <c r="E79" s="65">
        <f>E77+E78</f>
        <v>27048.494013946984</v>
      </c>
      <c r="F79" s="65">
        <f>F77+F78</f>
        <v>25770.404761455764</v>
      </c>
      <c r="G79" s="65">
        <f>G77+G78</f>
        <v>62206.505102493844</v>
      </c>
      <c r="H79" s="65">
        <f>H77+H78</f>
        <v>28669.861951089988</v>
      </c>
      <c r="I79" s="65">
        <f>I77+I78</f>
        <v>59096.89399190842</v>
      </c>
      <c r="J79" s="65">
        <f>J77+J78</f>
        <v>36662.81648734839</v>
      </c>
      <c r="K79" s="65">
        <f>K77+K78</f>
        <v>68703.80797711</v>
      </c>
      <c r="L79" s="65">
        <f>L77+L78</f>
        <v>42630.80086420682</v>
      </c>
      <c r="M79" s="65">
        <f>M77+M78</f>
        <v>70881.86847789097</v>
      </c>
      <c r="N79" s="65">
        <f>N77+N78</f>
        <v>37054.41948637649</v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>219895.57101599997</v>
      </c>
      <c r="E80" s="56">
        <f>E79*E$6</f>
        <v>24150.441083881233</v>
      </c>
      <c r="F80" s="56">
        <f>F79*F$6</f>
        <v>20544.008897844196</v>
      </c>
      <c r="G80" s="56">
        <f>G79*G$6</f>
        <v>44277.361617459275</v>
      </c>
      <c r="H80" s="56">
        <f>H79*H$6</f>
        <v>18220.21557528849</v>
      </c>
      <c r="I80" s="56">
        <f>I79*I$6</f>
        <v>33533.164740563974</v>
      </c>
      <c r="J80" s="56">
        <f>J79*J$6</f>
        <v>18574.52382250367</v>
      </c>
      <c r="K80" s="56">
        <f>K79*K$6</f>
        <v>31078.113629102307</v>
      </c>
      <c r="L80" s="56">
        <f>L79*L$6</f>
        <v>17217.865464381528</v>
      </c>
      <c r="M80" s="56">
        <f>M79*M$6</f>
        <v>25560.71236255329</v>
      </c>
      <c r="N80" s="56">
        <f>N79*N$6</f>
        <v>11930.531372017993</v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>219895.57101599997</v>
      </c>
      <c r="E81" s="56">
        <f>SUM($D80:E80)</f>
        <v>244046.0120998812</v>
      </c>
      <c r="F81" s="56">
        <f>SUM($D80:F80)</f>
        <v>264590.02099772537</v>
      </c>
      <c r="G81" s="56">
        <f>SUM($D80:G80)</f>
        <v>308867.38261518464</v>
      </c>
      <c r="H81" s="56">
        <f>SUM($D80:H80)</f>
        <v>327087.59819047316</v>
      </c>
      <c r="I81" s="56">
        <f>SUM($D80:I80)</f>
        <v>360620.7629310371</v>
      </c>
      <c r="J81" s="56">
        <f>SUM($D80:J80)</f>
        <v>379195.2867535408</v>
      </c>
      <c r="K81" s="56">
        <f>SUM($D80:K80)</f>
        <v>410273.4003826431</v>
      </c>
      <c r="L81" s="56">
        <f>SUM($D80:L80)</f>
        <v>427491.2658470246</v>
      </c>
      <c r="M81" s="56">
        <f>SUM($D80:M80)</f>
        <v>453051.9782095779</v>
      </c>
      <c r="N81" s="56">
        <f>SUM($D80:N80)</f>
        <v>464982.5095815959</v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>133.51164352498287</v>
      </c>
      <c r="F82" s="66">
        <f>SUM($D80:F80)/SUM($E$6:F$6)/(SUM($E68:F68)/F$4)</f>
        <v>82.57476969969387</v>
      </c>
      <c r="G82" s="66">
        <f>SUM($D80:G80)/SUM($E$6:G$6)/(SUM($E68:G68)/G$4)</f>
        <v>68.88208595968088</v>
      </c>
      <c r="H82" s="66">
        <f>SUM($D80:H80)/SUM($E$6:H$6)/(SUM($E68:H68)/H$4)</f>
        <v>59.2963465474992</v>
      </c>
      <c r="I82" s="66">
        <f>SUM($D80:I80)/SUM($E$6:I$6)/(SUM($E68:I68)/I$4)</f>
        <v>56.04201819571705</v>
      </c>
      <c r="J82" s="66">
        <f>SUM($D80:J80)/SUM($E$6:J$6)/(SUM($E68:J68)/J$4)</f>
        <v>51.69563384221183</v>
      </c>
      <c r="K82" s="66">
        <f>SUM($D80:K80)/SUM($E$6:K$6)/(SUM($E68:K68)/K$4)</f>
        <v>50.657210106059615</v>
      </c>
      <c r="L82" s="66">
        <f>SUM($D80:L80)/SUM($E$6:L$6)/(SUM($E68:L68)/L$4)</f>
        <v>48.22821173345103</v>
      </c>
      <c r="M82" s="66">
        <f>SUM($D80:M80)/SUM($E$6:M$6)/(SUM($E68:M68)/M$4)</f>
        <v>48.205824693922125</v>
      </c>
      <c r="N82" s="66">
        <f>SUM($D80:N80)/SUM($E$6:N$6)/(SUM($E68:N68)/N$4)</f>
        <v>46.52360799892996</v>
      </c>
    </row>
    <row r="84">
      <c r="B84" s="5" t="str">
        <f>"Вариант 5:  "&amp;'Ввод данных'!H7</f>
        <v>Вариант 5:  Shantui SE2000LCW</v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>0.8546521435819382</v>
      </c>
      <c r="F85" s="59">
        <f>'Данные по годам'!F27</f>
        <v>0.728326515728057</v>
      </c>
      <c r="G85" s="59">
        <f>'Данные по годам'!G27</f>
        <v>0.7551225583460174</v>
      </c>
      <c r="H85" s="59">
        <f>'Данные по годам'!H27</f>
        <v>0.6945340246067987</v>
      </c>
      <c r="I85" s="59">
        <f>'Данные по годам'!I27</f>
        <v>0.6934042047184171</v>
      </c>
      <c r="J85" s="59">
        <f>'Данные по годам'!J27</f>
        <v>0.7427367135971588</v>
      </c>
      <c r="K85" s="59">
        <f>'Данные по годам'!K27</f>
        <v>0.7171515093860985</v>
      </c>
      <c r="L85" s="59">
        <f>'Данные по годам'!L27</f>
        <v>0.7732285324708271</v>
      </c>
      <c r="M85" s="59">
        <f>'Данные по годам'!M27</f>
        <v>0.6679699391171994</v>
      </c>
      <c r="N85" s="59">
        <f>'Данные по годам'!N27</f>
        <v>0.7572945205479452</v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>4719.773730324075</v>
      </c>
      <c r="F86" s="56">
        <f>'Параметры'!C26*F85*(1-'Ввод данных'!H18/(60*'Параметры'!C33))</f>
        <v>4022.146766782408</v>
      </c>
      <c r="G86" s="56">
        <f>'Параметры'!C26*G85*(1-'Ввод данных'!H18/(60*'Параметры'!C33))</f>
        <v>4170.126572337963</v>
      </c>
      <c r="H86" s="56">
        <f>'Параметры'!C26*H85*(1-'Ввод данных'!H18/(60*'Параметры'!C33))</f>
        <v>3835.529424189815</v>
      </c>
      <c r="I86" s="56">
        <f>'Параметры'!C26*I85*(1-'Ввод данных'!H18/(60*'Параметры'!C33))</f>
        <v>3829.2900503472224</v>
      </c>
      <c r="J86" s="56">
        <f>'Параметры'!C26*J85*(1-'Ввод данных'!H18/(60*'Параметры'!C33))</f>
        <v>4101.726364004629</v>
      </c>
      <c r="K86" s="56">
        <f>'Параметры'!C26*K85*(1-'Ввод данных'!H18/(60*'Параметры'!C33))</f>
        <v>3960.4333530092595</v>
      </c>
      <c r="L86" s="56">
        <f>'Параметры'!C26*L85*(1-'Ввод данных'!H18/(60*'Параметры'!C33))</f>
        <v>4270.115909143519</v>
      </c>
      <c r="M86" s="56">
        <f>'Параметры'!C26*M85*(1-'Ввод данных'!H18/(60*'Параметры'!C33))</f>
        <v>3688.830590277777</v>
      </c>
      <c r="N86" s="56">
        <f>'Параметры'!C26*N85*(1-'Ввод данных'!H18/(60*'Параметры'!C33))</f>
        <v>4182.121125</v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>2047.2486618795972</v>
      </c>
      <c r="F87" s="56">
        <f>'Производительность'!H10*F86/1000</f>
        <v>1744.6460480242636</v>
      </c>
      <c r="G87" s="56">
        <f>'Производительность'!H10*G86/1000</f>
        <v>1808.8337562108616</v>
      </c>
      <c r="H87" s="56">
        <f>'Производительность'!H10*H86/1000</f>
        <v>1663.6989249764858</v>
      </c>
      <c r="I87" s="56">
        <f>'Производительность'!H10*I86/1000</f>
        <v>1660.9925346959208</v>
      </c>
      <c r="J87" s="56">
        <f>'Производительность'!H10*J86/1000</f>
        <v>1779.164487516261</v>
      </c>
      <c r="K87" s="56">
        <f>'Производительность'!H10*K86/1000</f>
        <v>1717.8772427835884</v>
      </c>
      <c r="L87" s="56">
        <f>'Производительность'!H10*L86/1000</f>
        <v>1852.205122652055</v>
      </c>
      <c r="M87" s="56">
        <f>'Производительность'!H10*M86/1000</f>
        <v>1600.0668509437553</v>
      </c>
      <c r="N87" s="56">
        <f>'Производительность'!H10*N86/1000</f>
        <v>1814.036512378902</v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>26396.089750634237</v>
      </c>
      <c r="F88" s="56">
        <f>F86*'Данные по годам'!F29*'Параметры'!C10*(1+'Параметры'!C14)^(F$4-1)/1000</f>
        <v>22494.4993367133</v>
      </c>
      <c r="G88" s="56">
        <f>G86*'Данные по годам'!G29*'Параметры'!C10*(1+'Параметры'!C14)^(G$4-1)/1000</f>
        <v>23322.100076051633</v>
      </c>
      <c r="H88" s="56">
        <f>H86*'Данные по годам'!H29*'Параметры'!C10*(1+'Параметры'!C14)^(H$4-1)/1000</f>
        <v>21450.81198948941</v>
      </c>
      <c r="I88" s="56">
        <f>I86*'Данные по годам'!I29*'Параметры'!C10*(1+'Параметры'!C14)^(I$4-1)/1000</f>
        <v>21415.917292974897</v>
      </c>
      <c r="J88" s="56">
        <f>J86*'Данные по годам'!J29*'Параметры'!C10*(1+'Параметры'!C14)^(J$4-1)/1000</f>
        <v>22939.560966914127</v>
      </c>
      <c r="K88" s="56">
        <f>K86*'Данные по годам'!K29*'Параметры'!C10*(1+'Параметры'!C14)^(K$4-1)/1000</f>
        <v>22149.357196040764</v>
      </c>
      <c r="L88" s="56">
        <f>L86*'Данные по годам'!L29*'Параметры'!C10*(1+'Параметры'!C14)^(L$4-1)/1000</f>
        <v>23881.30644043059</v>
      </c>
      <c r="M88" s="56">
        <f>M86*'Данные по годам'!M29*'Параметры'!C10*(1+'Параметры'!C14)^(M$4-1)/1000</f>
        <v>20630.37528902291</v>
      </c>
      <c r="N88" s="56">
        <f>N86*'Данные по годам'!N29*'Параметры'!C10*(1+'Параметры'!C14)^(N$4-1)/1000</f>
        <v>23389.181530942496</v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>13666.158426575998</v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>94561.239796576</v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>582025.1875165759</v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>249599.04407657598</v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>191930.70554457596</v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>666230.2186705759</v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>249599.04407657598</v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>582025.1875165759</v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>272825.78691457596</v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>13666.158426575998</v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>1781.1063358352496</v>
      </c>
      <c r="F90" s="56">
        <f>'Данные по годам'!F30*F87*(1+'Параметры'!C15)^(F$4-1)</f>
        <v>1517.8420617811094</v>
      </c>
      <c r="G90" s="56">
        <f>'Данные по годам'!G30*G87*(1+'Параметры'!C15)^(G$4-1)</f>
        <v>1573.6853679034496</v>
      </c>
      <c r="H90" s="56">
        <f>'Данные по годам'!H30*H87*(1+'Параметры'!C15)^(H$4-1)</f>
        <v>1447.4180647295427</v>
      </c>
      <c r="I90" s="56">
        <f>'Данные по годам'!I30*I87*(1+'Параметры'!C15)^(I$4-1)</f>
        <v>1445.063505185451</v>
      </c>
      <c r="J90" s="56">
        <f>'Данные по годам'!J30*J87*(1+'Параметры'!C15)^(J$4-1)</f>
        <v>1547.873104139147</v>
      </c>
      <c r="K90" s="56">
        <f>'Данные по годам'!K30*K87*(1+'Параметры'!C15)^(K$4-1)</f>
        <v>1494.5532012217218</v>
      </c>
      <c r="L90" s="56">
        <f>'Данные по годам'!L30*L87*(1+'Параметры'!C15)^(L$4-1)</f>
        <v>1611.4184567072878</v>
      </c>
      <c r="M90" s="56">
        <f>'Данные по годам'!M30*M87*(1+'Параметры'!C15)^(M$4-1)</f>
        <v>1392.0581603210671</v>
      </c>
      <c r="N90" s="56">
        <f>'Данные по годам'!N30*N87*(1+'Параметры'!C15)^(N$4-1)</f>
        <v>1578.2117657696447</v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>10015.0</v>
      </c>
      <c r="F91" s="56">
        <f>'Ввод данных'!H20*(1+'Параметры'!C16)^(F$4-1)</f>
        <v>10015.0</v>
      </c>
      <c r="G91" s="56">
        <f>'Ввод данных'!H20*(1+'Параметры'!C16)^(G$4-1)</f>
        <v>10015.0</v>
      </c>
      <c r="H91" s="56">
        <f>'Ввод данных'!H20*(1+'Параметры'!C16)^(H$4-1)</f>
        <v>10015.0</v>
      </c>
      <c r="I91" s="56">
        <f>'Ввод данных'!H20*(1+'Параметры'!C16)^(I$4-1)</f>
        <v>10015.0</v>
      </c>
      <c r="J91" s="56">
        <f>'Ввод данных'!H20*(1+'Параметры'!C16)^(J$4-1)</f>
        <v>10015.0</v>
      </c>
      <c r="K91" s="56">
        <f>'Ввод данных'!H20*(1+'Параметры'!C16)^(K$4-1)</f>
        <v>10015.0</v>
      </c>
      <c r="L91" s="56">
        <f>'Ввод данных'!H20*(1+'Параметры'!C16)^(L$4-1)</f>
        <v>10015.0</v>
      </c>
      <c r="M91" s="56">
        <f>'Ввод данных'!H20*(1+'Параметры'!C16)^(M$4-1)</f>
        <v>10015.0</v>
      </c>
      <c r="N91" s="56">
        <f>'Ввод данных'!H20*(1+'Параметры'!C16)^(N$4-1)</f>
        <v>10015.0</v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>51858.35451304548</v>
      </c>
      <c r="F92" s="65">
        <f>F88+F89+F90+F91</f>
        <v>128588.58119507041</v>
      </c>
      <c r="G92" s="65">
        <f>G88+G89+G90+G91</f>
        <v>616935.972960531</v>
      </c>
      <c r="H92" s="65">
        <f>H88+H89+H90+H91</f>
        <v>282512.2741307949</v>
      </c>
      <c r="I92" s="65">
        <f>I88+I89+I90+I91</f>
        <v>224806.6863427363</v>
      </c>
      <c r="J92" s="65">
        <f>J88+J89+J90+J91</f>
        <v>700732.6527416292</v>
      </c>
      <c r="K92" s="65">
        <f>K88+K89+K90+K91</f>
        <v>283257.9544738385</v>
      </c>
      <c r="L92" s="65">
        <f>L88+L89+L90+L91</f>
        <v>617532.9124137138</v>
      </c>
      <c r="M92" s="65">
        <f>M88+M89+M90+M91</f>
        <v>304863.22036392</v>
      </c>
      <c r="N92" s="65">
        <f>N88+N89+N90+N91</f>
        <v>48648.55172328814</v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>36291.0649787234</v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>36291.0649787234</v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>36291.0649787234</v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>36291.0649787234</v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>36291.0649787234</v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>6169.481046382975</v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>0.0</v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>0.0</v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>0.0</v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>0.0</v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>88149.41949176887</v>
      </c>
      <c r="F94" s="56">
        <f>F92+F93</f>
        <v>164879.64617379382</v>
      </c>
      <c r="G94" s="56">
        <f>G92+G93</f>
        <v>653227.0379392544</v>
      </c>
      <c r="H94" s="56">
        <f>H92+H93</f>
        <v>318803.33910951833</v>
      </c>
      <c r="I94" s="56">
        <f>I92+I93</f>
        <v>261097.7513214597</v>
      </c>
      <c r="J94" s="56">
        <f>J92+J93</f>
        <v>706902.1337880121</v>
      </c>
      <c r="K94" s="56">
        <f>K92+K93</f>
        <v>283257.9544738385</v>
      </c>
      <c r="L94" s="56">
        <f>L92+L93</f>
        <v>617532.9124137138</v>
      </c>
      <c r="M94" s="56">
        <f>M92+M93</f>
        <v>304863.22036392</v>
      </c>
      <c r="N94" s="56">
        <f>N92+N93</f>
        <v>48648.55172328814</v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>-22037.35487294222</v>
      </c>
      <c r="F95" s="56">
        <f>-F94*'Параметры'!C7</f>
        <v>-41219.911543448456</v>
      </c>
      <c r="G95" s="56">
        <f>-G94*'Параметры'!C7</f>
        <v>-163306.7594848136</v>
      </c>
      <c r="H95" s="56">
        <f>-H94*'Параметры'!C7</f>
        <v>-79700.83477737958</v>
      </c>
      <c r="I95" s="56">
        <f>-I94*'Параметры'!C7</f>
        <v>-65274.43783036493</v>
      </c>
      <c r="J95" s="56">
        <f>-J94*'Параметры'!C7</f>
        <v>-176725.53344700302</v>
      </c>
      <c r="K95" s="56">
        <f>-K94*'Параметры'!C7</f>
        <v>-70814.48861845963</v>
      </c>
      <c r="L95" s="56">
        <f>-L94*'Параметры'!C7</f>
        <v>-154383.22810342844</v>
      </c>
      <c r="M95" s="56">
        <f>-M94*'Параметры'!C7</f>
        <v>-76215.80509098</v>
      </c>
      <c r="N95" s="56">
        <f>-N94*'Параметры'!C7</f>
        <v>-12162.137930822035</v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>29820.999640103255</v>
      </c>
      <c r="F96" s="65">
        <f>F94+F95-F93</f>
        <v>87368.66965162197</v>
      </c>
      <c r="G96" s="65">
        <f>G94+G95-G93</f>
        <v>453629.2134757174</v>
      </c>
      <c r="H96" s="65">
        <f>H94+H95-H93</f>
        <v>202811.43935341534</v>
      </c>
      <c r="I96" s="65">
        <f>I94+I95-I93</f>
        <v>159532.24851237139</v>
      </c>
      <c r="J96" s="65">
        <f>J94+J95-J93</f>
        <v>524007.1192946261</v>
      </c>
      <c r="K96" s="65">
        <f>K94+K95-K93</f>
        <v>212443.4658553789</v>
      </c>
      <c r="L96" s="65">
        <f>L94+L95-L93</f>
        <v>463149.6843102853</v>
      </c>
      <c r="M96" s="65">
        <f>M94+M95-M93</f>
        <v>228647.41527293998</v>
      </c>
      <c r="N96" s="65">
        <f>N94+N95-N93</f>
        <v>36486.413792466104</v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>187624.80594</v>
      </c>
      <c r="E97" s="56">
        <f>IF(E$4=0,'Производительность'!H5,IF(E$4='Параметры'!C8,-'Ввод данных'!H14*'Производительность'!H5,0))</f>
        <v>0.0</v>
      </c>
      <c r="F97" s="56">
        <f>IF(F$4=0,'Производительность'!H5,IF(F$4='Параметры'!C8,-'Ввод данных'!H14*'Производительность'!H5,0))</f>
        <v>0.0</v>
      </c>
      <c r="G97" s="56">
        <f>IF(G$4=0,'Производительность'!H5,IF(G$4='Параметры'!C8,-'Ввод данных'!H14*'Производительность'!H5,0))</f>
        <v>0.0</v>
      </c>
      <c r="H97" s="56">
        <f>IF(H$4=0,'Производительность'!H5,IF(H$4='Параметры'!C8,-'Ввод данных'!H14*'Производительность'!H5,0))</f>
        <v>0.0</v>
      </c>
      <c r="I97" s="56">
        <f>IF(I$4=0,'Производительность'!H5,IF(I$4='Параметры'!C8,-'Ввод данных'!H14*'Производительность'!H5,0))</f>
        <v>0.0</v>
      </c>
      <c r="J97" s="56">
        <f>IF(J$4=0,'Производительность'!H5,IF(J$4='Параметры'!C8,-'Ввод данных'!H14*'Производительность'!H5,0))</f>
        <v>0.0</v>
      </c>
      <c r="K97" s="56">
        <f>IF(K$4=0,'Производительность'!H5,IF(K$4='Параметры'!C8,-'Ввод данных'!H14*'Производительность'!H5,0))</f>
        <v>0.0</v>
      </c>
      <c r="L97" s="56">
        <f>IF(L$4=0,'Производительность'!H5,IF(L$4='Параметры'!C8,-'Ввод данных'!H14*'Производительность'!H5,0))</f>
        <v>0.0</v>
      </c>
      <c r="M97" s="56">
        <f>IF(M$4=0,'Производительность'!H5,IF(M$4='Параметры'!C8,-'Ввод данных'!H14*'Производительность'!H5,0))</f>
        <v>0.0</v>
      </c>
      <c r="N97" s="56">
        <f>IF(N$4=0,'Производительность'!H5,IF(N$4='Параметры'!C8,-'Ввод данных'!H14*'Производительность'!H5,0))</f>
        <v>-0.0</v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>187624.80594</v>
      </c>
      <c r="E98" s="65">
        <f>E96+E97</f>
        <v>29820.999640103255</v>
      </c>
      <c r="F98" s="65">
        <f>F96+F97</f>
        <v>87368.66965162197</v>
      </c>
      <c r="G98" s="65">
        <f>G96+G97</f>
        <v>453629.2134757174</v>
      </c>
      <c r="H98" s="65">
        <f>H96+H97</f>
        <v>202811.43935341534</v>
      </c>
      <c r="I98" s="65">
        <f>I96+I97</f>
        <v>159532.24851237139</v>
      </c>
      <c r="J98" s="65">
        <f>J96+J97</f>
        <v>524007.1192946261</v>
      </c>
      <c r="K98" s="65">
        <f>K96+K97</f>
        <v>212443.4658553789</v>
      </c>
      <c r="L98" s="65">
        <f>L96+L97</f>
        <v>463149.6843102853</v>
      </c>
      <c r="M98" s="65">
        <f>M96+M97</f>
        <v>228647.41527293998</v>
      </c>
      <c r="N98" s="65">
        <f>N96+N97</f>
        <v>36486.413792466104</v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>187624.80594</v>
      </c>
      <c r="E99" s="56">
        <f>E98*E$6</f>
        <v>26625.892535806477</v>
      </c>
      <c r="F99" s="56">
        <f>F98*F$6</f>
        <v>69649.76853605067</v>
      </c>
      <c r="G99" s="56">
        <f>G98*G$6</f>
        <v>322884.3139831488</v>
      </c>
      <c r="H99" s="56">
        <f>H98*H$6</f>
        <v>128890.33621640045</v>
      </c>
      <c r="I99" s="56">
        <f>I98*I$6</f>
        <v>90522.88215909307</v>
      </c>
      <c r="J99" s="56">
        <f>J98*J$6</f>
        <v>265478.3143531344</v>
      </c>
      <c r="K99" s="56">
        <f>K98*K$6</f>
        <v>96098.63508313074</v>
      </c>
      <c r="L99" s="56">
        <f>L98*L$6</f>
        <v>187058.38953686377</v>
      </c>
      <c r="M99" s="56">
        <f>M98*M$6</f>
        <v>82452.55013354846</v>
      </c>
      <c r="N99" s="56">
        <f>N98*N$6</f>
        <v>11747.64874034772</v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>187624.80594</v>
      </c>
      <c r="E100" s="56">
        <f>SUM($D99:E99)</f>
        <v>214250.69847580648</v>
      </c>
      <c r="F100" s="56">
        <f>SUM($D99:F99)</f>
        <v>283900.46701185714</v>
      </c>
      <c r="G100" s="56">
        <f>SUM($D99:G99)</f>
        <v>606784.780995006</v>
      </c>
      <c r="H100" s="56">
        <f>SUM($D99:H99)</f>
        <v>735675.1172114065</v>
      </c>
      <c r="I100" s="56">
        <f>SUM($D99:I99)</f>
        <v>826197.9993704995</v>
      </c>
      <c r="J100" s="56">
        <f>SUM($D99:J99)</f>
        <v>1091676.313723634</v>
      </c>
      <c r="K100" s="56">
        <f>SUM($D99:K99)</f>
        <v>1187774.9488067646</v>
      </c>
      <c r="L100" s="56">
        <f>SUM($D99:L99)</f>
        <v>1374833.3383436282</v>
      </c>
      <c r="M100" s="56">
        <f>SUM($D99:M99)</f>
        <v>1457285.8884771767</v>
      </c>
      <c r="N100" s="56">
        <f>SUM($D99:N99)</f>
        <v>1469033.5372175244</v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>117.21135139128295</v>
      </c>
      <c r="F101" s="66">
        <f>SUM($D99:F99)/SUM($E$6:F$6)/(SUM($E87:F87)/F$4)</f>
        <v>88.60128432939342</v>
      </c>
      <c r="G101" s="66">
        <f>SUM($D99:G99)/SUM($E$6:G$6)/(SUM($E87:G87)/G$4)</f>
        <v>135.32216024117437</v>
      </c>
      <c r="H101" s="66">
        <f>SUM($D99:H99)/SUM($E$6:H$6)/(SUM($E87:H87)/H$4)</f>
        <v>133.36747384453483</v>
      </c>
      <c r="I101" s="66">
        <f>SUM($D99:I99)/SUM($E$6:I$6)/(SUM($E87:I87)/I$4)</f>
        <v>128.3947239689053</v>
      </c>
      <c r="J101" s="66">
        <f>SUM($D99:J99)/SUM($E$6:J$6)/(SUM($E87:J87)/J$4)</f>
        <v>148.82806026318727</v>
      </c>
      <c r="K101" s="66">
        <f>SUM($D99:K99)/SUM($E$6:K$6)/(SUM($E87:K87)/K$4)</f>
        <v>146.65675397016057</v>
      </c>
      <c r="L101" s="66">
        <f>SUM($D99:L99)/SUM($E$6:L$6)/(SUM($E87:L87)/L$4)</f>
        <v>155.1043463039335</v>
      </c>
      <c r="M101" s="66">
        <f>SUM($D99:M99)/SUM($E$6:M$6)/(SUM($E87:M87)/M$4)</f>
        <v>155.05873817498363</v>
      </c>
      <c r="N101" s="66">
        <f>SUM($D99:N99)/SUM($E$6:N$6)/(SUM($E87:N87)/N$4)</f>
        <v>146.98346500019554</v>
      </c>
    </row>
    <row r="103">
      <c r="B103" s="5" t="str">
        <f>"Вариант 6:  "&amp;'Ввод данных'!I7</f>
        <v>Вариант 6:  TZCO TZ2000
Дзикай</v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>0.8546521435819382</v>
      </c>
      <c r="F104" s="59">
        <f>'Данные по годам'!F32</f>
        <v>0.728326515728057</v>
      </c>
      <c r="G104" s="59">
        <f>'Данные по годам'!G32</f>
        <v>0.7551225583460174</v>
      </c>
      <c r="H104" s="59">
        <f>'Данные по годам'!H32</f>
        <v>0.6945340246067987</v>
      </c>
      <c r="I104" s="59">
        <f>'Данные по годам'!I32</f>
        <v>0.6934042047184171</v>
      </c>
      <c r="J104" s="59">
        <f>'Данные по годам'!J32</f>
        <v>0.7427367135971588</v>
      </c>
      <c r="K104" s="59">
        <f>'Данные по годам'!K32</f>
        <v>0.7171515093860985</v>
      </c>
      <c r="L104" s="59">
        <f>'Данные по годам'!L32</f>
        <v>0.7732285324708271</v>
      </c>
      <c r="M104" s="59">
        <f>'Данные по годам'!M32</f>
        <v>0.6679699391171994</v>
      </c>
      <c r="N104" s="59">
        <f>'Данные по годам'!N32</f>
        <v>0.7572945205479452</v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>4719.773730324075</v>
      </c>
      <c r="F105" s="56">
        <f>'Параметры'!C26*F104*(1-'Ввод данных'!I18/(60*'Параметры'!C33))</f>
        <v>4022.146766782408</v>
      </c>
      <c r="G105" s="56">
        <f>'Параметры'!C26*G104*(1-'Ввод данных'!I18/(60*'Параметры'!C33))</f>
        <v>4170.126572337963</v>
      </c>
      <c r="H105" s="56">
        <f>'Параметры'!C26*H104*(1-'Ввод данных'!I18/(60*'Параметры'!C33))</f>
        <v>3835.529424189815</v>
      </c>
      <c r="I105" s="56">
        <f>'Параметры'!C26*I104*(1-'Ввод данных'!I18/(60*'Параметры'!C33))</f>
        <v>3829.2900503472224</v>
      </c>
      <c r="J105" s="56">
        <f>'Параметры'!C26*J104*(1-'Ввод данных'!I18/(60*'Параметры'!C33))</f>
        <v>4101.726364004629</v>
      </c>
      <c r="K105" s="56">
        <f>'Параметры'!C26*K104*(1-'Ввод данных'!I18/(60*'Параметры'!C33))</f>
        <v>3960.4333530092595</v>
      </c>
      <c r="L105" s="56">
        <f>'Параметры'!C26*L104*(1-'Ввод данных'!I18/(60*'Параметры'!C33))</f>
        <v>4270.115909143519</v>
      </c>
      <c r="M105" s="56">
        <f>'Параметры'!C26*M104*(1-'Ввод данных'!I18/(60*'Параметры'!C33))</f>
        <v>3688.830590277777</v>
      </c>
      <c r="N105" s="56">
        <f>'Параметры'!C26*N104*(1-'Ввод данных'!I18/(60*'Параметры'!C33))</f>
        <v>4182.121125</v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>2509.4906418318305</v>
      </c>
      <c r="F106" s="56">
        <f>'Производительность'!I10*F105/1000</f>
        <v>2138.5643143154566</v>
      </c>
      <c r="G106" s="56">
        <f>'Производительность'!I10*G105/1000</f>
        <v>2217.244767752418</v>
      </c>
      <c r="H106" s="56">
        <f>'Производительность'!I10*H105/1000</f>
        <v>2039.340389272024</v>
      </c>
      <c r="I106" s="56">
        <f>'Производительность'!I10*I105/1000</f>
        <v>2036.0229314523244</v>
      </c>
      <c r="J106" s="56">
        <f>'Производительность'!I10*J105/1000</f>
        <v>2180.8765661140606</v>
      </c>
      <c r="K106" s="56">
        <f>'Производительность'!I10*K105/1000</f>
        <v>2105.7514628551853</v>
      </c>
      <c r="L106" s="56">
        <f>'Производительность'!I10*L105/1000</f>
        <v>2270.4088216527916</v>
      </c>
      <c r="M106" s="56">
        <f>'Производительность'!I10*M105/1000</f>
        <v>1961.3410249159228</v>
      </c>
      <c r="N106" s="56">
        <f>'Производительность'!I10*N105/1000</f>
        <v>2223.62223823685</v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>31054.22323604028</v>
      </c>
      <c r="F107" s="56">
        <f>F105*'Данные по годам'!F34*'Параметры'!C10*(1+'Параметры'!C14)^(F$4-1)/1000</f>
        <v>26464.116866721528</v>
      </c>
      <c r="G107" s="56">
        <f>G105*'Данные по годам'!G34*'Параметры'!C10*(1+'Параметры'!C14)^(G$4-1)/1000</f>
        <v>27437.764795354862</v>
      </c>
      <c r="H107" s="56">
        <f>H105*'Данные по годам'!H34*'Параметры'!C10*(1+'Параметры'!C14)^(H$4-1)/1000</f>
        <v>25236.249399399305</v>
      </c>
      <c r="I107" s="56">
        <f>I105*'Данные по годам'!I34*'Параметры'!C10*(1+'Параметры'!C14)^(I$4-1)/1000</f>
        <v>25195.196815264586</v>
      </c>
      <c r="J107" s="56">
        <f>J105*'Данные по годам'!J34*'Параметры'!C10*(1+'Параметры'!C14)^(J$4-1)/1000</f>
        <v>26987.71878460486</v>
      </c>
      <c r="K107" s="56">
        <f>K105*'Данные по годам'!K34*'Параметры'!C10*(1+'Параметры'!C14)^(K$4-1)/1000</f>
        <v>26058.06728945972</v>
      </c>
      <c r="L107" s="56">
        <f>L105*'Данные по годам'!L34*'Параметры'!C10*(1+'Параметры'!C14)^(L$4-1)/1000</f>
        <v>28095.6546358007</v>
      </c>
      <c r="M107" s="56">
        <f>M105*'Данные по годам'!M34*'Параметры'!C10*(1+'Параметры'!C14)^(M$4-1)/1000</f>
        <v>24271.02975179166</v>
      </c>
      <c r="N107" s="56">
        <f>N105*'Данные по годам'!N34*'Параметры'!C10*(1+'Параметры'!C14)^(N$4-1)/1000</f>
        <v>27516.684154049995</v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>10561.748302575998</v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>10637.874102576</v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>10637.874102576</v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>10637.874102576</v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>15311.998222576</v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>10675.937002575998</v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>93127.79098257599</v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>10637.874102576</v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>10561.748302575998</v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>73517.784902576</v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>2183.2568583936927</v>
      </c>
      <c r="F109" s="56">
        <f>'Данные по годам'!F35*F106*(1+'Параметры'!C15)^(F$4-1)</f>
        <v>1860.5509534544472</v>
      </c>
      <c r="G109" s="56">
        <f>'Данные по годам'!G35*G106*(1+'Параметры'!C15)^(G$4-1)</f>
        <v>1929.0029479446034</v>
      </c>
      <c r="H109" s="56">
        <f>'Данные по годам'!H35*H106*(1+'Параметры'!C15)^(H$4-1)</f>
        <v>1774.2261386666607</v>
      </c>
      <c r="I109" s="56">
        <f>'Данные по годам'!I35*I106*(1+'Параметры'!C15)^(I$4-1)</f>
        <v>1771.3399503635223</v>
      </c>
      <c r="J109" s="56">
        <f>'Данные по годам'!J35*J106*(1+'Параметры'!C15)^(J$4-1)</f>
        <v>1897.3626125192327</v>
      </c>
      <c r="K109" s="56">
        <f>'Данные по годам'!K35*K106*(1+'Параметры'!C15)^(K$4-1)</f>
        <v>1832.0037726840112</v>
      </c>
      <c r="L109" s="56">
        <f>'Данные по годам'!L35*L106*(1+'Параметры'!C15)^(L$4-1)</f>
        <v>1975.2556748379286</v>
      </c>
      <c r="M109" s="56">
        <f>'Данные по годам'!M35*M106*(1+'Параметры'!C15)^(M$4-1)</f>
        <v>1706.366691676853</v>
      </c>
      <c r="N109" s="56">
        <f>'Данные по годам'!N35*N106*(1+'Параметры'!C15)^(N$4-1)</f>
        <v>1934.5513472660596</v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>10015.0</v>
      </c>
      <c r="F110" s="56">
        <f>'Ввод данных'!I20*(1+'Параметры'!C16)^(F$4-1)</f>
        <v>10015.0</v>
      </c>
      <c r="G110" s="56">
        <f>'Ввод данных'!I20*(1+'Параметры'!C16)^(G$4-1)</f>
        <v>10015.0</v>
      </c>
      <c r="H110" s="56">
        <f>'Ввод данных'!I20*(1+'Параметры'!C16)^(H$4-1)</f>
        <v>10015.0</v>
      </c>
      <c r="I110" s="56">
        <f>'Ввод данных'!I20*(1+'Параметры'!C16)^(I$4-1)</f>
        <v>10015.0</v>
      </c>
      <c r="J110" s="56">
        <f>'Ввод данных'!I20*(1+'Параметры'!C16)^(J$4-1)</f>
        <v>10015.0</v>
      </c>
      <c r="K110" s="56">
        <f>'Ввод данных'!I20*(1+'Параметры'!C16)^(K$4-1)</f>
        <v>10015.0</v>
      </c>
      <c r="L110" s="56">
        <f>'Ввод данных'!I20*(1+'Параметры'!C16)^(L$4-1)</f>
        <v>10015.0</v>
      </c>
      <c r="M110" s="56">
        <f>'Ввод данных'!I20*(1+'Параметры'!C16)^(M$4-1)</f>
        <v>10015.0</v>
      </c>
      <c r="N110" s="56">
        <f>'Ввод данных'!I20*(1+'Параметры'!C16)^(N$4-1)</f>
        <v>10015.0</v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>53814.228397009974</v>
      </c>
      <c r="F111" s="65">
        <f>F107+F108+F109+F110</f>
        <v>48977.541922751974</v>
      </c>
      <c r="G111" s="65">
        <f>G107+G108+G109+G110</f>
        <v>50019.64184587546</v>
      </c>
      <c r="H111" s="65">
        <f>H107+H108+H109+H110</f>
        <v>47663.349640641965</v>
      </c>
      <c r="I111" s="65">
        <f>I107+I108+I109+I110</f>
        <v>52293.53498820411</v>
      </c>
      <c r="J111" s="65">
        <f>J107+J108+J109+J110</f>
        <v>49576.018399700086</v>
      </c>
      <c r="K111" s="65">
        <f>K107+K108+K109+K110</f>
        <v>131032.86204471972</v>
      </c>
      <c r="L111" s="65">
        <f>L107+L108+L109+L110</f>
        <v>50723.78441321463</v>
      </c>
      <c r="M111" s="65">
        <f>M107+M108+M109+M110</f>
        <v>46554.14474604451</v>
      </c>
      <c r="N111" s="65">
        <f>N107+N108+N109+N110</f>
        <v>112984.02040389205</v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>33381.95744680851</v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>33381.95744680851</v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>33381.95744680851</v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>33381.95744680851</v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>33381.95744680851</v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>5674.932765957445</v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>0.0</v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>0.0</v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>0.0</v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>0.0</v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>87196.18584381849</v>
      </c>
      <c r="F113" s="56">
        <f>F111+F112</f>
        <v>82359.49936956048</v>
      </c>
      <c r="G113" s="56">
        <f>G111+G112</f>
        <v>83401.59929268397</v>
      </c>
      <c r="H113" s="56">
        <f>H111+H112</f>
        <v>81045.30708745048</v>
      </c>
      <c r="I113" s="56">
        <f>I111+I112</f>
        <v>85675.49243501262</v>
      </c>
      <c r="J113" s="56">
        <f>J111+J112</f>
        <v>55250.951165657534</v>
      </c>
      <c r="K113" s="56">
        <f>K111+K112</f>
        <v>131032.86204471972</v>
      </c>
      <c r="L113" s="56">
        <f>L111+L112</f>
        <v>50723.78441321463</v>
      </c>
      <c r="M113" s="56">
        <f>M111+M112</f>
        <v>46554.14474604451</v>
      </c>
      <c r="N113" s="56">
        <f>N111+N112</f>
        <v>112984.02040389205</v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>-21799.04646095462</v>
      </c>
      <c r="F114" s="56">
        <f>-F113*'Параметры'!C7</f>
        <v>-20589.87484239012</v>
      </c>
      <c r="G114" s="56">
        <f>-G113*'Параметры'!C7</f>
        <v>-20850.399823170992</v>
      </c>
      <c r="H114" s="56">
        <f>-H113*'Параметры'!C7</f>
        <v>-20261.32677186262</v>
      </c>
      <c r="I114" s="56">
        <f>-I113*'Параметры'!C7</f>
        <v>-21418.873108753156</v>
      </c>
      <c r="J114" s="56">
        <f>-J113*'Параметры'!C7</f>
        <v>-13812.737791414384</v>
      </c>
      <c r="K114" s="56">
        <f>-K113*'Параметры'!C7</f>
        <v>-32758.21551117993</v>
      </c>
      <c r="L114" s="56">
        <f>-L113*'Параметры'!C7</f>
        <v>-12680.946103303657</v>
      </c>
      <c r="M114" s="56">
        <f>-M113*'Параметры'!C7</f>
        <v>-11638.536186511128</v>
      </c>
      <c r="N114" s="56">
        <f>-N113*'Параметры'!C7</f>
        <v>-28246.005100973012</v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>32015.181936055356</v>
      </c>
      <c r="F115" s="65">
        <f>F113+F114-F112</f>
        <v>28387.667080361847</v>
      </c>
      <c r="G115" s="65">
        <f>G113+G114-G112</f>
        <v>29169.242022704464</v>
      </c>
      <c r="H115" s="65">
        <f>H113+H114-H112</f>
        <v>27402.02286877935</v>
      </c>
      <c r="I115" s="65">
        <f>I113+I114-I112</f>
        <v>30874.661879450956</v>
      </c>
      <c r="J115" s="65">
        <f>J113+J114-J112</f>
        <v>35763.2806082857</v>
      </c>
      <c r="K115" s="65">
        <f>K113+K114-K112</f>
        <v>98274.64653353978</v>
      </c>
      <c r="L115" s="65">
        <f>L113+L114-L112</f>
        <v>38042.83830991097</v>
      </c>
      <c r="M115" s="65">
        <f>M113+M114-M112</f>
        <v>34915.608559533386</v>
      </c>
      <c r="N115" s="65">
        <f>N113+N114-N112</f>
        <v>84738.01530291904</v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>172584.72</v>
      </c>
      <c r="E116" s="56">
        <f>IF(E$4=0,'Производительность'!I5,IF(E$4='Параметры'!C8,-'Ввод данных'!I14*'Производительность'!I5,0))</f>
        <v>0.0</v>
      </c>
      <c r="F116" s="56">
        <f>IF(F$4=0,'Производительность'!I5,IF(F$4='Параметры'!C8,-'Ввод данных'!I14*'Производительность'!I5,0))</f>
        <v>0.0</v>
      </c>
      <c r="G116" s="56">
        <f>IF(G$4=0,'Производительность'!I5,IF(G$4='Параметры'!C8,-'Ввод данных'!I14*'Производительность'!I5,0))</f>
        <v>0.0</v>
      </c>
      <c r="H116" s="56">
        <f>IF(H$4=0,'Производительность'!I5,IF(H$4='Параметры'!C8,-'Ввод данных'!I14*'Производительность'!I5,0))</f>
        <v>0.0</v>
      </c>
      <c r="I116" s="56">
        <f>IF(I$4=0,'Производительность'!I5,IF(I$4='Параметры'!C8,-'Ввод данных'!I14*'Производительность'!I5,0))</f>
        <v>0.0</v>
      </c>
      <c r="J116" s="56">
        <f>IF(J$4=0,'Производительность'!I5,IF(J$4='Параметры'!C8,-'Ввод данных'!I14*'Производительность'!I5,0))</f>
        <v>0.0</v>
      </c>
      <c r="K116" s="56">
        <f>IF(K$4=0,'Производительность'!I5,IF(K$4='Параметры'!C8,-'Ввод данных'!I14*'Производительность'!I5,0))</f>
        <v>0.0</v>
      </c>
      <c r="L116" s="56">
        <f>IF(L$4=0,'Производительность'!I5,IF(L$4='Параметры'!C8,-'Ввод данных'!I14*'Производительность'!I5,0))</f>
        <v>0.0</v>
      </c>
      <c r="M116" s="56">
        <f>IF(M$4=0,'Производительность'!I5,IF(M$4='Параметры'!C8,-'Ввод данных'!I14*'Производительность'!I5,0))</f>
        <v>0.0</v>
      </c>
      <c r="N116" s="56">
        <f>IF(N$4=0,'Производительность'!I5,IF(N$4='Параметры'!C8,-'Ввод данных'!I14*'Производительность'!I5,0))</f>
        <v>-0.0</v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>172584.72</v>
      </c>
      <c r="E117" s="65">
        <f>E115+E116</f>
        <v>32015.181936055356</v>
      </c>
      <c r="F117" s="65">
        <f>F115+F116</f>
        <v>28387.667080361847</v>
      </c>
      <c r="G117" s="65">
        <f>G115+G116</f>
        <v>29169.242022704464</v>
      </c>
      <c r="H117" s="65">
        <f>H115+H116</f>
        <v>27402.02286877935</v>
      </c>
      <c r="I117" s="65">
        <f>I115+I116</f>
        <v>30874.661879450956</v>
      </c>
      <c r="J117" s="65">
        <f>J115+J116</f>
        <v>35763.2806082857</v>
      </c>
      <c r="K117" s="65">
        <f>K115+K116</f>
        <v>98274.64653353978</v>
      </c>
      <c r="L117" s="65">
        <f>L115+L116</f>
        <v>38042.83830991097</v>
      </c>
      <c r="M117" s="65">
        <f>M115+M116</f>
        <v>34915.608559533386</v>
      </c>
      <c r="N117" s="65">
        <f>N115+N116</f>
        <v>84738.01530291904</v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>172584.72</v>
      </c>
      <c r="E118" s="56">
        <f>E117*E$6</f>
        <v>28584.983871477994</v>
      </c>
      <c r="F118" s="56">
        <f>F117*F$6</f>
        <v>22630.474394421115</v>
      </c>
      <c r="G118" s="56">
        <f>G117*G$6</f>
        <v>20762.090315449943</v>
      </c>
      <c r="H118" s="56">
        <f>H117*H$6</f>
        <v>17414.48091797189</v>
      </c>
      <c r="I118" s="56">
        <f>I117*I$6</f>
        <v>17519.11231163175</v>
      </c>
      <c r="J118" s="56">
        <f>J117*J$6</f>
        <v>18118.79095155491</v>
      </c>
      <c r="K118" s="56">
        <f>K117*K$6</f>
        <v>44454.45924695727</v>
      </c>
      <c r="L118" s="56">
        <f>L117*L$6</f>
        <v>15364.864338104047</v>
      </c>
      <c r="M118" s="56">
        <f>M117*M$6</f>
        <v>12590.918474900383</v>
      </c>
      <c r="N118" s="56">
        <f>N117*N$6</f>
        <v>27283.373049352766</v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>172584.72</v>
      </c>
      <c r="E119" s="56">
        <f>SUM($D118:E118)</f>
        <v>201169.703871478</v>
      </c>
      <c r="F119" s="56">
        <f>SUM($D118:F118)</f>
        <v>223800.17826589913</v>
      </c>
      <c r="G119" s="56">
        <f>SUM($D118:G118)</f>
        <v>244562.26858134908</v>
      </c>
      <c r="H119" s="56">
        <f>SUM($D118:H118)</f>
        <v>261976.74949932098</v>
      </c>
      <c r="I119" s="56">
        <f>SUM($D118:I118)</f>
        <v>279495.8618109527</v>
      </c>
      <c r="J119" s="56">
        <f>SUM($D118:J118)</f>
        <v>297614.6527625076</v>
      </c>
      <c r="K119" s="56">
        <f>SUM($D118:K118)</f>
        <v>342069.1120094649</v>
      </c>
      <c r="L119" s="56">
        <f>SUM($D118:L118)</f>
        <v>357433.9763475689</v>
      </c>
      <c r="M119" s="56">
        <f>SUM($D118:M118)</f>
        <v>370024.8948224693</v>
      </c>
      <c r="N119" s="56">
        <f>SUM($D118:N118)</f>
        <v>397308.26787182206</v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>89.7831873051289</v>
      </c>
      <c r="F120" s="66">
        <f>SUM($D118:F118)/SUM($E$6:F$6)/(SUM($E106:F106)/F$4)</f>
        <v>56.979594460392626</v>
      </c>
      <c r="G120" s="66">
        <f>SUM($D118:G118)/SUM($E$6:G$6)/(SUM($E106:G106)/G$4)</f>
        <v>44.4947439888289</v>
      </c>
      <c r="H120" s="66">
        <f>SUM($D118:H118)/SUM($E$6:H$6)/(SUM($E106:H106)/H$4)</f>
        <v>38.744639356742745</v>
      </c>
      <c r="I120" s="66">
        <f>SUM($D118:I118)/SUM($E$6:I$6)/(SUM($E106:I106)/I$4)</f>
        <v>35.43426563242317</v>
      </c>
      <c r="J120" s="66">
        <f>SUM($D118:J118)/SUM($E$6:J$6)/(SUM($E106:J106)/J$4)</f>
        <v>33.10017263795109</v>
      </c>
      <c r="K120" s="66">
        <f>SUM($D118:K118)/SUM($E$6:K$6)/(SUM($E106:K106)/K$4)</f>
        <v>34.45615263289122</v>
      </c>
      <c r="L120" s="66">
        <f>SUM($D118:L118)/SUM($E$6:L$6)/(SUM($E106:L106)/L$4)</f>
        <v>32.89688380715721</v>
      </c>
      <c r="M120" s="66">
        <f>SUM($D118:M118)/SUM($E$6:M$6)/(SUM($E106:M106)/M$4)</f>
        <v>32.11940158052404</v>
      </c>
      <c r="N120" s="66">
        <f>SUM($D118:N118)/SUM($E$6:N$6)/(SUM($E106:N106)/N$4)</f>
        <v>32.43018221027532</v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>129172.57600060561</v>
      </c>
      <c r="E6" s="56">
        <f>SUMPRODUCT('Денежный поток'!E31:N31,'Денежный поток'!$E$6:$N$6)</f>
        <v>119674.97797710523</v>
      </c>
      <c r="F6" s="56">
        <f>SUMPRODUCT('Денежный поток'!E50:N50,'Денежный поток'!$E$6:$N$6)</f>
        <v>115124.2620562412</v>
      </c>
      <c r="G6" s="56">
        <f>SUMPRODUCT('Денежный поток'!E69:N69,'Денежный поток'!$E$6:$N$6)</f>
        <v>117433.63714569922</v>
      </c>
      <c r="H6" s="56">
        <f>SUMPRODUCT('Денежный поток'!E88:N88,'Денежный поток'!$E$6:$N$6)</f>
        <v>130141.57962691567</v>
      </c>
      <c r="I6" s="56">
        <f>SUMPRODUCT('Денежный поток'!E107:N107,'Денежный поток'!$E$6:$N$6)</f>
        <v>153107.74073754784</v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>516463.79901000526</v>
      </c>
      <c r="E7" s="56">
        <f>SUMPRODUCT('Денежный поток'!E32:N32,'Денежный поток'!$E$6:$N$6)</f>
        <v>240513.35840794494</v>
      </c>
      <c r="F7" s="56">
        <f>SUMPRODUCT('Денежный поток'!E51:N51,'Денежный поток'!$E$6:$N$6)</f>
        <v>196308.90224129648</v>
      </c>
      <c r="G7" s="56">
        <f>SUMPRODUCT('Денежный поток'!E70:N70,'Денежный поток'!$E$6:$N$6)</f>
        <v>196308.90224129648</v>
      </c>
      <c r="H7" s="56">
        <f>SUMPRODUCT('Денежный поток'!E89:N89,'Денежный поток'!$E$6:$N$6)</f>
        <v>1557683.8993953904</v>
      </c>
      <c r="I7" s="56">
        <f>SUMPRODUCT('Денежный поток'!E108:N108,'Денежный поток'!$E$6:$N$6)</f>
        <v>120242.34500982112</v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>10050.179289982114</v>
      </c>
      <c r="E8" s="56">
        <f>SUMPRODUCT('Денежный поток'!E33:N33,'Денежный поток'!$E$6:$N$6)</f>
        <v>9598.776469538274</v>
      </c>
      <c r="F8" s="56">
        <f>SUMPRODUCT('Денежный поток'!E52:N52,'Денежный поток'!$E$6:$N$6)</f>
        <v>8781.451882415184</v>
      </c>
      <c r="G8" s="56">
        <f>SUMPRODUCT('Денежный поток'!E71:N71,'Денежный поток'!$E$6:$N$6)</f>
        <v>8781.451882415184</v>
      </c>
      <c r="H8" s="56">
        <f>SUMPRODUCT('Денежный поток'!E90:N90,'Денежный поток'!$E$6:$N$6)</f>
        <v>8781.451882415184</v>
      </c>
      <c r="I8" s="56">
        <f>SUMPRODUCT('Денежный поток'!E109:N109,'Денежный поток'!$E$6:$N$6)</f>
        <v>10764.188899449604</v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>56586.983629534785</v>
      </c>
      <c r="E9" s="56">
        <f>SUMPRODUCT('Денежный поток'!E34:N34,'Денежный поток'!$E$6:$N$6)</f>
        <v>56586.983629534785</v>
      </c>
      <c r="F9" s="56">
        <f>SUMPRODUCT('Денежный поток'!E53:N53,'Денежный поток'!$E$6:$N$6)</f>
        <v>56586.983629534785</v>
      </c>
      <c r="G9" s="56">
        <f>SUMPRODUCT('Денежный поток'!E72:N72,'Денежный поток'!$E$6:$N$6)</f>
        <v>56586.983629534785</v>
      </c>
      <c r="H9" s="56">
        <f>SUMPRODUCT('Денежный поток'!E91:N91,'Денежный поток'!$E$6:$N$6)</f>
        <v>56586.983629534785</v>
      </c>
      <c r="I9" s="56">
        <f>SUMPRODUCT('Денежный поток'!E110:N110,'Денежный поток'!$E$6:$N$6)</f>
        <v>56586.983629534785</v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>-229697.84909898872</v>
      </c>
      <c r="E10" s="56">
        <f>SUMPRODUCT('Денежный поток'!E38:N38,'Денежный поток'!$E$6:$N$6)</f>
        <v>-152810.59044153712</v>
      </c>
      <c r="F10" s="56">
        <f>SUMPRODUCT('Денежный поток'!E57:N57,'Денежный поток'!$E$6:$N$6)</f>
        <v>-134461.53149598432</v>
      </c>
      <c r="G10" s="56">
        <f>SUMPRODUCT('Денежный поток'!E76:N76,'Денежный поток'!$E$6:$N$6)</f>
        <v>-134024.03633334968</v>
      </c>
      <c r="H10" s="56">
        <f>SUMPRODUCT('Денежный поток'!E95:N95,'Денежный поток'!$E$6:$N$6)</f>
        <v>-471785.18325673137</v>
      </c>
      <c r="I10" s="56">
        <f>SUMPRODUCT('Денежный поток'!E114:N114,'Денежный поток'!$E$6:$N$6)</f>
        <v>-115977.7104045313</v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>289278.04</v>
      </c>
      <c r="E11" s="56">
        <f>'Производительность'!E5*(1-'Ввод данных'!E14*'Денежный поток'!$N$6)</f>
        <v>258952.56631199998</v>
      </c>
      <c r="F11" s="56">
        <f>'Производительность'!F5*(1-'Ввод данных'!F14*'Денежный поток'!$N$6)</f>
        <v>225581.67719999998</v>
      </c>
      <c r="G11" s="56">
        <f>'Производительность'!G5*(1-'Ввод данных'!G14*'Денежный поток'!$N$6)</f>
        <v>219895.57101599997</v>
      </c>
      <c r="H11" s="56">
        <f>'Производительность'!H5*(1-'Ввод данных'!H14*'Денежный поток'!$N$6)</f>
        <v>187624.80594</v>
      </c>
      <c r="I11" s="56">
        <f>'Производительность'!I5*(1-'Ввод данных'!I14*'Денежный поток'!$N$6)</f>
        <v>172584.72</v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>482575.6888311391</v>
      </c>
      <c r="E12" s="65">
        <f>E6+E7+E8+E9+E10</f>
        <v>273563.50604258606</v>
      </c>
      <c r="F12" s="65">
        <f>F6+F7+F8+F9+F10</f>
        <v>242340.06831350332</v>
      </c>
      <c r="G12" s="65">
        <f>G6+G7+G8+G9+G10</f>
        <v>245086.93856559598</v>
      </c>
      <c r="H12" s="65">
        <f>H6+H7+H8+H9+H10</f>
        <v>1281408.7312775247</v>
      </c>
      <c r="I12" s="65">
        <f>I6+I7+I8+I9+I10</f>
        <v>224723.54787182205</v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>771853.7288311392</v>
      </c>
      <c r="E13" s="60">
        <f>E11+E12</f>
        <v>532516.0723545861</v>
      </c>
      <c r="F13" s="60">
        <f>F11+F12</f>
        <v>467921.7455135033</v>
      </c>
      <c r="G13" s="60">
        <f>G11+G12</f>
        <v>464982.50958159595</v>
      </c>
      <c r="H13" s="60">
        <f>H11+H12</f>
        <v>1469033.5372175248</v>
      </c>
      <c r="I13" s="60">
        <f>I11+I12</f>
        <v>397308.26787182206</v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>2012.031027256176</v>
      </c>
      <c r="E14" s="56">
        <f>AVERAGE('Денежный поток'!E30:N30)</f>
        <v>1935.1453506048806</v>
      </c>
      <c r="F14" s="56">
        <f>AVERAGE('Денежный поток'!E49:N49)</f>
        <v>1768.877014206169</v>
      </c>
      <c r="G14" s="56">
        <f>AVERAGE('Денежный поток'!E68:N68)</f>
        <v>1768.877014206169</v>
      </c>
      <c r="H14" s="56">
        <f>AVERAGE('Денежный поток'!E87:N87)</f>
        <v>1768.877014206169</v>
      </c>
      <c r="I14" s="56">
        <f>AVERAGE('Денежный поток'!E106:N106)</f>
        <v>2168.2663158398864</v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>25.44574682280948</v>
      </c>
      <c r="E16" s="57">
        <f>E11/'Параметры'!C37/E14</f>
        <v>23.68323572771956</v>
      </c>
      <c r="F16" s="57">
        <f>F11/'Параметры'!C37/F14</f>
        <v>22.57046943816774</v>
      </c>
      <c r="G16" s="57">
        <f>G11/'Параметры'!C37/G14</f>
        <v>22.001548737510106</v>
      </c>
      <c r="H16" s="57">
        <f>H11/'Параметры'!C37/H14</f>
        <v>18.772712397897372</v>
      </c>
      <c r="I16" s="57">
        <f>I11/'Параметры'!C37/I14</f>
        <v>14.087182092357084</v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>11.362399528707835</v>
      </c>
      <c r="E17" s="57">
        <f>E6/'Параметры'!C37/E14</f>
        <v>10.945211914704581</v>
      </c>
      <c r="F17" s="57">
        <f>F6/'Параметры'!C37/F14</f>
        <v>11.518704314039947</v>
      </c>
      <c r="G17" s="57">
        <f>G6/'Параметры'!C37/G14</f>
        <v>11.749767760880381</v>
      </c>
      <c r="H17" s="57">
        <f>H6/'Параметры'!C37/H14</f>
        <v>13.021255015317237</v>
      </c>
      <c r="I17" s="57">
        <f>I6/'Параметры'!C37/I14</f>
        <v>12.497378814991473</v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>45.429674069815164</v>
      </c>
      <c r="E18" s="57">
        <f>E7/'Параметры'!C37/E14</f>
        <v>21.99682607500345</v>
      </c>
      <c r="F18" s="57">
        <f>F7/'Параметры'!C37/F14</f>
        <v>19.641595600644116</v>
      </c>
      <c r="G18" s="57">
        <f>G7/'Параметры'!C37/G14</f>
        <v>19.641595600644116</v>
      </c>
      <c r="H18" s="57">
        <f>H7/'Параметры'!C37/H14</f>
        <v>155.85333561669972</v>
      </c>
      <c r="I18" s="57">
        <f>I7/'Параметры'!C37/I14</f>
        <v>9.814749587132479</v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>0.8840433160316212</v>
      </c>
      <c r="E19" s="57">
        <f>E8/'Параметры'!C37/E14</f>
        <v>0.8778831160601944</v>
      </c>
      <c r="F19" s="57">
        <f>F8/'Параметры'!C37/F14</f>
        <v>0.878624069981835</v>
      </c>
      <c r="G19" s="57">
        <f>G8/'Параметры'!C37/G14</f>
        <v>0.878624069981835</v>
      </c>
      <c r="H19" s="57">
        <f>H8/'Параметры'!C37/H14</f>
        <v>0.878624069981835</v>
      </c>
      <c r="I19" s="57">
        <f>I8/'Параметры'!C37/I14</f>
        <v>0.8786240699818348</v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>4.97755743541268</v>
      </c>
      <c r="E20" s="57">
        <f>E9/'Параметры'!C37/E14</f>
        <v>5.175321841777693</v>
      </c>
      <c r="F20" s="57">
        <f>F9/'Параметры'!C37/F14</f>
        <v>5.661784239134619</v>
      </c>
      <c r="G20" s="57">
        <f>G9/'Параметры'!C37/G14</f>
        <v>5.661784239134619</v>
      </c>
      <c r="H20" s="57">
        <f>H9/'Параметры'!C37/H14</f>
        <v>5.661784239134619</v>
      </c>
      <c r="I20" s="57">
        <f>I9/'Параметры'!C37/I14</f>
        <v>4.618897562000193</v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>-20.204898076317036</v>
      </c>
      <c r="E21" s="57">
        <f>E10/'Параметры'!C37/E14</f>
        <v>-13.975722606890514</v>
      </c>
      <c r="F21" s="57">
        <f>F10/'Параметры'!C37/F14</f>
        <v>-13.453485783549018</v>
      </c>
      <c r="G21" s="57">
        <f>G10/'Параметры'!C37/G14</f>
        <v>-13.409712409221116</v>
      </c>
      <c r="H21" s="57">
        <f>H10/'Параметры'!C37/H14</f>
        <v>-47.20424633883528</v>
      </c>
      <c r="I21" s="57">
        <f>I10/'Параметры'!C37/I14</f>
        <v>-9.466649916187768</v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>42.44877627365027</v>
      </c>
      <c r="E22" s="67">
        <f>E12/'Параметры'!C37/E14</f>
        <v>25.0195203406554</v>
      </c>
      <c r="F22" s="67">
        <f>F12/'Параметры'!C37/F14</f>
        <v>24.247222440251498</v>
      </c>
      <c r="G22" s="67">
        <f>G12/'Параметры'!C37/G14</f>
        <v>24.522059261419834</v>
      </c>
      <c r="H22" s="67">
        <f>H12/'Параметры'!C37/H14</f>
        <v>128.21075260229813</v>
      </c>
      <c r="I22" s="67">
        <f>I12/'Параметры'!C37/I14</f>
        <v>18.343000117918216</v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>67.89452309645975</v>
      </c>
      <c r="E23" s="68">
        <f>E13/'Параметры'!C37/E14</f>
        <v>48.70275606837497</v>
      </c>
      <c r="F23" s="68">
        <f>F13/'Параметры'!C37/F14</f>
        <v>46.81769187841925</v>
      </c>
      <c r="G23" s="68">
        <f>G13/'Параметры'!C37/G14</f>
        <v>46.52360799892994</v>
      </c>
      <c r="H23" s="68">
        <f>H13/'Параметры'!C37/H14</f>
        <v>146.9834650001955</v>
      </c>
      <c r="I23" s="68">
        <f>I13/'Параметры'!C37/I14</f>
        <v>32.4301822102753</v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>24.361149299052656</v>
      </c>
      <c r="E25" s="67">
        <f>E23/'Параметры'!C27</f>
        <v>17.474975266729448</v>
      </c>
      <c r="F25" s="67">
        <f>F23/'Параметры'!C27</f>
        <v>16.798597731761483</v>
      </c>
      <c r="G25" s="67">
        <f>G23/'Параметры'!C27</f>
        <v>16.693077861115874</v>
      </c>
      <c r="H25" s="67">
        <f>H23/'Параметры'!C27</f>
        <v>52.73895407254952</v>
      </c>
      <c r="I25" s="67">
        <f>I23/'Параметры'!C27</f>
        <v>11.636233301139326</v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>64.5959538235264</v>
      </c>
      <c r="E26" s="57">
        <f>AVERAGE('Денежный поток'!E35:N35)/E14</f>
        <v>40.30889969999663</v>
      </c>
      <c r="F26" s="57">
        <f>AVERAGE('Денежный поток'!E54:N54)/F14</f>
        <v>38.49255235821269</v>
      </c>
      <c r="G26" s="57">
        <f>AVERAGE('Денежный поток'!E73:N73)/G14</f>
        <v>38.72134781877335</v>
      </c>
      <c r="H26" s="57">
        <f>AVERAGE('Денежный поток'!E92:N92)/H14</f>
        <v>184.28286051992498</v>
      </c>
      <c r="I26" s="57">
        <f>AVERAGE('Денежный поток'!E111:N111)/I14</f>
        <v>29.68450517817219</v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>0.3747834974355436</v>
      </c>
      <c r="E27" s="59">
        <f>E16/E23</f>
        <v>0.4862812218361954</v>
      </c>
      <c r="F27" s="59">
        <f>F16/F23</f>
        <v>0.48209274170928673</v>
      </c>
      <c r="G27" s="59">
        <f>G16/G23</f>
        <v>0.4729114891092744</v>
      </c>
      <c r="H27" s="59">
        <f>H16/H23</f>
        <v>0.12771989283197535</v>
      </c>
      <c r="I27" s="59">
        <f>I16/I23</f>
        <v>0.4343849196102774</v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>289278.04</v>
      </c>
      <c r="E5" s="56">
        <f>'Производительность'!E5</f>
        <v>258952.56631199998</v>
      </c>
      <c r="F5" s="56">
        <f>'Производительность'!F5</f>
        <v>225581.67719999998</v>
      </c>
      <c r="G5" s="56">
        <f>'Производительность'!G5</f>
        <v>219895.57101599997</v>
      </c>
      <c r="H5" s="56">
        <f>'Производительность'!H5</f>
        <v>187624.80594</v>
      </c>
      <c r="I5" s="56">
        <f>'Производительность'!I5</f>
        <v>172584.72</v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>2012.031027256176</v>
      </c>
      <c r="E6" s="56">
        <f>'Расчёт аннуитета'!E14</f>
        <v>1935.1453506048806</v>
      </c>
      <c r="F6" s="56">
        <f>'Расчёт аннуитета'!F14</f>
        <v>1768.877014206169</v>
      </c>
      <c r="G6" s="56">
        <f>'Расчёт аннуитета'!G14</f>
        <v>1768.877014206169</v>
      </c>
      <c r="H6" s="56">
        <f>'Расчёт аннуитета'!H14</f>
        <v>1768.877014206169</v>
      </c>
      <c r="I6" s="56">
        <f>'Расчёт аннуитета'!I14</f>
        <v>2168.2663158398864</v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>0.5825446009454804</v>
      </c>
      <c r="E7" s="59">
        <f>'Производительность'!E13</f>
        <v>0.5825446009454804</v>
      </c>
      <c r="F7" s="59">
        <f>'Производительность'!F13</f>
        <v>0.5387869555164468</v>
      </c>
      <c r="G7" s="59">
        <f>'Производительность'!G13</f>
        <v>0.5387869555164468</v>
      </c>
      <c r="H7" s="59">
        <f>'Производительность'!H13</f>
        <v>0.5387869555164468</v>
      </c>
      <c r="I7" s="59">
        <f>'Производительность'!I13</f>
        <v>0.5387869555164468</v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>771853.7288311392</v>
      </c>
      <c r="E8" s="56">
        <f>'Расчёт аннуитета'!E13</f>
        <v>532516.0723545861</v>
      </c>
      <c r="F8" s="56">
        <f>'Расчёт аннуитета'!F13</f>
        <v>467921.7455135033</v>
      </c>
      <c r="G8" s="56">
        <f>'Расчёт аннуитета'!G13</f>
        <v>464982.50958159595</v>
      </c>
      <c r="H8" s="56">
        <f>'Расчёт аннуитета'!H13</f>
        <v>1469033.5372175248</v>
      </c>
      <c r="I8" s="56">
        <f>'Расчёт аннуитета'!I13</f>
        <v>397308.26787182206</v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>64.5959538235264</v>
      </c>
      <c r="E9" s="57">
        <f>'Расчёт аннуитета'!E26</f>
        <v>40.30889969999663</v>
      </c>
      <c r="F9" s="57">
        <f>'Расчёт аннуитета'!F26</f>
        <v>38.49255235821269</v>
      </c>
      <c r="G9" s="57">
        <f>'Расчёт аннуитета'!G26</f>
        <v>38.72134781877335</v>
      </c>
      <c r="H9" s="57">
        <f>'Расчёт аннуитета'!H26</f>
        <v>184.28286051992498</v>
      </c>
      <c r="I9" s="57">
        <f>'Расчёт аннуитета'!I26</f>
        <v>29.68450517817219</v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>25.44574682280948</v>
      </c>
      <c r="E10" s="57">
        <f>'Расчёт аннуитета'!E16</f>
        <v>23.68323572771956</v>
      </c>
      <c r="F10" s="57">
        <f>'Расчёт аннуитета'!F16</f>
        <v>22.57046943816774</v>
      </c>
      <c r="G10" s="57">
        <f>'Расчёт аннуитета'!G16</f>
        <v>22.001548737510106</v>
      </c>
      <c r="H10" s="57">
        <f>'Расчёт аннуитета'!H16</f>
        <v>18.772712397897372</v>
      </c>
      <c r="I10" s="57">
        <f>'Расчёт аннуитета'!I16</f>
        <v>14.087182092357084</v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>42.44877627365027</v>
      </c>
      <c r="E11" s="57">
        <f>'Расчёт аннуитета'!E22</f>
        <v>25.0195203406554</v>
      </c>
      <c r="F11" s="57">
        <f>'Расчёт аннуитета'!F22</f>
        <v>24.247222440251498</v>
      </c>
      <c r="G11" s="57">
        <f>'Расчёт аннуитета'!G22</f>
        <v>24.522059261419834</v>
      </c>
      <c r="H11" s="57">
        <f>'Расчёт аннуитета'!H22</f>
        <v>128.21075260229813</v>
      </c>
      <c r="I11" s="57">
        <f>'Расчёт аннуитета'!I22</f>
        <v>18.343000117918216</v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>67.89452309645975</v>
      </c>
      <c r="E12" s="69">
        <f>'Расчёт аннуитета'!E23</f>
        <v>48.70275606837497</v>
      </c>
      <c r="F12" s="69">
        <f>'Расчёт аннуитета'!F23</f>
        <v>46.81769187841925</v>
      </c>
      <c r="G12" s="69">
        <f>'Расчёт аннуитета'!G23</f>
        <v>46.52360799892994</v>
      </c>
      <c r="H12" s="69">
        <f>'Расчёт аннуитета'!H23</f>
        <v>146.9834650001955</v>
      </c>
      <c r="I12" s="69">
        <f>'Расчёт аннуитета'!I23</f>
        <v>32.4301822102753</v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>24.361149299052656</v>
      </c>
      <c r="E13" s="57">
        <f>'Расчёт аннуитета'!E25</f>
        <v>17.474975266729448</v>
      </c>
      <c r="F13" s="57">
        <f>'Расчёт аннуитета'!F25</f>
        <v>16.798597731761483</v>
      </c>
      <c r="G13" s="57">
        <f>'Расчёт аннуитета'!G25</f>
        <v>16.693077861115874</v>
      </c>
      <c r="H13" s="57">
        <f>'Расчёт аннуитета'!H25</f>
        <v>52.73895407254952</v>
      </c>
      <c r="I13" s="57">
        <f>'Расчёт аннуитета'!I25</f>
        <v>11.636233301139326</v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RANK(D12,D12:I12,1)</f>
        <v>5.0</v>
      </c>
      <c r="E15" s="18">
        <f>RANK(E12,D12:I12,1)</f>
        <v>4.0</v>
      </c>
      <c r="F15" s="18">
        <f>RANK(F12,D12:I12,1)</f>
        <v>3.0</v>
      </c>
      <c r="G15" s="18">
        <f>RANK(G12,D12:I12,1)</f>
        <v>2.0</v>
      </c>
      <c r="H15" s="18">
        <f>RANK(H12,D12:I12,1)</f>
        <v>6.0</v>
      </c>
      <c r="I15" s="18">
        <f>RANK(I12,D12:I12,1)</f>
        <v>1.0</v>
      </c>
    </row>
    <row r="16">
      <c r="B16" s="71" t="inlineStr">
        <is>
          <t>Отклонение от лучшего</t>
        </is>
      </c>
      <c r="D16" s="72">
        <f>D12/MIN(D12:I12)-1</f>
        <v>1.0935597171867815</v>
      </c>
      <c r="E16" s="72">
        <f>E12/MIN(D12:I12)-1</f>
        <v>0.5017725078628701</v>
      </c>
      <c r="F16" s="72">
        <f>F12/MIN(D12:I12)-1</f>
        <v>0.44364566239117087</v>
      </c>
      <c r="G16" s="72">
        <f>G12/MIN(D12:I12)-1</f>
        <v>0.43457744693735423</v>
      </c>
      <c r="H16" s="72">
        <f>H12/MIN(D12:I12)-1</f>
        <v>3.532304630518688</v>
      </c>
      <c r="I16" s="72">
        <f>I12/MIN(D12:I12)-1</f>
        <v>0.0</v>
      </c>
    </row>
    <row r="18">
      <c r="B18" s="73" t="inlineStr">
        <is>
          <t>РЕКОМЕНДУЕМЫЙ ВАРИАНТ:</t>
        </is>
      </c>
      <c r="C18" s="74" t="str">
        <f>INDEX(D4:I4,MATCH(MIN(D12:I12),D12:I12,0))&amp;"  ("&amp;TEXT(MIN(D12:I12),"0.00")&amp;" руб/м³)"</f>
        <v>TZCO TZ2000
Дзикай  (32.43 руб/м³)</v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 t="str">
        <f>'Ввод данных'!D7</f>
        <v>Komatsu PC2000-8
Mining Solutions</v>
      </c>
      <c r="E21" s="15" t="str">
        <f>'Ввод данных'!E7</f>
        <v>Komatsu PC2000-11R
ИСТК</v>
      </c>
      <c r="F21" s="15" t="str">
        <f>'Ввод данных'!F7</f>
        <v>Zoomlion ZE2000G
Орикс</v>
      </c>
      <c r="G21" s="15" t="str">
        <f>'Ввод данных'!G7</f>
        <v>Sany SY2000
АСТ</v>
      </c>
      <c r="H21" s="15" t="str">
        <f>'Ввод данных'!H7</f>
        <v>Shantui SE2000LCW</v>
      </c>
      <c r="I21" s="15" t="str">
        <f>'Ввод данных'!I7</f>
        <v>TZCO TZ2000
Дзикай</v>
      </c>
    </row>
    <row r="22">
      <c r="B22" s="22" t="inlineStr">
        <is>
          <t>Инвестиционный</t>
        </is>
      </c>
      <c r="D22" s="57">
        <f>'Расчёт аннуитета'!D16</f>
        <v>25.44574682280948</v>
      </c>
      <c r="E22" s="57">
        <f>'Расчёт аннуитета'!E16</f>
        <v>23.68323572771956</v>
      </c>
      <c r="F22" s="57">
        <f>'Расчёт аннуитета'!F16</f>
        <v>22.57046943816774</v>
      </c>
      <c r="G22" s="57">
        <f>'Расчёт аннуитета'!G16</f>
        <v>22.001548737510106</v>
      </c>
      <c r="H22" s="57">
        <f>'Расчёт аннуитета'!H16</f>
        <v>18.772712397897372</v>
      </c>
      <c r="I22" s="57">
        <f>'Расчёт аннуитета'!I16</f>
        <v>14.087182092357084</v>
      </c>
    </row>
    <row r="23">
      <c r="B23" s="22" t="inlineStr">
        <is>
          <t>Дизтопливо</t>
        </is>
      </c>
      <c r="D23" s="57">
        <f>'Расчёт аннуитета'!D17</f>
        <v>11.362399528707835</v>
      </c>
      <c r="E23" s="57">
        <f>'Расчёт аннуитета'!E17</f>
        <v>10.945211914704581</v>
      </c>
      <c r="F23" s="57">
        <f>'Расчёт аннуитета'!F17</f>
        <v>11.518704314039947</v>
      </c>
      <c r="G23" s="57">
        <f>'Расчёт аннуитета'!G17</f>
        <v>11.749767760880381</v>
      </c>
      <c r="H23" s="57">
        <f>'Расчёт аннуитета'!H17</f>
        <v>13.021255015317237</v>
      </c>
      <c r="I23" s="57">
        <f>'Расчёт аннуитета'!I17</f>
        <v>12.497378814991473</v>
      </c>
    </row>
    <row r="24">
      <c r="B24" s="22" t="inlineStr">
        <is>
          <t>ТОиР + капремонты</t>
        </is>
      </c>
      <c r="D24" s="57">
        <f>'Расчёт аннуитета'!D18</f>
        <v>45.429674069815164</v>
      </c>
      <c r="E24" s="57">
        <f>'Расчёт аннуитета'!E18</f>
        <v>21.99682607500345</v>
      </c>
      <c r="F24" s="57">
        <f>'Расчёт аннуитета'!F18</f>
        <v>19.641595600644116</v>
      </c>
      <c r="G24" s="57">
        <f>'Расчёт аннуитета'!G18</f>
        <v>19.641595600644116</v>
      </c>
      <c r="H24" s="57">
        <f>'Расчёт аннуитета'!H18</f>
        <v>155.85333561669972</v>
      </c>
      <c r="I24" s="57">
        <f>'Расчёт аннуитета'!I18</f>
        <v>9.814749587132479</v>
      </c>
    </row>
    <row r="25">
      <c r="B25" s="22" t="inlineStr">
        <is>
          <t>Расходники на ковш</t>
        </is>
      </c>
      <c r="D25" s="57">
        <f>'Расчёт аннуитета'!D19</f>
        <v>0.8840433160316212</v>
      </c>
      <c r="E25" s="57">
        <f>'Расчёт аннуитета'!E19</f>
        <v>0.8778831160601944</v>
      </c>
      <c r="F25" s="57">
        <f>'Расчёт аннуитета'!F19</f>
        <v>0.878624069981835</v>
      </c>
      <c r="G25" s="57">
        <f>'Расчёт аннуитета'!G19</f>
        <v>0.878624069981835</v>
      </c>
      <c r="H25" s="57">
        <f>'Расчёт аннуитета'!H19</f>
        <v>0.878624069981835</v>
      </c>
      <c r="I25" s="57">
        <f>'Расчёт аннуитета'!I19</f>
        <v>0.8786240699818348</v>
      </c>
    </row>
    <row r="26">
      <c r="B26" s="22" t="inlineStr">
        <is>
          <t>Персонал</t>
        </is>
      </c>
      <c r="D26" s="57">
        <f>'Расчёт аннуитета'!D20</f>
        <v>4.97755743541268</v>
      </c>
      <c r="E26" s="57">
        <f>'Расчёт аннуитета'!E20</f>
        <v>5.175321841777693</v>
      </c>
      <c r="F26" s="57">
        <f>'Расчёт аннуитета'!F20</f>
        <v>5.661784239134619</v>
      </c>
      <c r="G26" s="57">
        <f>'Расчёт аннуитета'!G20</f>
        <v>5.661784239134619</v>
      </c>
      <c r="H26" s="57">
        <f>'Расчёт аннуитета'!H20</f>
        <v>5.661784239134619</v>
      </c>
      <c r="I26" s="57">
        <f>'Расчёт аннуитета'!I20</f>
        <v>4.618897562000193</v>
      </c>
    </row>
    <row r="27">
      <c r="B27" s="22" t="inlineStr">
        <is>
          <t>Налог (щит)</t>
        </is>
      </c>
      <c r="D27" s="57">
        <f>'Расчёт аннуитета'!D21</f>
        <v>-20.204898076317036</v>
      </c>
      <c r="E27" s="57">
        <f>'Расчёт аннуитета'!E21</f>
        <v>-13.975722606890514</v>
      </c>
      <c r="F27" s="57">
        <f>'Расчёт аннуитета'!F21</f>
        <v>-13.453485783549018</v>
      </c>
      <c r="G27" s="57">
        <f>'Расчёт аннуитета'!G21</f>
        <v>-13.409712409221116</v>
      </c>
      <c r="H27" s="57">
        <f>'Расчёт аннуитета'!H21</f>
        <v>-47.20424633883528</v>
      </c>
      <c r="I27" s="57">
        <f>'Расчёт аннуитета'!I21</f>
        <v>-9.466649916187768</v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Komatsu PC2000-8
Mining Solutions</v>
      </c>
      <c r="E4" s="15" t="str">
        <f>'Ввод данных'!E7</f>
        <v>Komatsu PC2000-11R
ИСТК</v>
      </c>
      <c r="F4" s="15" t="str">
        <f>'Ввод данных'!F7</f>
        <v>Zoomlion ZE2000G
Орикс</v>
      </c>
      <c r="G4" s="15" t="str">
        <f>'Ввод данных'!G7</f>
        <v>Sany SY2000
АСТ</v>
      </c>
      <c r="H4" s="15" t="str">
        <f>'Ввод данных'!H7</f>
        <v>Shantui SE2000LCW</v>
      </c>
      <c r="I4" s="15" t="str">
        <f>'Ввод данных'!I7</f>
        <v>TZCO TZ2000
Дзикай</v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>289278.04</v>
      </c>
      <c r="E6" s="56">
        <f>'Производительность'!E5</f>
        <v>258952.56631199998</v>
      </c>
      <c r="F6" s="56">
        <f>'Производительность'!F5</f>
        <v>225581.67719999998</v>
      </c>
      <c r="G6" s="56">
        <f>'Производительность'!G5</f>
        <v>219895.57101599997</v>
      </c>
      <c r="H6" s="56">
        <f>'Производительность'!H5</f>
        <v>187624.80594</v>
      </c>
      <c r="I6" s="56">
        <f>'Производительность'!I5</f>
        <v>172584.72</v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>2012.031027256176</v>
      </c>
      <c r="E7" s="56">
        <f>'Расчёт аннуитета'!E14</f>
        <v>1935.1453506048806</v>
      </c>
      <c r="F7" s="56">
        <f>'Расчёт аннуитета'!F14</f>
        <v>1768.877014206169</v>
      </c>
      <c r="G7" s="56">
        <f>'Расчёт аннуитета'!G14</f>
        <v>1768.877014206169</v>
      </c>
      <c r="H7" s="56">
        <f>'Расчёт аннуитета'!H14</f>
        <v>1768.877014206169</v>
      </c>
      <c r="I7" s="56">
        <f>'Расчёт аннуитета'!I14</f>
        <v>2168.2663158398864</v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>0.8399500570776256</v>
      </c>
      <c r="E8" s="59">
        <f>AVERAGE('Данные по годам'!E12:N12)</f>
        <v>0.8078530726788433</v>
      </c>
      <c r="F8" s="59">
        <f>AVERAGE('Данные по годам'!E17:N17)</f>
        <v>0.7384420662100457</v>
      </c>
      <c r="G8" s="59">
        <f>AVERAGE('Данные по годам'!E22:N22)</f>
        <v>0.7384420662100457</v>
      </c>
      <c r="H8" s="59">
        <f>AVERAGE('Данные по годам'!E27:N27)</f>
        <v>0.7384420662100457</v>
      </c>
      <c r="I8" s="59">
        <f>AVERAGE('Данные по годам'!E32:N32)</f>
        <v>0.7384420662100457</v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>67.89452309645975</v>
      </c>
      <c r="E9" s="68">
        <f>'Расчёт аннуитета'!E23</f>
        <v>48.70275606837497</v>
      </c>
      <c r="F9" s="68">
        <f>'Расчёт аннуитета'!F23</f>
        <v>46.81769187841925</v>
      </c>
      <c r="G9" s="68">
        <f>'Расчёт аннуитета'!G23</f>
        <v>46.52360799892994</v>
      </c>
      <c r="H9" s="68">
        <f>'Расчёт аннуитета'!H23</f>
        <v>146.9834650001955</v>
      </c>
      <c r="I9" s="68">
        <f>'Расчёт аннуитета'!I23</f>
        <v>32.4301822102753</v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>24.361149299052656</v>
      </c>
      <c r="E10" s="57">
        <f>'Расчёт аннуитета'!E25</f>
        <v>17.474975266729448</v>
      </c>
      <c r="F10" s="57">
        <f>'Расчёт аннуитета'!F25</f>
        <v>16.798597731761483</v>
      </c>
      <c r="G10" s="57">
        <f>'Расчёт аннуитета'!G25</f>
        <v>16.693077861115874</v>
      </c>
      <c r="H10" s="57">
        <f>'Расчёт аннуитета'!H25</f>
        <v>52.73895407254952</v>
      </c>
      <c r="I10" s="57">
        <f>'Расчёт аннуитета'!I25</f>
        <v>11.636233301139326</v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>771853.7288311392</v>
      </c>
      <c r="E11" s="56">
        <f>'Расчёт аннуитета'!E13</f>
        <v>532516.0723545861</v>
      </c>
      <c r="F11" s="56">
        <f>'Расчёт аннуитета'!F13</f>
        <v>467921.7455135033</v>
      </c>
      <c r="G11" s="56">
        <f>'Расчёт аннуитета'!G13</f>
        <v>464982.50958159595</v>
      </c>
      <c r="H11" s="56">
        <f>'Расчёт аннуитета'!H13</f>
        <v>1469033.5372175248</v>
      </c>
      <c r="I11" s="56">
        <f>'Расчёт аннуитета'!I13</f>
        <v>397308.26787182206</v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>0.3747834974355436</v>
      </c>
      <c r="E12" s="59">
        <f>'Расчёт аннуитета'!E16/'Расчёт аннуитета'!E23</f>
        <v>0.4862812218361954</v>
      </c>
      <c r="F12" s="59">
        <f>'Расчёт аннуитета'!F16/'Расчёт аннуитета'!F23</f>
        <v>0.48209274170928673</v>
      </c>
      <c r="G12" s="59">
        <f>'Расчёт аннуитета'!G16/'Расчёт аннуитета'!G23</f>
        <v>0.4729114891092744</v>
      </c>
      <c r="H12" s="59">
        <f>'Расчёт аннуитета'!H16/'Расчёт аннуитета'!H23</f>
        <v>0.12771989283197535</v>
      </c>
      <c r="I12" s="59">
        <f>'Расчёт аннуитета'!I16/'Расчёт аннуитета'!I23</f>
        <v>0.4343849196102774</v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>0.16735369821458115</v>
      </c>
      <c r="E13" s="59">
        <f>'Расчёт аннуитета'!E17/'Расчёт аннуитета'!E23</f>
        <v>0.22473495954393907</v>
      </c>
      <c r="F13" s="59">
        <f>'Расчёт аннуитета'!F17/'Расчёт аннуитета'!F23</f>
        <v>0.24603315225263225</v>
      </c>
      <c r="G13" s="59">
        <f>'Расчёт аннуитета'!G17/'Расчёт аннуитета'!G23</f>
        <v>0.25255495577966847</v>
      </c>
      <c r="H13" s="59">
        <f>'Расчёт аннуитета'!H17/'Расчёт аннуитета'!H23</f>
        <v>0.08858993095107615</v>
      </c>
      <c r="I13" s="59">
        <f>'Расчёт аннуитета'!I17/'Расчёт аннуитета'!I23</f>
        <v>0.3853625839645069</v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>0.6691213370078745</v>
      </c>
      <c r="E14" s="59">
        <f>'Расчёт аннуитета'!E18/'Расчёт аннуитета'!E23</f>
        <v>0.4516546464869787</v>
      </c>
      <c r="F14" s="59">
        <f>'Расчёт аннуитета'!F18/'Расчёт аннуитета'!F23</f>
        <v>0.41953361672872147</v>
      </c>
      <c r="G14" s="59">
        <f>'Расчёт аннуитета'!G18/'Расчёт аннуитета'!G23</f>
        <v>0.4221855622439231</v>
      </c>
      <c r="H14" s="59">
        <f>'Расчёт аннуитета'!H18/'Расчёт аннуитета'!H23</f>
        <v>1.0603460437981402</v>
      </c>
      <c r="I14" s="59">
        <f>'Расчёт аннуитета'!I18/'Расчёт аннуитета'!I23</f>
        <v>0.30264244349582275</v>
      </c>
    </row>
    <row r="15">
      <c r="B15" s="37" t="inlineStr">
        <is>
          <t>Место в рейтинге</t>
        </is>
      </c>
      <c r="C15" s="24" t="inlineStr"/>
      <c r="D15" s="60">
        <f>RANK(D9,D9:I9,1)</f>
        <v>5.0</v>
      </c>
      <c r="E15" s="60">
        <f>RANK(E9,D9:I9,1)</f>
        <v>4.0</v>
      </c>
      <c r="F15" s="60">
        <f>RANK(F9,D9:I9,1)</f>
        <v>3.0</v>
      </c>
      <c r="G15" s="60">
        <f>RANK(G9,D9:I9,1)</f>
        <v>2.0</v>
      </c>
      <c r="H15" s="60">
        <f>RANK(H9,D9:I9,1)</f>
        <v>6.0</v>
      </c>
      <c r="I15" s="60">
        <f>RANK(I9,D9:I9,1)</f>
        <v>1.0</v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аннуитета'!D16-MIN(D16:I16)</f>
        <v>25.44574682280948</v>
      </c>
      <c r="E17" s="57">
        <f>'Расчёт аннуитета'!E16-MIN(D16:I16)</f>
        <v>23.68323572771956</v>
      </c>
      <c r="F17" s="57">
        <f>'Расчёт аннуитета'!F16-MIN(D16:I16)</f>
        <v>22.57046943816774</v>
      </c>
      <c r="G17" s="57">
        <f>'Расчёт аннуитета'!G16-MIN(D16:I16)</f>
        <v>22.001548737510106</v>
      </c>
      <c r="H17" s="57">
        <f>'Расчёт аннуитета'!H16-MIN(D16:I16)</f>
        <v>18.772712397897372</v>
      </c>
      <c r="I17" s="57">
        <f>'Расчёт аннуитета'!I16-MIN(D16:I16)</f>
        <v>14.087182092357084</v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аннуитета'!D17-MIN(D17:I17)</f>
        <v>-2.7247825636492493</v>
      </c>
      <c r="E18" s="57">
        <f>'Расчёт аннуитета'!E17-MIN(D17:I17)</f>
        <v>-3.141970177652503</v>
      </c>
      <c r="F18" s="57">
        <f>'Расчёт аннуитета'!F17-MIN(D17:I17)</f>
        <v>-2.5684777783171366</v>
      </c>
      <c r="G18" s="57">
        <f>'Расчёт аннуитета'!G17-MIN(D17:I17)</f>
        <v>-2.337414331476703</v>
      </c>
      <c r="H18" s="57">
        <f>'Расчёт аннуитета'!H17-MIN(D17:I17)</f>
        <v>-1.0659270770398468</v>
      </c>
      <c r="I18" s="57">
        <f>'Расчёт аннуитета'!I17-MIN(D17:I17)</f>
        <v>-1.5898032773656112</v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аннуитета'!D18-MIN(D18:I18)</f>
        <v>48.57164424746767</v>
      </c>
      <c r="E19" s="57">
        <f>'Расчёт аннуитета'!E18-MIN(D18:I18)</f>
        <v>25.138796252655954</v>
      </c>
      <c r="F19" s="57">
        <f>'Расчёт аннуитета'!F18-MIN(D18:I18)</f>
        <v>22.78356577829662</v>
      </c>
      <c r="G19" s="57">
        <f>'Расчёт аннуитета'!G18-MIN(D18:I18)</f>
        <v>22.78356577829662</v>
      </c>
      <c r="H19" s="57">
        <f>'Расчёт аннуитета'!H18-MIN(D18:I18)</f>
        <v>158.99530579435222</v>
      </c>
      <c r="I19" s="57">
        <f>'Расчёт аннуитета'!I18-MIN(D18:I18)</f>
        <v>12.956719764784982</v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аннуитета'!D20-MIN(D20:I20)</f>
        <v/>
      </c>
      <c r="E20" s="57">
        <f>'Расчёт аннуитета'!E20-MIN(D20:I20)</f>
        <v/>
      </c>
      <c r="F20" s="57">
        <f>'Расчёт аннуитета'!F20-MIN(D20:I20)</f>
        <v/>
      </c>
      <c r="G20" s="57">
        <f>'Расчёт аннуитета'!G20-MIN(D20:I20)</f>
        <v/>
      </c>
      <c r="H20" s="57">
        <f>'Расчёт аннуитета'!H20-MIN(D20:I20)</f>
        <v/>
      </c>
      <c r="I20" s="57">
        <f>'Расчёт аннуитета'!I20-MIN(D20:I20)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аннуитета'!D21-MIN(D21:I21)</f>
        <v/>
      </c>
      <c r="E21" s="57">
        <f>'Расчёт аннуитета'!E21-MIN(D21:I21)</f>
        <v/>
      </c>
      <c r="F21" s="57">
        <f>'Расчёт аннуитета'!F21-MIN(D21:I21)</f>
        <v/>
      </c>
      <c r="G21" s="57">
        <f>'Расчёт аннуитета'!G21-MIN(D21:I21)</f>
        <v/>
      </c>
      <c r="H21" s="57">
        <f>'Расчёт аннуитета'!H21-MIN(D21:I21)</f>
        <v/>
      </c>
      <c r="I21" s="57">
        <f>'Расчёт аннуитета'!I21-MIN(D21:I21)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D9-MIN(D9:I9)</f>
        <v>35.46434088618445</v>
      </c>
      <c r="E22" s="68">
        <f>E9-MIN(D9:I9)</f>
        <v>16.27257385809967</v>
      </c>
      <c r="F22" s="68">
        <f>F9-MIN(D9:I9)</f>
        <v>14.387509668143949</v>
      </c>
      <c r="G22" s="68">
        <f>G9-MIN(D9:I9)</f>
        <v>14.093425788654642</v>
      </c>
      <c r="H22" s="68">
        <f>H9-MIN(D9:I9)</f>
        <v>114.55328278992022</v>
      </c>
      <c r="I22" s="68">
        <f>I9-MIN(D9:I9)</f>
        <v>0.0</v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>60.56312680419814</v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>43.161017227469486</v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>41.384827061575116</v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>41.09227115874771</v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>132.28070618668693</v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>28.198508326795</v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>67.89452309645975</v>
      </c>
      <c r="E25" s="68">
        <f>'Расчёт аннуитета'!E23</f>
        <v>48.70275606837497</v>
      </c>
      <c r="F25" s="68">
        <f>'Расчёт аннуитета'!F23</f>
        <v>46.81769187841925</v>
      </c>
      <c r="G25" s="68">
        <f>'Расчёт аннуитета'!G23</f>
        <v>46.52360799892994</v>
      </c>
      <c r="H25" s="68">
        <f>'Расчёт аннуитета'!H23</f>
        <v>146.9834650001955</v>
      </c>
      <c r="I25" s="68">
        <f>'Расчёт аннуитета'!I23</f>
        <v>32.4301822102753</v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>76.35012303017022</v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>54.98953856660591</v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>52.94591757393806</v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>52.63969668089132</v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>164.3747811049141</v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>37.046789009418255</v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>15.786996225972082</v>
      </c>
      <c r="E27" s="57">
        <f>E26-E24</f>
        <v>11.828521339136422</v>
      </c>
      <c r="F27" s="57">
        <f>F26-F24</f>
        <v>11.561090512362945</v>
      </c>
      <c r="G27" s="57">
        <f>G26-G24</f>
        <v>11.547425522143612</v>
      </c>
      <c r="H27" s="57">
        <f>H26-H24</f>
        <v>32.094074918227165</v>
      </c>
      <c r="I27" s="57">
        <f>I26-I24</f>
        <v>8.848280682623255</v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>0.20722961022629646</v>
      </c>
      <c r="E29" s="57">
        <f>'Расчёт аннуитета'!E17/'Параметры'!C10</f>
        <v>0.19962086293460846</v>
      </c>
      <c r="F29" s="57">
        <f>'Расчёт аннуитета'!F17/'Параметры'!C10</f>
        <v>0.21008032671967805</v>
      </c>
      <c r="G29" s="57">
        <f>'Расчёт аннуитета'!G17/'Параметры'!C10</f>
        <v>0.21429450594346858</v>
      </c>
      <c r="H29" s="57">
        <f>'Расчёт аннуитета'!H17/'Параметры'!C10</f>
        <v>0.23748413305338753</v>
      </c>
      <c r="I29" s="57">
        <f>'Расчёт аннуитета'!I17/'Параметры'!C10</f>
        <v>0.22792957897121052</v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>11.362399528707835</v>
      </c>
      <c r="E30" s="57">
        <f>'Расчёт аннуитета'!E17</f>
        <v>10.945211914704581</v>
      </c>
      <c r="F30" s="57">
        <f>'Расчёт аннуитета'!F17</f>
        <v>11.518704314039947</v>
      </c>
      <c r="G30" s="57">
        <f>'Расчёт аннуитета'!G17</f>
        <v>11.749767760880381</v>
      </c>
      <c r="H30" s="57">
        <f>'Расчёт аннуитета'!H17</f>
        <v>13.021255015317237</v>
      </c>
      <c r="I30" s="57">
        <f>'Расчёт аннуитета'!I17</f>
        <v>12.497378814991473</v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>-0.6625165363442254</v>
      </c>
      <c r="E31" s="57">
        <f>-('Расчёт аннуитета'!E16+'Расчёт аннуитета'!E18+'Расчёт аннуитета'!E20+'Расчёт аннуитета'!E21)*0.01/AVERAGE('Данные по годам'!E12:N12)</f>
        <v>-0.4565144614145877</v>
      </c>
      <c r="F31" s="57">
        <f>-('Расчёт аннуитета'!F16+'Расчёт аннуитета'!F18+'Расчёт аннуитета'!F20+'Расчёт аннуитета'!F21)*0.01/AVERAGE('Данные по годам'!E17:N17)</f>
        <v>-0.4661213799892973</v>
      </c>
      <c r="G31" s="57">
        <f>-('Расчёт аннуитета'!G16+'Расчёт аннуитета'!G18+'Расчёт аннуитета'!G20+'Расчёт аннуитета'!G21)*0.01/AVERAGE('Данные по годам'!E22:N22)</f>
        <v>-0.45900982242290655</v>
      </c>
      <c r="H31" s="57">
        <f>-('Расчёт аннуитета'!H16+'Расчёт аннуитета'!H18+'Расчёт аннуитета'!H20+'Расчёт аннуитета'!H21)*0.01/AVERAGE('Данные по годам'!E27:N27)</f>
        <v>-1.8022210814442086</v>
      </c>
      <c r="I31" s="57">
        <f>-('Расчёт аннуитета'!I16+'Расчёт аннуитета'!I18+'Расчёт аннуитета'!I20+'Расчёт аннуитета'!I21)*0.01/AVERAGE('Данные по годам'!E32:N32)</f>
        <v>-0.25803214899572274</v>
      </c>
    </row>
    <row r="33">
      <c r="B33" s="73" t="inlineStr">
        <is>
          <t>ВЫВОД:</t>
        </is>
      </c>
      <c r="C33" s="77" t="str">
        <f>"Лучший по удельному TCO: "&amp;INDEX(D4:I4,MATCH(MIN(D9:I9),D9:I9,0))&amp;" ("&amp;TEXT(MIN(D9:I9),"0.00")&amp;" руб/м³, "&amp;TEXT(MIN(D10:I10),"0.00")&amp;" руб/т). "&amp;"Отрыв от худшего: "&amp;TEXT(MAX(D9:I9)-MIN(D9:I9),"0.00")&amp;" руб/м³."</f>
        <v>Лучший по удельному TCO: TZCO TZ2000
Дзикай (32.43 руб/м³, 11.64 руб/т). Отрыв от худшего: 114.55 руб/м³.</v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C33:I3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9" t="str">
        <f>INDEX('Ввод данных'!D7:I7,$C$4)</f>
        <v>Komatsu PC2000-8
Mining Solutions</v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аннуитета'!D23:I23,$C$4)</f>
        <v>67.89452309645975</v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аннуитета'!D16:I16,$C$4)</f>
        <v>25.44574682280948</v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аннуитета'!D17:I17,$C$4)</f>
        <v>11.362399528707835</v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аннуитета'!D18:I18,$C$4)</f>
        <v>45.429674069815164</v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аннуитета'!D20:I20,$C$4)</f>
        <v>4.97755743541268</v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аннуитета'!D14:I14,$C$4)</f>
        <v>2012.031027256176</v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INDEX('Производительность'!D5:I5,$C$4)</f>
        <v>289278.04</v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аннуитета'!D16:I16,$C$4)+INDEX('Расчёт аннуитета'!D18:I18,$C$4)+INDEX('Расчёт аннуитета'!D20:I20,$C$4)+INDEX('Расчёт аннуитета'!D21:I21,$C$4)</f>
        <v>55.64808025172029</v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аннуитета'!D17:I17,$C$4)+INDEX('Расчёт аннуитета'!D19:I19,$C$4)</f>
        <v>12.246442844739455</v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>66.19016316715357</v>
      </c>
      <c r="E19" s="57">
        <f>$D$7+0.2*($D$9*(1-'Параметры'!C7))</f>
        <v>69.59888302576593</v>
      </c>
      <c r="F19" s="57">
        <f>E19-D19</f>
        <v>3.4087198586123577</v>
      </c>
      <c r="I19" s="82">
        <f>D19-$D$7</f>
        <v>-1.7043599293061789</v>
      </c>
      <c r="J19" s="82">
        <f>E19-$D$7</f>
        <v>1.7043599293061789</v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>59.37645920836941</v>
      </c>
      <c r="E20" s="57">
        <f>$D$7+0.25*($D$10*(1-'Параметры'!C7))</f>
        <v>76.41258698455009</v>
      </c>
      <c r="F20" s="57">
        <f>E20-D20</f>
        <v>17.036127776180678</v>
      </c>
      <c r="I20" s="82">
        <f>D20-$D$7</f>
        <v>-8.518063888090339</v>
      </c>
      <c r="J20" s="82">
        <f>E20-$D$7</f>
        <v>8.518063888090339</v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>64.7588829963621</v>
      </c>
      <c r="E21" s="57">
        <f>$D$7+0.15*($D$8*(1-'Параметры'!C7*'Параметры'!C38))</f>
        <v>71.0301631965574</v>
      </c>
      <c r="F21" s="57">
        <f>E21-D21</f>
        <v>6.271280200195292</v>
      </c>
      <c r="I21" s="82">
        <f>D21-$D$7</f>
        <v>-3.135640100097646</v>
      </c>
      <c r="J21" s="82">
        <f>E21-$D$7</f>
        <v>3.135640100097646</v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>67.33454788497582</v>
      </c>
      <c r="E22" s="57">
        <f>$D$7+0.15*($D$11*(1-'Параметры'!C7))</f>
        <v>68.45449830794368</v>
      </c>
      <c r="F22" s="57">
        <f>E22-D22</f>
        <v>1.119950422967861</v>
      </c>
      <c r="I22" s="82">
        <f>D22-$D$7</f>
        <v>-0.5599752114839305</v>
      </c>
      <c r="J22" s="82">
        <f>E22-$D$7</f>
        <v>0.5599752114839305</v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>77.71477255264568</v>
      </c>
      <c r="D27" s="67">
        <f>$D$14/(1+-0.1)+$D$15</f>
        <v>74.07764312442866</v>
      </c>
      <c r="E27" s="69">
        <f>$D$14/(1+0.0)+$D$15</f>
        <v>67.89452309645975</v>
      </c>
      <c r="F27" s="67">
        <f>$D$14/(1+0.1)+$D$15</f>
        <v>62.83560670993971</v>
      </c>
      <c r="G27" s="67">
        <f>$D$14/(1+0.15)+$D$15</f>
        <v>60.63607784623536</v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данных'!D14:I14,$C$4)/(1+C30)^'Параметры'!C8)/((1-(1+C30)^-'Параметры'!C8)/C30)/$D$12+$D$7-$D$8</f>
        <v>63.87536354217907</v>
      </c>
      <c r="D31" s="67">
        <f>$D$13*(1-INDEX('Ввод данных'!D14:I14,$C$4)/(1+D30)^'Параметры'!C8)/((1-(1+D30)^-'Параметры'!C8)/D30)/$D$12+$D$7-$D$8</f>
        <v>65.84735622241008</v>
      </c>
      <c r="E31" s="69">
        <f>$D$13*(1-INDEX('Ввод данных'!D14:I14,$C$4)/(1+E30)^'Параметры'!C8)/((1-(1+E30)^-'Параметры'!C8)/E30)/$D$12+$D$7-$D$8</f>
        <v>67.89452309645975</v>
      </c>
      <c r="F31" s="67">
        <f>$D$13*(1-INDEX('Ввод данных'!D14:I14,$C$4)/(1+F30)^'Параметры'!C8)/((1-(1+F30)^-'Параметры'!C8)/F30)/$D$12+$D$7-$D$8</f>
        <v>70.01222663072055</v>
      </c>
      <c r="G31" s="67">
        <f>$D$13*(1-INDEX('Ввод данных'!D14:I14,$C$4)/(1+G30)^'Параметры'!C8)/((1-(1+G30)^-'Параметры'!C8)/G30)/$D$12+$D$7-$D$8</f>
        <v>72.19580252353752</v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2026-07-18T07:52:10Z</dcterms:created>
  <dcterms:modified xsi:type="dcterms:W3CDTF">2026-07-18T07:52:10Z</dcterms:modified>
</cp:coreProperties>
</file>