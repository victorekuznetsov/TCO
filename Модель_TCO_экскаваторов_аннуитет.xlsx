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Поставщик 7" sheetId="11" state="visible" r:id="rId11"/>
    <sheet name="Данные по годам" sheetId="12" state="visible" r:id="rId12"/>
    <sheet name="Производительность" sheetId="13" state="visible" r:id="rId13"/>
    <sheet name="Денежный поток" sheetId="14" state="visible" r:id="rId14"/>
    <sheet name="Расчёт аннуитета" sheetId="15" state="visible" r:id="rId15"/>
    <sheet name="Сравнение" sheetId="16" state="visible" r:id="rId16"/>
    <sheet name="Аналитика" sheetId="17" state="visible" r:id="rId17"/>
    <sheet name="Чувствительность" sheetId="18" state="visible" r:id="rId18"/>
    <sheet name="Справочник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'Сравнение'!$D$4:$J$4</f>
            </numRef>
          </cat>
          <val>
            <numRef>
              <f>'Сравнение'!$D$12:$J$12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руб/м³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поток'!$E$25:$N$25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поток'!$E$44:$N$44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поток'!$E$63:$N$63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поток'!$E$82:$N$82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поток'!$E$101:$N$101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поток'!$E$120:$N$120</f>
            </numRef>
          </val>
        </ser>
        <ser>
          <idx val="6"/>
          <order val="6"/>
          <tx>
            <strRef>
              <f>'Ввод данных'!J$7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поток'!$E$139:$N$139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руб/м³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'Сравнение'!$D$22:$J$22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'Сравнение'!$D$23:$J$23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'Сравнение'!$D$24:$J$24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'Сравнение'!$D$25:$J$25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'Сравнение'!$D$26:$J$26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'Сравнение'!$D$21:$J$21</f>
            </numRef>
          </cat>
          <val>
            <numRef>
              <f>'Сравнение'!$D$27:$J$27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'Сравнение'!$D$4:$J$4</f>
            </numRef>
          </cat>
          <val>
            <numRef>
              <f>'Сравнение'!$D$12:$J$12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экскаватора,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'Сравнение'!$D$4:$J$4</f>
            </numRef>
          </cat>
          <val>
            <numRef>
              <f>'Сравнение'!$D$5:$J$5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'Аналитика'!$D$7:$J$7</f>
            </numRef>
          </xVal>
          <yVal>
            <numRef>
              <f>'Аналитика'!$D$9:$J$9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объём, тыс.м³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руб/м³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'Аналитика'!$D$4:$J$4</f>
            </numRef>
          </cat>
          <val>
            <numRef>
              <f>'Аналитика'!$D$24:$J$24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'Аналитика'!$D$4:$J$4</f>
            </numRef>
          </cat>
          <val>
            <numRef>
              <f>'Аналитика'!$D$25:$J$25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'Аналитика'!$D$4:$J$4</f>
            </numRef>
          </cat>
          <val>
            <numRef>
              <f>'Аналитика'!$D$26:$J$26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руб/м³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(РУБ/М³) НА ВЛАДЕНИЕ ЭКСКАВАТОРАМИ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экскаваторов одного класса по удельному аннуитету затрат (руб/м³ вынутой горной массы) за полный срок эксплуатации. Метрика корректно сопоставляет машины с разной ценой, производительностью и структурой затрат. Лучший вариант — минимум руб/м³.</t>
        </is>
      </c>
    </row>
    <row r="6">
      <c r="B6" s="4" t="n"/>
      <c r="C6" s="5" t="inlineStr">
        <is>
          <t>2. ПРОИЗВОДИТЕЛЬНОСТЬ</t>
        </is>
      </c>
    </row>
    <row r="7" ht="60" customHeight="1">
      <c r="C7" s="6" t="inlineStr">
        <is>
          <t>Порода в ковше = ковш × плотность × (наполнение/разрыхление) × потери. Ковшей на самосвал = ОКРУГЛ.ВВЕРХ(грузоподъёмность / порода в ковше). Самосвалов/час = 3600/(ковшей × цикл + постановка а/с). т/ч = грузоподъёмность × самосвалов/час; м³/ч = т/ч / плотность. Годовой объём = м³/ч × эффективное время; эффективное время = КФВ × КТГ × (1 − простои/смена). КТГ снижается с возрастом машины.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дизтопливо (эфф.время × кг/ч × цена), ТОиР и сервис (задаются ПО ГОДАМ на листе «Данные по годам» — включают плановое ТО, текущие и капитальные ремонты; годы капремонтов дают всплеск затрат), расходники на ковш, персонал.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 КТГ также задаётся по годам.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(руб/м³) = общий аннуитет / средний годовой объём; руб/т = руб/м³ / плотность.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ковш, персонал) → листы «Поставщик 1…6»: по каждой машине встроены модели ТО (интервалы обслуживания → простои, запчасти, сервис) и Ремонтов (простои, текущие и капитальные ремонты, сервис по годам) — КТГ и ИТОГО ТОиР считаются автоматически снизу вверх.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 (многокритериальная оценка, разложение над лучшим, диапазон риска, ценность готовности), «Чувствительность». Правки — только в листах «Поставщик N».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Машины сравниваются в одном классе и одной задаче; разница в производительности учтена через руб/м³.</t>
        </is>
      </c>
    </row>
    <row r="16">
      <c r="C16" s="6" t="inlineStr">
        <is>
          <t>• Капремонты можно учитывать усреднённо (в ТОиР) или разнести по графику (раздел G ввода).</t>
        </is>
      </c>
    </row>
    <row r="17">
      <c r="C17" s="6" t="inlineStr">
        <is>
          <t>• Ставка дисконтирования и эскалации должны быть согласованы (номинальные либо реальные).</t>
        </is>
      </c>
    </row>
    <row r="18" ht="30" customHeight="1">
      <c r="C18" s="6" t="inlineStr">
        <is>
          <t>• Методика воспроизводит корпоративный подход «аннуитета руб/м³» с погодовым дисконтированием, амортизацией и налоговым щитом.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Ключевые показатели и графики.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руб/м³</t>
        </is>
      </c>
      <c r="D5" s="11" t="inlineStr">
        <is>
          <t>Мин. NPV владения, тыс.руб</t>
        </is>
      </c>
      <c r="E5" s="11" t="inlineStr">
        <is>
          <t>Разброс аннуитета, руб/м³</t>
        </is>
      </c>
    </row>
    <row r="6">
      <c r="B6" s="12" t="str">
        <f>INDEX('Ввод данных'!D7:J7,MATCH(MIN('Расчёт аннуитета'!D23:J23),'Расчёт аннуитета'!D23:J23,0))</f>
        <v>XCMG ESTAR ESE2000
(поставщик не указан)</v>
      </c>
      <c r="C6" s="13">
        <f>MIN('Расчёт аннуитета'!D23:J23)</f>
        <v>31.400790181392175</v>
      </c>
      <c r="D6" s="14">
        <f>MIN('Расчёт аннуитета'!D13:J13)</f>
        <v>387032.4079081201</v>
      </c>
      <c r="E6" s="13">
        <f>MAX('Расчёт аннуитета'!D23:J23)-MIN('Расчёт аннуитета'!D23:J23)</f>
        <v>115.22460404743933</v>
      </c>
    </row>
    <row r="8">
      <c r="B8" s="5" t="inlineStr">
        <is>
          <t>РЕЙТИНГ ПО УДЕЛЬНОМУ АННУИТЕТУ (руб/м³)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Экскаватор</t>
        </is>
      </c>
      <c r="D9" s="16" t="n"/>
      <c r="E9" s="16" t="n"/>
      <c r="F9" s="17" t="n"/>
      <c r="G9" s="15" t="inlineStr">
        <is>
          <t>Аннуитет, руб/м³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данных'!D7:J7,MATCH(SMALL('Расчёт аннуитета'!D23:J23,1),'Расчёт аннуитета'!D23:J23,0))</f>
        <v>XCMG ESTAR ESE2000
(поставщик не указан)</v>
      </c>
      <c r="G10" s="20">
        <f>SMALL('Расчёт аннуитета'!D23:J23,1)</f>
        <v>31.400790181392175</v>
      </c>
      <c r="I10" s="21">
        <f>INDEX('Расчёт аннуитета'!$D$25:$J$25,MATCH(SMALL('Расчёт аннуитета'!D23:J23,1),'Расчёт аннуитета'!D23:J23,0))</f>
        <v>11.266878428917178</v>
      </c>
    </row>
    <row r="11">
      <c r="B11" s="18" t="n">
        <v>2</v>
      </c>
      <c r="C11" s="22" t="str">
        <f>INDEX('Ввод данных'!D7:J7,MATCH(SMALL('Расчёт аннуитета'!D23:J23,2),'Расчёт аннуитета'!D23:J23,0))</f>
        <v>TZCO TZ2000
Дзикай</v>
      </c>
      <c r="G11" s="21">
        <f>SMALL('Расчёт аннуитета'!D23:J23,2)</f>
        <v>31.591417860428848</v>
      </c>
      <c r="I11" s="21">
        <f>INDEX('Расчёт аннуитета'!$D$25:$J$25,MATCH(SMALL('Расчёт аннуитета'!D23:J23,2),'Расчёт аннуитета'!D23:J23,0))</f>
        <v>11.335277309088212</v>
      </c>
    </row>
    <row r="12">
      <c r="B12" s="18" t="n">
        <v>3</v>
      </c>
      <c r="C12" s="22" t="str">
        <f>INDEX('Ввод данных'!D7:J7,MATCH(SMALL('Расчёт аннуитета'!D23:J23,3),'Расчёт аннуитета'!D23:J23,0))</f>
        <v>Sany SY2000
АСТ</v>
      </c>
      <c r="G12" s="21">
        <f>SMALL('Расчёт аннуитета'!D23:J23,3)</f>
        <v>45.546682185880464</v>
      </c>
      <c r="I12" s="21">
        <f>INDEX('Расчёт аннуитета'!$D$25:$J$25,MATCH(SMALL('Расчёт аннуитета'!D23:J23,3),'Расчёт аннуитета'!D23:J23,0))</f>
        <v>16.342548326473075</v>
      </c>
    </row>
    <row r="13">
      <c r="B13" s="18" t="n">
        <v>4</v>
      </c>
      <c r="C13" s="22" t="str">
        <f>INDEX('Ввод данных'!D7:J7,MATCH(SMALL('Расчёт аннуитета'!D23:J23,4),'Расчёт аннуитета'!D23:J23,0))</f>
        <v>Zoomlion ZE2000G
Орикс</v>
      </c>
      <c r="G13" s="21">
        <f>SMALL('Расчёт аннуитета'!D23:J23,4)</f>
        <v>45.840766065369756</v>
      </c>
      <c r="I13" s="21">
        <f>INDEX('Расчёт аннуитета'!$D$25:$J$25,MATCH(SMALL('Расчёт аннуитета'!D23:J23,4),'Расчёт аннуитета'!D23:J23,0))</f>
        <v>16.44806819711868</v>
      </c>
    </row>
    <row r="14">
      <c r="B14" s="18" t="n">
        <v>5</v>
      </c>
      <c r="C14" s="22" t="str">
        <f>INDEX('Ввод данных'!D7:J7,MATCH(SMALL('Расчёт аннуитета'!D23:J23,5),'Расчёт аннуитета'!D23:J23,0))</f>
        <v>Komatsu PC2000-11R
ИСТК</v>
      </c>
      <c r="G14" s="21">
        <f>SMALL('Расчёт аннуитета'!D23:J23,5)</f>
        <v>48.69179403102814</v>
      </c>
      <c r="I14" s="21">
        <f>INDEX('Расчёт аннуитета'!$D$25:$J$25,MATCH(SMALL('Расчёт аннуитета'!D23:J23,5),'Расчёт аннуитета'!D23:J23,0))</f>
        <v>17.471041991757495</v>
      </c>
    </row>
    <row r="15">
      <c r="B15" s="18" t="n">
        <v>6</v>
      </c>
      <c r="C15" s="22" t="str">
        <f>INDEX('Ввод данных'!D7:J7,MATCH(SMALL('Расчёт аннуитета'!D23:J23,6),'Расчёт аннуитета'!D23:J23,0))</f>
        <v>Komatsu PC2000-8
Mining Solutions</v>
      </c>
      <c r="G15" s="21">
        <f>SMALL('Расчёт аннуитета'!D23:J23,6)</f>
        <v>67.82057983421744</v>
      </c>
      <c r="I15" s="21">
        <f>INDEX('Расчёт аннуитета'!$D$25:$J$25,MATCH(SMALL('Расчёт аннуитета'!D23:J23,6),'Расчёт аннуитета'!D23:J23,0))</f>
        <v>24.334617809191762</v>
      </c>
    </row>
    <row r="16">
      <c r="B16" s="18" t="n">
        <v>7</v>
      </c>
      <c r="C16" s="22" t="str">
        <f>INDEX('Ввод данных'!D7:J7,MATCH(SMALL('Расчёт аннуитета'!D23:J23,7),'Расчёт аннуитета'!D23:J23,0))</f>
        <v>Shantui SE2000LCW</v>
      </c>
      <c r="G16" s="21">
        <f>SMALL('Расчёт аннуитета'!D23:J23,7)</f>
        <v>146.6253942288315</v>
      </c>
      <c r="I16" s="21">
        <f>INDEX('Расчёт аннуитета'!$D$25:$J$25,MATCH(SMALL('Расчёт аннуитета'!D23:J23,7),'Расчёт аннуитета'!D23:J23,0))</f>
        <v>52.61047514489828</v>
      </c>
    </row>
  </sheetData>
  <mergeCells count="24">
    <mergeCell ref="G12:H12"/>
    <mergeCell ref="G11:H11"/>
    <mergeCell ref="B8:J8"/>
    <mergeCell ref="B5"/>
    <mergeCell ref="D5"/>
    <mergeCell ref="C13:F13"/>
    <mergeCell ref="G10:H10"/>
    <mergeCell ref="C15:F15"/>
    <mergeCell ref="G13:H13"/>
    <mergeCell ref="C5"/>
    <mergeCell ref="C14:F14"/>
    <mergeCell ref="E5"/>
    <mergeCell ref="G15:H15"/>
    <mergeCell ref="C16:F16"/>
    <mergeCell ref="G14:H14"/>
    <mergeCell ref="B4:J4"/>
    <mergeCell ref="C10:F10"/>
    <mergeCell ref="B2:N2"/>
    <mergeCell ref="C9:F9"/>
    <mergeCell ref="B1:N1"/>
    <mergeCell ref="G16:H16"/>
    <mergeCell ref="C12:F12"/>
    <mergeCell ref="C11:F11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2" customWidth="1" min="4" max="4"/>
    <col width="52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5.17</v>
      </c>
      <c r="D9" s="24" t="inlineStr">
        <is>
          <t>лет</t>
        </is>
      </c>
      <c r="E9" s="25" t="inlineStr">
        <is>
          <t>Линейная; 62 мес ≈ 5,17 года</t>
        </is>
      </c>
    </row>
    <row r="10">
      <c r="B10" s="22" t="inlineStr">
        <is>
          <t>Цена дизельного топлива</t>
        </is>
      </c>
      <c r="C10" s="27" t="n">
        <v>54.83</v>
      </c>
      <c r="D10" s="24" t="inlineStr">
        <is>
          <t>руб/кг</t>
        </is>
      </c>
      <c r="E10" s="25" t="inlineStr">
        <is>
          <t>Средняя цена на площадке эксплуатации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Рост цены ДТ (0 = данные уже с учётом инфляции)</t>
        </is>
      </c>
    </row>
    <row r="15">
      <c r="B15" s="22" t="inlineStr">
        <is>
          <t>Эскалация расходников и персонала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 (см. «Данные по годам»)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11.2068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76.1258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86.8976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(карьер)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Плотность породы</t>
        </is>
      </c>
      <c r="C27" s="28" t="n">
        <v>2.787</v>
      </c>
      <c r="D27" s="24" t="inlineStr">
        <is>
          <t>т/м³</t>
        </is>
      </c>
      <c r="E27" s="25" t="inlineStr">
        <is>
          <t>В целике; используется и для пересчёта руб/т</t>
        </is>
      </c>
    </row>
    <row r="28">
      <c r="B28" s="22" t="inlineStr">
        <is>
          <t>Коэффициент разрыхления</t>
        </is>
      </c>
      <c r="C28" s="27" t="n">
        <v>1.5</v>
      </c>
      <c r="D28" s="24" t="inlineStr">
        <is>
          <t>коэф.</t>
        </is>
      </c>
      <c r="E28" s="25" t="inlineStr"/>
    </row>
    <row r="29">
      <c r="B29" s="22" t="inlineStr">
        <is>
          <t>Коэффициент наполнения ковша</t>
        </is>
      </c>
      <c r="C29" s="27" t="n">
        <v>0.9</v>
      </c>
      <c r="D29" s="24" t="inlineStr">
        <is>
          <t>коэф.</t>
        </is>
      </c>
      <c r="E29" s="25" t="inlineStr"/>
    </row>
    <row r="30">
      <c r="B30" s="22" t="inlineStr">
        <is>
          <t>Коэффициент потерь при экскавации</t>
        </is>
      </c>
      <c r="C30" s="27" t="n">
        <v>0.9</v>
      </c>
      <c r="D30" s="24" t="inlineStr">
        <is>
          <t>коэф.</t>
        </is>
      </c>
      <c r="E30" s="25" t="inlineStr"/>
    </row>
    <row r="31">
      <c r="B31" s="22" t="inlineStr">
        <is>
          <t>Грузоподъёмность самосвала</t>
        </is>
      </c>
      <c r="C31" s="26" t="n">
        <v>136</v>
      </c>
      <c r="D31" s="24" t="inlineStr">
        <is>
          <t>т</t>
        </is>
      </c>
      <c r="E31" s="25" t="inlineStr">
        <is>
          <t>Эталонный самосвал для расчёта</t>
        </is>
      </c>
    </row>
    <row r="32">
      <c r="B32" s="22" t="inlineStr">
        <is>
          <t>Время постановки самосвала</t>
        </is>
      </c>
      <c r="C32" s="26" t="n">
        <v>32</v>
      </c>
      <c r="D32" s="24" t="inlineStr">
        <is>
          <t>сек</t>
        </is>
      </c>
      <c r="E32" s="25" t="inlineStr">
        <is>
          <t>Время оборота а/с под погрузку</t>
        </is>
      </c>
    </row>
    <row r="33">
      <c r="B33" s="22" t="inlineStr">
        <is>
          <t>Длительность смены</t>
        </is>
      </c>
      <c r="C33" s="26" t="n">
        <v>12</v>
      </c>
      <c r="D33" s="24" t="inlineStr">
        <is>
          <t>час</t>
        </is>
      </c>
      <c r="E33" s="25" t="inlineStr">
        <is>
          <t>Для пересчёта простоев</t>
        </is>
      </c>
    </row>
    <row r="35">
      <c r="B35" s="5" t="inlineStr">
        <is>
          <t>Расчётные финансовые коэффициенты</t>
        </is>
      </c>
      <c r="C35" s="4" t="n"/>
      <c r="D35" s="4" t="n"/>
      <c r="E35" s="4" t="n"/>
    </row>
    <row r="36">
      <c r="B36" s="15" t="inlineStr">
        <is>
          <t>Параметр</t>
        </is>
      </c>
      <c r="C36" s="15" t="inlineStr">
        <is>
          <t>Значение</t>
        </is>
      </c>
      <c r="D36" s="15" t="inlineStr">
        <is>
          <t>Ед.</t>
        </is>
      </c>
      <c r="E36" s="15" t="inlineStr">
        <is>
          <t>Комментарий</t>
        </is>
      </c>
    </row>
    <row r="37">
      <c r="B37" s="22" t="inlineStr">
        <is>
          <t>Коэф. аннуитета Σдиск.факторов (r, N)</t>
        </is>
      </c>
      <c r="C37" s="29">
        <f>IF('Параметры'!C6=0,'Параметры'!C8,(1-(1+'Параметры'!C6)^-'Параметры'!C8)/'Параметры'!C6)</f>
        <v>5.650223028410867</v>
      </c>
      <c r="D37" s="24" t="inlineStr">
        <is>
          <t>коэф.</t>
        </is>
      </c>
      <c r="E37" s="25" t="inlineStr">
        <is>
          <t>Сумма дисконт-факторов за срок службы</t>
        </is>
      </c>
    </row>
    <row r="38">
      <c r="B38" s="22" t="inlineStr">
        <is>
          <t>Коэф. приведённой амортизации</t>
        </is>
      </c>
      <c r="C38" s="29">
        <f>(1/'Параметры'!C9)*((1-(1+'Параметры'!C6)^-INT('Параметры'!C9))/'Параметры'!C6+('Параметры'!C9-INT('Параметры'!C9))*(1+'Параметры'!C6)^-(INT('Параметры'!C9)+1))</f>
        <v>0.713907832291132</v>
      </c>
      <c r="D38" s="24" t="inlineStr">
        <is>
          <t>коэф.</t>
        </is>
      </c>
      <c r="E38" s="25" t="inlineStr">
        <is>
          <t>Приведённая амортизация на 1 руб. цены (налог. щит)</t>
        </is>
      </c>
    </row>
    <row r="40">
      <c r="B40" s="7" t="inlineStr">
        <is>
          <t>Легенда:</t>
        </is>
      </c>
      <c r="C40" s="8" t="n"/>
      <c r="D40" s="9" t="inlineStr">
        <is>
          <t>— ввод данных</t>
        </is>
      </c>
    </row>
    <row r="41">
      <c r="C41" s="10" t="n"/>
      <c r="D41" s="9" t="inlineStr">
        <is>
          <t>— расчётные показатели</t>
        </is>
      </c>
    </row>
  </sheetData>
  <mergeCells count="9">
    <mergeCell ref="B18:E18"/>
    <mergeCell ref="B35:E35"/>
    <mergeCell ref="B4:E4"/>
    <mergeCell ref="B2:F2"/>
    <mergeCell ref="B12:E12"/>
    <mergeCell ref="D41:E41"/>
    <mergeCell ref="B24:E24"/>
    <mergeCell ref="B1:F1"/>
    <mergeCell ref="D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4" customWidth="1" min="11" max="11"/>
  </cols>
  <sheetData>
    <row r="1">
      <c r="B1" s="1" t="inlineStr">
        <is>
          <t>ВВОД ИСХОДНЫХ ДАННЫХ ПО ЭКСКАВАТОРАМ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6 машин одного класса. Пример: экскаваторы класса 2000 (~12 м³).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Экскаватор 1</t>
        </is>
      </c>
      <c r="E4" s="15" t="inlineStr">
        <is>
          <t>Экскаватор 2</t>
        </is>
      </c>
      <c r="F4" s="15" t="inlineStr">
        <is>
          <t>Экскаватор 3</t>
        </is>
      </c>
      <c r="G4" s="15" t="inlineStr">
        <is>
          <t>Экскаватор 4</t>
        </is>
      </c>
      <c r="H4" s="15" t="inlineStr">
        <is>
          <t>Экскаватор 5</t>
        </is>
      </c>
      <c r="I4" s="15" t="inlineStr">
        <is>
          <t>Экскаватор 6</t>
        </is>
      </c>
      <c r="J4" s="15" t="inlineStr">
        <is>
          <t>Экскаватор 7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0" t="inlineStr">
        <is>
          <t>Komatsu PC2000-8
Mining Solutions</t>
        </is>
      </c>
      <c r="E7" s="30" t="inlineStr">
        <is>
          <t>Komatsu PC2000-11R
ИСТК</t>
        </is>
      </c>
      <c r="F7" s="30" t="inlineStr">
        <is>
          <t>Zoomlion ZE2000G
Орикс</t>
        </is>
      </c>
      <c r="G7" s="30" t="inlineStr">
        <is>
          <t>Sany SY2000
АСТ</t>
        </is>
      </c>
      <c r="H7" s="30" t="inlineStr">
        <is>
          <t>Shantui SE2000LCW</t>
        </is>
      </c>
      <c r="I7" s="30" t="inlineStr">
        <is>
          <t>TZCO TZ2000
Дзикай</t>
        </is>
      </c>
      <c r="J7" s="30" t="inlineStr">
        <is>
          <t>XCMG ESTAR ESE2000
(поставщик не указан)</t>
        </is>
      </c>
      <c r="K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0" t="inlineStr">
        <is>
          <t>Mining Solutions</t>
        </is>
      </c>
      <c r="E8" s="30" t="inlineStr">
        <is>
          <t>ИСТК</t>
        </is>
      </c>
      <c r="F8" s="30" t="inlineStr">
        <is>
          <t>Орикс</t>
        </is>
      </c>
      <c r="G8" s="30" t="inlineStr">
        <is>
          <t>АСТ</t>
        </is>
      </c>
      <c r="H8" s="30" t="inlineStr">
        <is>
          <t>Строймпорттехника</t>
        </is>
      </c>
      <c r="I8" s="30" t="inlineStr">
        <is>
          <t>Дзикай</t>
        </is>
      </c>
      <c r="J8" s="30" t="inlineStr">
        <is>
          <t>—</t>
        </is>
      </c>
      <c r="K8" s="25" t="inlineStr"/>
    </row>
    <row r="9">
      <c r="B9" s="22" t="inlineStr">
        <is>
          <t>Двигатель</t>
        </is>
      </c>
      <c r="C9" s="24" t="inlineStr">
        <is>
          <t>—</t>
        </is>
      </c>
      <c r="D9" s="30" t="inlineStr">
        <is>
          <t>Komatsu SAA12V140E</t>
        </is>
      </c>
      <c r="E9" s="30" t="inlineStr">
        <is>
          <t>Komatsu SAA12V140E-7</t>
        </is>
      </c>
      <c r="F9" s="30" t="inlineStr">
        <is>
          <t>Cummins QST30</t>
        </is>
      </c>
      <c r="G9" s="30" t="inlineStr">
        <is>
          <t>Cummins QSK38</t>
        </is>
      </c>
      <c r="H9" s="30" t="inlineStr">
        <is>
          <t>Weichai 12M33</t>
        </is>
      </c>
      <c r="I9" s="30" t="inlineStr">
        <is>
          <t>Weichai 12M33</t>
        </is>
      </c>
      <c r="J9" s="30" t="inlineStr">
        <is>
          <t>1102 л.с.</t>
        </is>
      </c>
      <c r="K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1" t="n">
        <v>3800</v>
      </c>
      <c r="E11" s="31" t="n">
        <v>3401.64</v>
      </c>
      <c r="F11" s="31" t="n">
        <v>20129</v>
      </c>
      <c r="G11" s="31" t="n">
        <v>19621.62</v>
      </c>
      <c r="H11" s="31" t="n">
        <v>16742.05</v>
      </c>
      <c r="I11" s="31" t="n">
        <v>15400</v>
      </c>
      <c r="J11" s="31" t="n">
        <v>18000</v>
      </c>
      <c r="K11" s="25" t="inlineStr">
        <is>
          <t>В валюте контракта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0" t="inlineStr">
        <is>
          <t>USD</t>
        </is>
      </c>
      <c r="E12" s="30" t="inlineStr">
        <is>
          <t>USD</t>
        </is>
      </c>
      <c r="F12" s="30" t="inlineStr">
        <is>
          <t>CNY</t>
        </is>
      </c>
      <c r="G12" s="30" t="inlineStr">
        <is>
          <t>CNY</t>
        </is>
      </c>
      <c r="H12" s="30" t="inlineStr">
        <is>
          <t>CNY</t>
        </is>
      </c>
      <c r="I12" s="30" t="inlineStr">
        <is>
          <t>CNY</t>
        </is>
      </c>
      <c r="J12" s="30" t="inlineStr">
        <is>
          <t>CNY</t>
        </is>
      </c>
      <c r="K12" s="25" t="inlineStr">
        <is>
          <t>CNY / USD / EUR / RUB</t>
        </is>
      </c>
    </row>
    <row r="13">
      <c r="B13" s="22" t="inlineStr">
        <is>
          <t>Монтаж, доставка, ПНР</t>
        </is>
      </c>
      <c r="C13" s="24" t="inlineStr">
        <is>
          <t>тыс.руб</t>
        </is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25" t="inlineStr">
        <is>
          <t>Стоимость реализации в конце срока (0 = не учитывать)</t>
        </is>
      </c>
    </row>
    <row r="15">
      <c r="B15" s="5" t="inlineStr">
        <is>
          <t>C. ПРОИЗВОДИТЕЛЬНОСТЬ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22" t="inlineStr">
        <is>
          <t>Геометрический объём ковша</t>
        </is>
      </c>
      <c r="C16" s="24" t="inlineStr">
        <is>
          <t>м³</t>
        </is>
      </c>
      <c r="D16" s="33" t="n">
        <v>10</v>
      </c>
      <c r="E16" s="33" t="n">
        <v>10</v>
      </c>
      <c r="F16" s="33" t="n">
        <v>10</v>
      </c>
      <c r="G16" s="33" t="n">
        <v>10</v>
      </c>
      <c r="H16" s="33" t="n">
        <v>9.6</v>
      </c>
      <c r="I16" s="33" t="n">
        <v>12</v>
      </c>
      <c r="J16" s="33" t="n">
        <v>12</v>
      </c>
      <c r="K16" s="25" t="inlineStr">
        <is>
          <t>Участвует в расчёте производительности</t>
        </is>
      </c>
    </row>
    <row r="17">
      <c r="B17" s="22" t="inlineStr">
        <is>
          <t>Время цикла экскавации</t>
        </is>
      </c>
      <c r="C17" s="24" t="inlineStr">
        <is>
          <t>сек</t>
        </is>
      </c>
      <c r="D17" s="33" t="n">
        <v>37.3</v>
      </c>
      <c r="E17" s="33" t="n">
        <v>37.3</v>
      </c>
      <c r="F17" s="33" t="n">
        <v>37.3</v>
      </c>
      <c r="G17" s="33" t="n">
        <v>37.3</v>
      </c>
      <c r="H17" s="33" t="n">
        <v>37.3</v>
      </c>
      <c r="I17" s="33" t="n">
        <v>37.3</v>
      </c>
      <c r="J17" s="33" t="n">
        <v>26</v>
      </c>
      <c r="K17" s="25" t="inlineStr">
        <is>
          <t>Черпание–поворот–разгрузка–поворот</t>
        </is>
      </c>
    </row>
    <row r="18">
      <c r="B18" s="22" t="inlineStr">
        <is>
          <t>Ежесменные простои</t>
        </is>
      </c>
      <c r="C18" s="24" t="inlineStr">
        <is>
          <t>мин/см</t>
        </is>
      </c>
      <c r="D18" s="33" t="n">
        <v>266.1</v>
      </c>
      <c r="E18" s="33" t="n">
        <v>266.1</v>
      </c>
      <c r="F18" s="33" t="n">
        <v>266.1</v>
      </c>
      <c r="G18" s="33" t="n">
        <v>266.1</v>
      </c>
      <c r="H18" s="33" t="n">
        <v>266.1</v>
      </c>
      <c r="I18" s="33" t="n">
        <v>266.1</v>
      </c>
      <c r="J18" s="33" t="n">
        <v>266.1</v>
      </c>
      <c r="K18" s="25" t="inlineStr">
        <is>
          <t>ОТМ, ожидание а/с, прочие организационные</t>
        </is>
      </c>
    </row>
    <row r="19">
      <c r="B19" s="5" t="inlineStr">
        <is>
          <t>D. ПРОЧИЕ ГОДОВЫЕ ЗАТРАТЫ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22" t="inlineStr">
        <is>
          <t>Расходы на персонал (экипаж)</t>
        </is>
      </c>
      <c r="C20" s="24" t="inlineStr">
        <is>
          <t>тыс.руб/год</t>
        </is>
      </c>
      <c r="D20" s="31" t="n">
        <v>10015</v>
      </c>
      <c r="E20" s="31" t="n">
        <v>10015</v>
      </c>
      <c r="F20" s="31" t="n">
        <v>10015</v>
      </c>
      <c r="G20" s="31" t="n">
        <v>10015</v>
      </c>
      <c r="H20" s="31" t="n">
        <v>10015</v>
      </c>
      <c r="I20" s="31" t="n">
        <v>10015</v>
      </c>
      <c r="J20" s="31" t="n">
        <v>10015</v>
      </c>
      <c r="K20" s="25" t="inlineStr">
        <is>
          <t>ФОТ с отчислениями на 1 машину</t>
        </is>
      </c>
    </row>
    <row r="21">
      <c r="B21" s="34" t="inlineStr">
        <is>
          <t>ℹ  КТГ, расход ДТ, ТОиР и расходники на ковш задаются ПО ГОДАМ на листе «Данные по годам». Пустой бланк для сбора данных с поставщика — на листе «Шаблон поставщика».</t>
        </is>
      </c>
    </row>
  </sheetData>
  <mergeCells count="7">
    <mergeCell ref="B1:K1"/>
    <mergeCell ref="B21:K21"/>
    <mergeCell ref="B15:K15"/>
    <mergeCell ref="B6:K6"/>
    <mergeCell ref="B2:K2"/>
    <mergeCell ref="B10:K10"/>
    <mergeCell ref="B19:K19"/>
  </mergeCells>
  <dataValidations count="1">
    <dataValidation sqref="D12:J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5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данных'!D7</f>
        <v>Komatsu PC2000-8
Mining Solutions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377.53</v>
      </c>
      <c r="G9" s="38">
        <f>G80</f>
        <v>737.94</v>
      </c>
      <c r="H9" s="38">
        <f>H80</f>
        <v>828.05</v>
      </c>
      <c r="I9" s="38">
        <f>I80</f>
        <v>737.94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225.25722222222223</v>
      </c>
      <c r="G10" s="38">
        <f>('Параметры'!C26-G8-G9)/'Параметры'!C33*20/60</f>
        <v>215.24583333333337</v>
      </c>
      <c r="H10" s="38">
        <f>('Параметры'!C26-H8-H9)/'Параметры'!C33*20/60</f>
        <v>212.7427777777778</v>
      </c>
      <c r="I10" s="38">
        <f>('Параметры'!C26-I8-I9)/'Параметры'!C33*20/60</f>
        <v>215.24583333333337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0.9000003170979199</v>
      </c>
      <c r="G11" s="39">
        <f>('Параметры'!C26-G8-G9-G10)/'Параметры'!C26</f>
        <v>0.8600004756468798</v>
      </c>
      <c r="H11" s="39">
        <f>('Параметры'!C26-H8-H9-H10)/'Параметры'!C26</f>
        <v>0.8499996829020803</v>
      </c>
      <c r="I11" s="39">
        <f>('Параметры'!C26-I8-I9-I10)/'Параметры'!C26</f>
        <v>0.8600004756468798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E88*$E$81</f>
        <v>1.742</v>
      </c>
      <c r="F13" s="38">
        <f>F88*$E$81</f>
        <v>4.355</v>
      </c>
      <c r="G13" s="38">
        <f>G88*$E$81</f>
        <v>3.484</v>
      </c>
      <c r="H13" s="38">
        <f>H88*$E$81</f>
        <v>2.613</v>
      </c>
      <c r="I13" s="38">
        <f>I88*$E$81</f>
        <v>3.484</v>
      </c>
      <c r="J13" s="38">
        <f>J88*$E$81</f>
        <v>4.355</v>
      </c>
      <c r="K13" s="38">
        <f>K88*$E$81</f>
        <v>2.613</v>
      </c>
      <c r="L13" s="38">
        <f>L88*$E$81</f>
        <v>3.484</v>
      </c>
      <c r="M13" s="38">
        <f>M88*$E$81</f>
        <v>4.355</v>
      </c>
      <c r="N13" s="38">
        <f>N88*$E$81</f>
        <v>3.484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E125*$E$81</f>
        <v>0.0</v>
      </c>
      <c r="F14" s="38">
        <f>F125*$E$81</f>
        <v>1347.6074</v>
      </c>
      <c r="G14" s="38">
        <f>G125*$E$81</f>
        <v>1436.0748</v>
      </c>
      <c r="H14" s="38">
        <f>H125*$E$81</f>
        <v>1347.6074</v>
      </c>
      <c r="I14" s="38">
        <f>I125*$E$81</f>
        <v>5.7667</v>
      </c>
      <c r="J14" s="38">
        <f>J125*$E$81</f>
        <v>2734.3671</v>
      </c>
      <c r="K14" s="38">
        <f>K125*$E$81</f>
        <v>49.315099999999994</v>
      </c>
      <c r="L14" s="38">
        <f>L125*$E$81</f>
        <v>2734.3671</v>
      </c>
      <c r="M14" s="38">
        <f>M125*$E$81</f>
        <v>49.315099999999994</v>
      </c>
      <c r="N14" s="38">
        <f>N125*$E$81</f>
        <v>1304.059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E93*$E$81</f>
        <v>0.0</v>
      </c>
      <c r="F16" s="38">
        <f>F93*$E$81</f>
        <v>0.0</v>
      </c>
      <c r="G16" s="38">
        <f>G93*$E$81</f>
        <v>0.0</v>
      </c>
      <c r="H16" s="38">
        <f>H93*$E$81</f>
        <v>0.0</v>
      </c>
      <c r="I16" s="38">
        <f>I93*$E$81</f>
        <v>0.0</v>
      </c>
      <c r="J16" s="38">
        <f>J93*$E$81</f>
        <v>0.0</v>
      </c>
      <c r="K16" s="38">
        <f>K93*$E$81</f>
        <v>0.0</v>
      </c>
      <c r="L16" s="38">
        <f>L93*$E$81</f>
        <v>0.0</v>
      </c>
      <c r="M16" s="38">
        <f>M93*$E$81</f>
        <v>0.0</v>
      </c>
      <c r="N16" s="38">
        <f>N93*$E$81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E157*$E$81</f>
        <v>0.0</v>
      </c>
      <c r="F17" s="38">
        <f>F157*$E$81</f>
        <v>316.0</v>
      </c>
      <c r="G17" s="38">
        <f>G157*$E$81</f>
        <v>524.0</v>
      </c>
      <c r="H17" s="38">
        <f>H157*$E$81</f>
        <v>316.0</v>
      </c>
      <c r="I17" s="38">
        <f>I157*$E$81</f>
        <v>8.0</v>
      </c>
      <c r="J17" s="38">
        <f>J157*$E$81</f>
        <v>760.0</v>
      </c>
      <c r="K17" s="38">
        <f>K157*$E$81</f>
        <v>80.0</v>
      </c>
      <c r="L17" s="38">
        <f>L157*$E$81</f>
        <v>760.0</v>
      </c>
      <c r="M17" s="38">
        <f>M157*$E$81</f>
        <v>80.0</v>
      </c>
      <c r="N17" s="38">
        <f>N157*$E$81</f>
        <v>244.0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15.8</v>
      </c>
      <c r="G20" s="38">
        <f>G17*$E$77/1000</f>
        <v>26.2</v>
      </c>
      <c r="H20" s="38">
        <f>H17*$E$77/1000</f>
        <v>15.8</v>
      </c>
      <c r="I20" s="38">
        <f>I17*$E$77/1000</f>
        <v>0.4</v>
      </c>
      <c r="J20" s="38">
        <f>J17*$E$77/1000</f>
        <v>38.0</v>
      </c>
      <c r="K20" s="38">
        <f>K17*$E$77/1000</f>
        <v>4.0</v>
      </c>
      <c r="L20" s="38">
        <f>L17*$E$77/1000</f>
        <v>38.0</v>
      </c>
      <c r="M20" s="38">
        <f>M17*$E$77/1000</f>
        <v>4.0</v>
      </c>
      <c r="N20" s="38">
        <f>N17*$E$77/1000</f>
        <v>12.2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136.58272</v>
      </c>
      <c r="F21" s="38">
        <f>F12+F13+F14+F18+F19+F20</f>
        <v>1502.60312</v>
      </c>
      <c r="G21" s="38">
        <f>G12+G13+G14+G18+G19+G20</f>
        <v>1600.59952</v>
      </c>
      <c r="H21" s="38">
        <f>H12+H13+H14+H18+H19+H20</f>
        <v>1500.86112</v>
      </c>
      <c r="I21" s="38">
        <f>I12+I13+I14+I18+I19+I20</f>
        <v>144.49141999999998</v>
      </c>
      <c r="J21" s="38">
        <f>J12+J13+J14+J18+J19+J20</f>
        <v>2911.5628199999996</v>
      </c>
      <c r="K21" s="38">
        <f>K12+K13+K14+K18+K19+K20</f>
        <v>190.76881999999998</v>
      </c>
      <c r="L21" s="38">
        <f>L12+L13+L14+L18+L19+L20</f>
        <v>2910.69182</v>
      </c>
      <c r="M21" s="38">
        <f>M12+M13+M14+M18+M19+M20</f>
        <v>192.51082</v>
      </c>
      <c r="N21" s="38">
        <f>N12+N13+N14+N18+N19+N20</f>
        <v>1454.5837199999999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88.45999999999999</v>
      </c>
      <c r="F22" s="33" t="n">
        <v>88.45999999999999</v>
      </c>
      <c r="G22" s="33" t="n">
        <v>88.45999999999999</v>
      </c>
      <c r="H22" s="33" t="n">
        <v>88.45999999999999</v>
      </c>
      <c r="I22" s="33" t="n">
        <v>88.45999999999999</v>
      </c>
      <c r="J22" s="33" t="n">
        <v>88.45999999999999</v>
      </c>
      <c r="K22" s="33" t="n">
        <v>88.45999999999999</v>
      </c>
      <c r="L22" s="33" t="n">
        <v>88.45999999999999</v>
      </c>
      <c r="M22" s="33" t="n">
        <v>88.45999999999999</v>
      </c>
      <c r="N22" s="33" t="n">
        <v>88.45999999999999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377.53</v>
      </c>
      <c r="G80" s="31" t="n">
        <v>737.9400000000001</v>
      </c>
      <c r="H80" s="31" t="n">
        <v>828.05</v>
      </c>
      <c r="I80" s="31" t="n">
        <v>737.9400000000001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Ремонт системы смазки</t>
        </is>
      </c>
      <c r="C85" s="43" t="n">
        <v>1.742</v>
      </c>
      <c r="D85" s="45" t="n">
        <v>10000</v>
      </c>
      <c r="E85" s="44">
        <f>(INT($E$25*1/$D85)-INT($E$25*(1-1)/$D85))*$C85</f>
        <v>0.0</v>
      </c>
      <c r="F85" s="44">
        <f>(INT($E$25*2/$D85)-INT($E$25*(2-1)/$D85))*$C85</f>
        <v>1.742</v>
      </c>
      <c r="G85" s="44">
        <f>(INT($E$25*3/$D85)-INT($E$25*(3-1)/$D85))*$C85</f>
        <v>1.742</v>
      </c>
      <c r="H85" s="44">
        <f>(INT($E$25*4/$D85)-INT($E$25*(4-1)/$D85))*$C85</f>
        <v>0.0</v>
      </c>
      <c r="I85" s="44">
        <f>(INT($E$25*5/$D85)-INT($E$25*(5-1)/$D85))*$C85</f>
        <v>1.742</v>
      </c>
      <c r="J85" s="44">
        <f>(INT($E$25*6/$D85)-INT($E$25*(6-1)/$D85))*$C85</f>
        <v>1.742</v>
      </c>
      <c r="K85" s="44">
        <f>(INT($E$25*7/$D85)-INT($E$25*(7-1)/$D85))*$C85</f>
        <v>0.0</v>
      </c>
      <c r="L85" s="44">
        <f>(INT($E$25*8/$D85)-INT($E$25*(8-1)/$D85))*$C85</f>
        <v>1.742</v>
      </c>
      <c r="M85" s="44">
        <f>(INT($E$25*9/$D85)-INT($E$25*(9-1)/$D85))*$C85</f>
        <v>1.742</v>
      </c>
      <c r="N85" s="44">
        <f>(INT($E$25*10/$D85)-INT($E$25*(10-1)/$D85))*$C85</f>
        <v>1.742</v>
      </c>
    </row>
    <row r="86">
      <c r="B86" s="22" t="inlineStr">
        <is>
          <t>Ремонт системы кондиционирования</t>
        </is>
      </c>
      <c r="C86" s="43" t="n">
        <v>0.871</v>
      </c>
      <c r="D86" s="45" t="n">
        <v>12000</v>
      </c>
      <c r="E86" s="44">
        <f>(INT($E$25*1/$D86)-INT($E$25*(1-1)/$D86))*$C86</f>
        <v>0.0</v>
      </c>
      <c r="F86" s="44">
        <f>(INT($E$25*2/$D86)-INT($E$25*(2-1)/$D86))*$C86</f>
        <v>0.871</v>
      </c>
      <c r="G86" s="44">
        <f>(INT($E$25*3/$D86)-INT($E$25*(3-1)/$D86))*$C86</f>
        <v>0.0</v>
      </c>
      <c r="H86" s="44">
        <f>(INT($E$25*4/$D86)-INT($E$25*(4-1)/$D86))*$C86</f>
        <v>0.871</v>
      </c>
      <c r="I86" s="44">
        <f>(INT($E$25*5/$D86)-INT($E$25*(5-1)/$D86))*$C86</f>
        <v>0.0</v>
      </c>
      <c r="J86" s="44">
        <f>(INT($E$25*6/$D86)-INT($E$25*(6-1)/$D86))*$C86</f>
        <v>0.871</v>
      </c>
      <c r="K86" s="44">
        <f>(INT($E$25*7/$D86)-INT($E$25*(7-1)/$D86))*$C86</f>
        <v>0.871</v>
      </c>
      <c r="L86" s="44">
        <f>(INT($E$25*8/$D86)-INT($E$25*(8-1)/$D86))*$C86</f>
        <v>0.0</v>
      </c>
      <c r="M86" s="44">
        <f>(INT($E$25*9/$D86)-INT($E$25*(9-1)/$D86))*$C86</f>
        <v>0.871</v>
      </c>
      <c r="N86" s="44">
        <f>(INT($E$25*10/$D86)-INT($E$25*(10-1)/$D86))*$C86</f>
        <v>0.0</v>
      </c>
    </row>
    <row r="87">
      <c r="B87" s="22" t="inlineStr">
        <is>
          <t>Чистка радиаторов</t>
        </is>
      </c>
      <c r="C87" s="43" t="n">
        <v>1.742</v>
      </c>
      <c r="D87" s="45" t="n">
        <v>7000</v>
      </c>
      <c r="E87" s="44">
        <f>(INT($E$25*1/$D87)-INT($E$25*(1-1)/$D87))*$C87</f>
        <v>1.742</v>
      </c>
      <c r="F87" s="44">
        <f>(INT($E$25*2/$D87)-INT($E$25*(2-1)/$D87))*$C87</f>
        <v>1.742</v>
      </c>
      <c r="G87" s="44">
        <f>(INT($E$25*3/$D87)-INT($E$25*(3-1)/$D87))*$C87</f>
        <v>1.742</v>
      </c>
      <c r="H87" s="44">
        <f>(INT($E$25*4/$D87)-INT($E$25*(4-1)/$D87))*$C87</f>
        <v>1.742</v>
      </c>
      <c r="I87" s="44">
        <f>(INT($E$25*5/$D87)-INT($E$25*(5-1)/$D87))*$C87</f>
        <v>1.742</v>
      </c>
      <c r="J87" s="44">
        <f>(INT($E$25*6/$D87)-INT($E$25*(6-1)/$D87))*$C87</f>
        <v>1.742</v>
      </c>
      <c r="K87" s="44">
        <f>(INT($E$25*7/$D87)-INT($E$25*(7-1)/$D87))*$C87</f>
        <v>1.742</v>
      </c>
      <c r="L87" s="44">
        <f>(INT($E$25*8/$D87)-INT($E$25*(8-1)/$D87))*$C87</f>
        <v>1.742</v>
      </c>
      <c r="M87" s="44">
        <f>(INT($E$25*9/$D87)-INT($E$25*(9-1)/$D87))*$C87</f>
        <v>1.742</v>
      </c>
      <c r="N87" s="44">
        <f>(INT($E$25*10/$D87)-INT($E$25*(10-1)/$D87))*$C87</f>
        <v>1.742</v>
      </c>
    </row>
    <row r="88">
      <c r="B88" s="46" t="inlineStr">
        <is>
          <t>ИТОГО</t>
        </is>
      </c>
      <c r="E88" s="44">
        <f>SUM(E85:E87)</f>
        <v>1.742</v>
      </c>
      <c r="F88" s="44">
        <f>SUM(F85:F87)</f>
        <v>4.355</v>
      </c>
      <c r="G88" s="44">
        <f>SUM(G85:G87)</f>
        <v>3.484</v>
      </c>
      <c r="H88" s="44">
        <f>SUM(H85:H87)</f>
        <v>2.613</v>
      </c>
      <c r="I88" s="44">
        <f>SUM(I85:I87)</f>
        <v>3.484</v>
      </c>
      <c r="J88" s="44">
        <f>SUM(J85:J87)</f>
        <v>4.355</v>
      </c>
      <c r="K88" s="44">
        <f>SUM(K85:K87)</f>
        <v>2.613</v>
      </c>
      <c r="L88" s="44">
        <f>SUM(L85:L87)</f>
        <v>3.484</v>
      </c>
      <c r="M88" s="44">
        <f>SUM(M85:M87)</f>
        <v>4.355</v>
      </c>
      <c r="N88" s="44">
        <f>SUM(N85:N87)</f>
        <v>3.484</v>
      </c>
    </row>
    <row r="90">
      <c r="B90" s="5" t="inlineStr">
        <is>
          <t>ТЕКУЩИЕ РЕМОНТЫ — ТРУДОЗАТРАТЫ (по ресурсу замены)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B91" s="15" t="inlineStr">
        <is>
          <t>Наименование</t>
        </is>
      </c>
      <c r="C91" s="15" t="inlineStr">
        <is>
          <t>нормо-час/событие</t>
        </is>
      </c>
      <c r="D91" s="15" t="inlineStr">
        <is>
          <t>ресурс, м/ч</t>
        </is>
      </c>
      <c r="E91" s="15" t="inlineStr">
        <is>
          <t>год 1</t>
        </is>
      </c>
      <c r="F91" s="15" t="inlineStr">
        <is>
          <t>год 2</t>
        </is>
      </c>
      <c r="G91" s="15" t="inlineStr">
        <is>
          <t>год 3</t>
        </is>
      </c>
      <c r="H91" s="15" t="inlineStr">
        <is>
          <t>год 4</t>
        </is>
      </c>
      <c r="I91" s="15" t="inlineStr">
        <is>
          <t>год 5</t>
        </is>
      </c>
      <c r="J91" s="15" t="inlineStr">
        <is>
          <t>год 6</t>
        </is>
      </c>
      <c r="K91" s="15" t="inlineStr">
        <is>
          <t>год 7</t>
        </is>
      </c>
      <c r="L91" s="15" t="inlineStr">
        <is>
          <t>год 8</t>
        </is>
      </c>
      <c r="M91" s="15" t="inlineStr">
        <is>
          <t>год 9</t>
        </is>
      </c>
      <c r="N91" s="15" t="inlineStr">
        <is>
          <t>год 10</t>
        </is>
      </c>
    </row>
    <row r="93">
      <c r="B93" s="46" t="inlineStr">
        <is>
          <t>ИТОГО</t>
        </is>
      </c>
      <c r="E93" s="44">
        <f>SUM(E92:E92)</f>
        <v>0.0</v>
      </c>
      <c r="F93" s="44">
        <f>SUM(F92:F92)</f>
        <v>0.0</v>
      </c>
      <c r="G93" s="44">
        <f>SUM(G92:G92)</f>
        <v>0.0</v>
      </c>
      <c r="H93" s="44">
        <f>SUM(H92:H92)</f>
        <v>0.0</v>
      </c>
      <c r="I93" s="44">
        <f>SUM(I92:I92)</f>
        <v>0.0</v>
      </c>
      <c r="J93" s="44">
        <f>SUM(J92:J92)</f>
        <v>0.0</v>
      </c>
      <c r="K93" s="44">
        <f>SUM(K92:K92)</f>
        <v>0.0</v>
      </c>
      <c r="L93" s="44">
        <f>SUM(L92:L92)</f>
        <v>0.0</v>
      </c>
      <c r="M93" s="44">
        <f>SUM(M92:M92)</f>
        <v>0.0</v>
      </c>
      <c r="N93" s="44">
        <f>SUM(N92:N92)</f>
        <v>0.0</v>
      </c>
    </row>
    <row r="95">
      <c r="B95" s="5" t="inlineStr">
        <is>
          <t>КАПИТАЛЬНЫЕ РЕМОНТЫ (ЦЕХ) — ЗАТРАТЫ НА ЗЧ (по ресурсу до замены узла)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B96" s="15" t="inlineStr">
        <is>
          <t>Наименование</t>
        </is>
      </c>
      <c r="C96" s="15" t="inlineStr">
        <is>
          <t>стоим.замены,тыс</t>
        </is>
      </c>
      <c r="D96" s="15" t="inlineStr">
        <is>
          <t>ресурс, м/ч</t>
        </is>
      </c>
      <c r="E96" s="15" t="inlineStr">
        <is>
          <t>год 1</t>
        </is>
      </c>
      <c r="F96" s="15" t="inlineStr">
        <is>
          <t>год 2</t>
        </is>
      </c>
      <c r="G96" s="15" t="inlineStr">
        <is>
          <t>год 3</t>
        </is>
      </c>
      <c r="H96" s="15" t="inlineStr">
        <is>
          <t>год 4</t>
        </is>
      </c>
      <c r="I96" s="15" t="inlineStr">
        <is>
          <t>год 5</t>
        </is>
      </c>
      <c r="J96" s="15" t="inlineStr">
        <is>
          <t>год 6</t>
        </is>
      </c>
      <c r="K96" s="15" t="inlineStr">
        <is>
          <t>год 7</t>
        </is>
      </c>
      <c r="L96" s="15" t="inlineStr">
        <is>
          <t>год 8</t>
        </is>
      </c>
      <c r="M96" s="15" t="inlineStr">
        <is>
          <t>год 9</t>
        </is>
      </c>
      <c r="N96" s="15" t="inlineStr">
        <is>
          <t>год 10</t>
        </is>
      </c>
    </row>
    <row r="97">
      <c r="B97" s="22" t="inlineStr">
        <is>
          <t>Звёздочка</t>
        </is>
      </c>
      <c r="C97" s="43" t="n">
        <v>15.768</v>
      </c>
      <c r="D97" s="45" t="n">
        <v>17600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15.768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15.768</v>
      </c>
      <c r="K97" s="44">
        <f>(INT($E$25*7/$D97)-INT($E$25*(7-1)/$D97))*$C97</f>
        <v>0.0</v>
      </c>
      <c r="L97" s="44">
        <f>(INT($E$25*8/$D97)-INT($E$25*(8-1)/$D97))*$C97</f>
        <v>15.768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Редуктор хода</t>
        </is>
      </c>
      <c r="C98" s="43" t="n">
        <v>471.3007</v>
      </c>
      <c r="D98" s="45" t="n">
        <v>17600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471.3007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471.3007</v>
      </c>
      <c r="K98" s="44">
        <f>(INT($E$25*7/$D98)-INT($E$25*(7-1)/$D98))*$C98</f>
        <v>0.0</v>
      </c>
      <c r="L98" s="44">
        <f>(INT($E$25*8/$D98)-INT($E$25*(8-1)/$D98))*$C98</f>
        <v>471.3007</v>
      </c>
      <c r="M98" s="44">
        <f>(INT($E$25*9/$D98)-INT($E$25*(9-1)/$D98))*$C98</f>
        <v>0.0</v>
      </c>
      <c r="N98" s="44">
        <f>(INT($E$25*10/$D98)-INT($E$25*(10-1)/$D98))*$C98</f>
        <v>0.0</v>
      </c>
    </row>
    <row r="99">
      <c r="B99" s="22" t="inlineStr">
        <is>
          <t>Натяжное колесо</t>
        </is>
      </c>
      <c r="C99" s="43" t="n">
        <v>37.1453</v>
      </c>
      <c r="D99" s="45" t="n">
        <v>17600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37.1453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37.1453</v>
      </c>
      <c r="K99" s="44">
        <f>(INT($E$25*7/$D99)-INT($E$25*(7-1)/$D99))*$C99</f>
        <v>0.0</v>
      </c>
      <c r="L99" s="44">
        <f>(INT($E$25*8/$D99)-INT($E$25*(8-1)/$D99))*$C99</f>
        <v>37.1453</v>
      </c>
      <c r="M99" s="44">
        <f>(INT($E$25*9/$D99)-INT($E$25*(9-1)/$D99))*$C99</f>
        <v>0.0</v>
      </c>
      <c r="N99" s="44">
        <f>(INT($E$25*10/$D99)-INT($E$25*(10-1)/$D99))*$C99</f>
        <v>0.0</v>
      </c>
    </row>
    <row r="100">
      <c r="B100" s="22" t="inlineStr">
        <is>
          <t>Гусеничная лента</t>
        </is>
      </c>
      <c r="C100" s="43" t="n">
        <v>0.0213</v>
      </c>
      <c r="D100" s="45" t="n">
        <v>17600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0.0213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0.0213</v>
      </c>
      <c r="K100" s="44">
        <f>(INT($E$25*7/$D100)-INT($E$25*(7-1)/$D100))*$C100</f>
        <v>0.0</v>
      </c>
      <c r="L100" s="44">
        <f>(INT($E$25*8/$D100)-INT($E$25*(8-1)/$D100))*$C100</f>
        <v>0.0213</v>
      </c>
      <c r="M100" s="44">
        <f>(INT($E$25*9/$D100)-INT($E$25*(9-1)/$D100))*$C100</f>
        <v>0.0</v>
      </c>
      <c r="N100" s="44">
        <f>(INT($E$25*10/$D100)-INT($E$25*(10-1)/$D100))*$C100</f>
        <v>0.0</v>
      </c>
    </row>
    <row r="101">
      <c r="B101" s="22" t="inlineStr">
        <is>
          <t>Г. мотор хода</t>
        </is>
      </c>
      <c r="C101" s="43" t="n">
        <v>77.2393</v>
      </c>
      <c r="D101" s="45" t="n">
        <v>13200</v>
      </c>
      <c r="E101" s="44">
        <f>(INT($E$25*1/$D101)-INT($E$25*(1-1)/$D101))*$C101</f>
        <v>0.0</v>
      </c>
      <c r="F101" s="44">
        <f>(INT($E$25*2/$D101)-INT($E$25*(2-1)/$D101))*$C101</f>
        <v>77.2393</v>
      </c>
      <c r="G101" s="44">
        <f>(INT($E$25*3/$D101)-INT($E$25*(3-1)/$D101))*$C101</f>
        <v>0.0</v>
      </c>
      <c r="H101" s="44">
        <f>(INT($E$25*4/$D101)-INT($E$25*(4-1)/$D101))*$C101</f>
        <v>77.2393</v>
      </c>
      <c r="I101" s="44">
        <f>(INT($E$25*5/$D101)-INT($E$25*(5-1)/$D101))*$C101</f>
        <v>0.0</v>
      </c>
      <c r="J101" s="44">
        <f>(INT($E$25*6/$D101)-INT($E$25*(6-1)/$D101))*$C101</f>
        <v>77.2393</v>
      </c>
      <c r="K101" s="44">
        <f>(INT($E$25*7/$D101)-INT($E$25*(7-1)/$D101))*$C101</f>
        <v>0.0</v>
      </c>
      <c r="L101" s="44">
        <f>(INT($E$25*8/$D101)-INT($E$25*(8-1)/$D101))*$C101</f>
        <v>77.2393</v>
      </c>
      <c r="M101" s="44">
        <f>(INT($E$25*9/$D101)-INT($E$25*(9-1)/$D101))*$C101</f>
        <v>0.0</v>
      </c>
      <c r="N101" s="44">
        <f>(INT($E$25*10/$D101)-INT($E$25*(10-1)/$D101))*$C101</f>
        <v>77.2393</v>
      </c>
    </row>
    <row r="102">
      <c r="B102" s="22" t="inlineStr">
        <is>
          <t>Поддерживающий каток</t>
        </is>
      </c>
      <c r="C102" s="43" t="n">
        <v>15.004</v>
      </c>
      <c r="D102" s="45" t="n">
        <v>17600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15.004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15.004</v>
      </c>
      <c r="K102" s="44">
        <f>(INT($E$25*7/$D102)-INT($E$25*(7-1)/$D102))*$C102</f>
        <v>0.0</v>
      </c>
      <c r="L102" s="44">
        <f>(INT($E$25*8/$D102)-INT($E$25*(8-1)/$D102))*$C102</f>
        <v>15.004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Опорный каток</t>
        </is>
      </c>
      <c r="C103" s="43" t="n">
        <v>54.6107</v>
      </c>
      <c r="D103" s="45" t="n">
        <v>17600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54.6107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54.6107</v>
      </c>
      <c r="K103" s="44">
        <f>(INT($E$25*7/$D103)-INT($E$25*(7-1)/$D103))*$C103</f>
        <v>0.0</v>
      </c>
      <c r="L103" s="44">
        <f>(INT($E$25*8/$D103)-INT($E$25*(8-1)/$D103))*$C103</f>
        <v>54.6107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22" t="inlineStr">
        <is>
          <t>Г. цилиндр стрелы</t>
        </is>
      </c>
      <c r="C104" s="43" t="n">
        <v>202.673</v>
      </c>
      <c r="D104" s="45" t="n">
        <v>13200</v>
      </c>
      <c r="E104" s="44">
        <f>(INT($E$25*1/$D104)-INT($E$25*(1-1)/$D104))*$C104</f>
        <v>0.0</v>
      </c>
      <c r="F104" s="44">
        <f>(INT($E$25*2/$D104)-INT($E$25*(2-1)/$D104))*$C104</f>
        <v>202.673</v>
      </c>
      <c r="G104" s="44">
        <f>(INT($E$25*3/$D104)-INT($E$25*(3-1)/$D104))*$C104</f>
        <v>0.0</v>
      </c>
      <c r="H104" s="44">
        <f>(INT($E$25*4/$D104)-INT($E$25*(4-1)/$D104))*$C104</f>
        <v>202.673</v>
      </c>
      <c r="I104" s="44">
        <f>(INT($E$25*5/$D104)-INT($E$25*(5-1)/$D104))*$C104</f>
        <v>0.0</v>
      </c>
      <c r="J104" s="44">
        <f>(INT($E$25*6/$D104)-INT($E$25*(6-1)/$D104))*$C104</f>
        <v>202.673</v>
      </c>
      <c r="K104" s="44">
        <f>(INT($E$25*7/$D104)-INT($E$25*(7-1)/$D104))*$C104</f>
        <v>0.0</v>
      </c>
      <c r="L104" s="44">
        <f>(INT($E$25*8/$D104)-INT($E$25*(8-1)/$D104))*$C104</f>
        <v>202.673</v>
      </c>
      <c r="M104" s="44">
        <f>(INT($E$25*9/$D104)-INT($E$25*(9-1)/$D104))*$C104</f>
        <v>0.0</v>
      </c>
      <c r="N104" s="44">
        <f>(INT($E$25*10/$D104)-INT($E$25*(10-1)/$D104))*$C104</f>
        <v>202.673</v>
      </c>
    </row>
    <row r="105">
      <c r="B105" s="22" t="inlineStr">
        <is>
          <t>Г. цилиндр стрелы (2)</t>
        </is>
      </c>
      <c r="C105" s="43" t="n">
        <v>172.3207</v>
      </c>
      <c r="D105" s="45" t="n">
        <v>13200</v>
      </c>
      <c r="E105" s="44">
        <f>(INT($E$25*1/$D105)-INT($E$25*(1-1)/$D105))*$C105</f>
        <v>0.0</v>
      </c>
      <c r="F105" s="44">
        <f>(INT($E$25*2/$D105)-INT($E$25*(2-1)/$D105))*$C105</f>
        <v>172.3207</v>
      </c>
      <c r="G105" s="44">
        <f>(INT($E$25*3/$D105)-INT($E$25*(3-1)/$D105))*$C105</f>
        <v>0.0</v>
      </c>
      <c r="H105" s="44">
        <f>(INT($E$25*4/$D105)-INT($E$25*(4-1)/$D105))*$C105</f>
        <v>172.3207</v>
      </c>
      <c r="I105" s="44">
        <f>(INT($E$25*5/$D105)-INT($E$25*(5-1)/$D105))*$C105</f>
        <v>0.0</v>
      </c>
      <c r="J105" s="44">
        <f>(INT($E$25*6/$D105)-INT($E$25*(6-1)/$D105))*$C105</f>
        <v>172.3207</v>
      </c>
      <c r="K105" s="44">
        <f>(INT($E$25*7/$D105)-INT($E$25*(7-1)/$D105))*$C105</f>
        <v>0.0</v>
      </c>
      <c r="L105" s="44">
        <f>(INT($E$25*8/$D105)-INT($E$25*(8-1)/$D105))*$C105</f>
        <v>172.3207</v>
      </c>
      <c r="M105" s="44">
        <f>(INT($E$25*9/$D105)-INT($E$25*(9-1)/$D105))*$C105</f>
        <v>0.0</v>
      </c>
      <c r="N105" s="44">
        <f>(INT($E$25*10/$D105)-INT($E$25*(10-1)/$D105))*$C105</f>
        <v>172.3207</v>
      </c>
    </row>
    <row r="106">
      <c r="B106" s="22" t="inlineStr">
        <is>
          <t>Г. цилиндр рукояти</t>
        </is>
      </c>
      <c r="C106" s="43" t="n">
        <v>63.3717</v>
      </c>
      <c r="D106" s="45" t="n">
        <v>13200</v>
      </c>
      <c r="E106" s="44">
        <f>(INT($E$25*1/$D106)-INT($E$25*(1-1)/$D106))*$C106</f>
        <v>0.0</v>
      </c>
      <c r="F106" s="44">
        <f>(INT($E$25*2/$D106)-INT($E$25*(2-1)/$D106))*$C106</f>
        <v>63.3717</v>
      </c>
      <c r="G106" s="44">
        <f>(INT($E$25*3/$D106)-INT($E$25*(3-1)/$D106))*$C106</f>
        <v>0.0</v>
      </c>
      <c r="H106" s="44">
        <f>(INT($E$25*4/$D106)-INT($E$25*(4-1)/$D106))*$C106</f>
        <v>63.3717</v>
      </c>
      <c r="I106" s="44">
        <f>(INT($E$25*5/$D106)-INT($E$25*(5-1)/$D106))*$C106</f>
        <v>0.0</v>
      </c>
      <c r="J106" s="44">
        <f>(INT($E$25*6/$D106)-INT($E$25*(6-1)/$D106))*$C106</f>
        <v>63.3717</v>
      </c>
      <c r="K106" s="44">
        <f>(INT($E$25*7/$D106)-INT($E$25*(7-1)/$D106))*$C106</f>
        <v>0.0</v>
      </c>
      <c r="L106" s="44">
        <f>(INT($E$25*8/$D106)-INT($E$25*(8-1)/$D106))*$C106</f>
        <v>63.3717</v>
      </c>
      <c r="M106" s="44">
        <f>(INT($E$25*9/$D106)-INT($E$25*(9-1)/$D106))*$C106</f>
        <v>0.0</v>
      </c>
      <c r="N106" s="44">
        <f>(INT($E$25*10/$D106)-INT($E$25*(10-1)/$D106))*$C106</f>
        <v>63.3717</v>
      </c>
    </row>
    <row r="107">
      <c r="B107" s="22" t="inlineStr">
        <is>
          <t>Г. цилиндр ковша</t>
        </is>
      </c>
      <c r="C107" s="43" t="n">
        <v>106.5927</v>
      </c>
      <c r="D107" s="45" t="n">
        <v>13200</v>
      </c>
      <c r="E107" s="44">
        <f>(INT($E$25*1/$D107)-INT($E$25*(1-1)/$D107))*$C107</f>
        <v>0.0</v>
      </c>
      <c r="F107" s="44">
        <f>(INT($E$25*2/$D107)-INT($E$25*(2-1)/$D107))*$C107</f>
        <v>106.5927</v>
      </c>
      <c r="G107" s="44">
        <f>(INT($E$25*3/$D107)-INT($E$25*(3-1)/$D107))*$C107</f>
        <v>0.0</v>
      </c>
      <c r="H107" s="44">
        <f>(INT($E$25*4/$D107)-INT($E$25*(4-1)/$D107))*$C107</f>
        <v>106.5927</v>
      </c>
      <c r="I107" s="44">
        <f>(INT($E$25*5/$D107)-INT($E$25*(5-1)/$D107))*$C107</f>
        <v>0.0</v>
      </c>
      <c r="J107" s="44">
        <f>(INT($E$25*6/$D107)-INT($E$25*(6-1)/$D107))*$C107</f>
        <v>106.5927</v>
      </c>
      <c r="K107" s="44">
        <f>(INT($E$25*7/$D107)-INT($E$25*(7-1)/$D107))*$C107</f>
        <v>0.0</v>
      </c>
      <c r="L107" s="44">
        <f>(INT($E$25*8/$D107)-INT($E$25*(8-1)/$D107))*$C107</f>
        <v>106.5927</v>
      </c>
      <c r="M107" s="44">
        <f>(INT($E$25*9/$D107)-INT($E$25*(9-1)/$D107))*$C107</f>
        <v>0.0</v>
      </c>
      <c r="N107" s="44">
        <f>(INT($E$25*10/$D107)-INT($E$25*(10-1)/$D107))*$C107</f>
        <v>106.5927</v>
      </c>
    </row>
    <row r="108">
      <c r="B108" s="22" t="inlineStr">
        <is>
          <t>Г. распределитель</t>
        </is>
      </c>
      <c r="C108" s="43" t="n">
        <v>130.6045</v>
      </c>
      <c r="D108" s="45" t="n">
        <v>13200</v>
      </c>
      <c r="E108" s="44">
        <f>(INT($E$25*1/$D108)-INT($E$25*(1-1)/$D108))*$C108</f>
        <v>0.0</v>
      </c>
      <c r="F108" s="44">
        <f>(INT($E$25*2/$D108)-INT($E$25*(2-1)/$D108))*$C108</f>
        <v>130.6045</v>
      </c>
      <c r="G108" s="44">
        <f>(INT($E$25*3/$D108)-INT($E$25*(3-1)/$D108))*$C108</f>
        <v>0.0</v>
      </c>
      <c r="H108" s="44">
        <f>(INT($E$25*4/$D108)-INT($E$25*(4-1)/$D108))*$C108</f>
        <v>130.6045</v>
      </c>
      <c r="I108" s="44">
        <f>(INT($E$25*5/$D108)-INT($E$25*(5-1)/$D108))*$C108</f>
        <v>0.0</v>
      </c>
      <c r="J108" s="44">
        <f>(INT($E$25*6/$D108)-INT($E$25*(6-1)/$D108))*$C108</f>
        <v>130.6045</v>
      </c>
      <c r="K108" s="44">
        <f>(INT($E$25*7/$D108)-INT($E$25*(7-1)/$D108))*$C108</f>
        <v>0.0</v>
      </c>
      <c r="L108" s="44">
        <f>(INT($E$25*8/$D108)-INT($E$25*(8-1)/$D108))*$C108</f>
        <v>130.6045</v>
      </c>
      <c r="M108" s="44">
        <f>(INT($E$25*9/$D108)-INT($E$25*(9-1)/$D108))*$C108</f>
        <v>0.0</v>
      </c>
      <c r="N108" s="44">
        <f>(INT($E$25*10/$D108)-INT($E$25*(10-1)/$D108))*$C108</f>
        <v>130.6045</v>
      </c>
    </row>
    <row r="109">
      <c r="B109" s="22" t="inlineStr">
        <is>
          <t>Г. распределитель (2)</t>
        </is>
      </c>
      <c r="C109" s="43" t="n">
        <v>113.1917</v>
      </c>
      <c r="D109" s="45" t="n">
        <v>13200</v>
      </c>
      <c r="E109" s="44">
        <f>(INT($E$25*1/$D109)-INT($E$25*(1-1)/$D109))*$C109</f>
        <v>0.0</v>
      </c>
      <c r="F109" s="44">
        <f>(INT($E$25*2/$D109)-INT($E$25*(2-1)/$D109))*$C109</f>
        <v>113.1917</v>
      </c>
      <c r="G109" s="44">
        <f>(INT($E$25*3/$D109)-INT($E$25*(3-1)/$D109))*$C109</f>
        <v>0.0</v>
      </c>
      <c r="H109" s="44">
        <f>(INT($E$25*4/$D109)-INT($E$25*(4-1)/$D109))*$C109</f>
        <v>113.1917</v>
      </c>
      <c r="I109" s="44">
        <f>(INT($E$25*5/$D109)-INT($E$25*(5-1)/$D109))*$C109</f>
        <v>0.0</v>
      </c>
      <c r="J109" s="44">
        <f>(INT($E$25*6/$D109)-INT($E$25*(6-1)/$D109))*$C109</f>
        <v>113.1917</v>
      </c>
      <c r="K109" s="44">
        <f>(INT($E$25*7/$D109)-INT($E$25*(7-1)/$D109))*$C109</f>
        <v>0.0</v>
      </c>
      <c r="L109" s="44">
        <f>(INT($E$25*8/$D109)-INT($E$25*(8-1)/$D109))*$C109</f>
        <v>113.1917</v>
      </c>
      <c r="M109" s="44">
        <f>(INT($E$25*9/$D109)-INT($E$25*(9-1)/$D109))*$C109</f>
        <v>0.0</v>
      </c>
      <c r="N109" s="44">
        <f>(INT($E$25*10/$D109)-INT($E$25*(10-1)/$D109))*$C109</f>
        <v>113.1917</v>
      </c>
    </row>
    <row r="110">
      <c r="B110" s="22" t="inlineStr">
        <is>
          <t>Г.насос управления</t>
        </is>
      </c>
      <c r="C110" s="43" t="n">
        <v>57.01</v>
      </c>
      <c r="D110" s="45" t="n">
        <v>13200</v>
      </c>
      <c r="E110" s="44">
        <f>(INT($E$25*1/$D110)-INT($E$25*(1-1)/$D110))*$C110</f>
        <v>0.0</v>
      </c>
      <c r="F110" s="44">
        <f>(INT($E$25*2/$D110)-INT($E$25*(2-1)/$D110))*$C110</f>
        <v>57.01</v>
      </c>
      <c r="G110" s="44">
        <f>(INT($E$25*3/$D110)-INT($E$25*(3-1)/$D110))*$C110</f>
        <v>0.0</v>
      </c>
      <c r="H110" s="44">
        <f>(INT($E$25*4/$D110)-INT($E$25*(4-1)/$D110))*$C110</f>
        <v>57.01</v>
      </c>
      <c r="I110" s="44">
        <f>(INT($E$25*5/$D110)-INT($E$25*(5-1)/$D110))*$C110</f>
        <v>0.0</v>
      </c>
      <c r="J110" s="44">
        <f>(INT($E$25*6/$D110)-INT($E$25*(6-1)/$D110))*$C110</f>
        <v>57.01</v>
      </c>
      <c r="K110" s="44">
        <f>(INT($E$25*7/$D110)-INT($E$25*(7-1)/$D110))*$C110</f>
        <v>0.0</v>
      </c>
      <c r="L110" s="44">
        <f>(INT($E$25*8/$D110)-INT($E$25*(8-1)/$D110))*$C110</f>
        <v>57.01</v>
      </c>
      <c r="M110" s="44">
        <f>(INT($E$25*9/$D110)-INT($E$25*(9-1)/$D110))*$C110</f>
        <v>0.0</v>
      </c>
      <c r="N110" s="44">
        <f>(INT($E$25*10/$D110)-INT($E$25*(10-1)/$D110))*$C110</f>
        <v>57.01</v>
      </c>
    </row>
    <row r="111">
      <c r="B111" s="22" t="inlineStr">
        <is>
          <t>Г.насос</t>
        </is>
      </c>
      <c r="C111" s="43" t="n">
        <v>131.9637</v>
      </c>
      <c r="D111" s="45" t="n">
        <v>13200</v>
      </c>
      <c r="E111" s="44">
        <f>(INT($E$25*1/$D111)-INT($E$25*(1-1)/$D111))*$C111</f>
        <v>0.0</v>
      </c>
      <c r="F111" s="44">
        <f>(INT($E$25*2/$D111)-INT($E$25*(2-1)/$D111))*$C111</f>
        <v>131.9637</v>
      </c>
      <c r="G111" s="44">
        <f>(INT($E$25*3/$D111)-INT($E$25*(3-1)/$D111))*$C111</f>
        <v>0.0</v>
      </c>
      <c r="H111" s="44">
        <f>(INT($E$25*4/$D111)-INT($E$25*(4-1)/$D111))*$C111</f>
        <v>131.9637</v>
      </c>
      <c r="I111" s="44">
        <f>(INT($E$25*5/$D111)-INT($E$25*(5-1)/$D111))*$C111</f>
        <v>0.0</v>
      </c>
      <c r="J111" s="44">
        <f>(INT($E$25*6/$D111)-INT($E$25*(6-1)/$D111))*$C111</f>
        <v>131.9637</v>
      </c>
      <c r="K111" s="44">
        <f>(INT($E$25*7/$D111)-INT($E$25*(7-1)/$D111))*$C111</f>
        <v>0.0</v>
      </c>
      <c r="L111" s="44">
        <f>(INT($E$25*8/$D111)-INT($E$25*(8-1)/$D111))*$C111</f>
        <v>131.9637</v>
      </c>
      <c r="M111" s="44">
        <f>(INT($E$25*9/$D111)-INT($E$25*(9-1)/$D111))*$C111</f>
        <v>0.0</v>
      </c>
      <c r="N111" s="44">
        <f>(INT($E$25*10/$D111)-INT($E$25*(10-1)/$D111))*$C111</f>
        <v>131.9637</v>
      </c>
    </row>
    <row r="112">
      <c r="B112" s="22" t="inlineStr">
        <is>
          <t>Г.мотор вентелятора</t>
        </is>
      </c>
      <c r="C112" s="43" t="n">
        <v>24.8243</v>
      </c>
      <c r="D112" s="45" t="n">
        <v>13200</v>
      </c>
      <c r="E112" s="44">
        <f>(INT($E$25*1/$D112)-INT($E$25*(1-1)/$D112))*$C112</f>
        <v>0.0</v>
      </c>
      <c r="F112" s="44">
        <f>(INT($E$25*2/$D112)-INT($E$25*(2-1)/$D112))*$C112</f>
        <v>24.8243</v>
      </c>
      <c r="G112" s="44">
        <f>(INT($E$25*3/$D112)-INT($E$25*(3-1)/$D112))*$C112</f>
        <v>0.0</v>
      </c>
      <c r="H112" s="44">
        <f>(INT($E$25*4/$D112)-INT($E$25*(4-1)/$D112))*$C112</f>
        <v>24.8243</v>
      </c>
      <c r="I112" s="44">
        <f>(INT($E$25*5/$D112)-INT($E$25*(5-1)/$D112))*$C112</f>
        <v>0.0</v>
      </c>
      <c r="J112" s="44">
        <f>(INT($E$25*6/$D112)-INT($E$25*(6-1)/$D112))*$C112</f>
        <v>24.8243</v>
      </c>
      <c r="K112" s="44">
        <f>(INT($E$25*7/$D112)-INT($E$25*(7-1)/$D112))*$C112</f>
        <v>0.0</v>
      </c>
      <c r="L112" s="44">
        <f>(INT($E$25*8/$D112)-INT($E$25*(8-1)/$D112))*$C112</f>
        <v>24.8243</v>
      </c>
      <c r="M112" s="44">
        <f>(INT($E$25*9/$D112)-INT($E$25*(9-1)/$D112))*$C112</f>
        <v>0.0</v>
      </c>
      <c r="N112" s="44">
        <f>(INT($E$25*10/$D112)-INT($E$25*(10-1)/$D112))*$C112</f>
        <v>24.8243</v>
      </c>
    </row>
    <row r="113">
      <c r="B113" s="22" t="inlineStr">
        <is>
          <t>Г. мотор поворота</t>
        </is>
      </c>
      <c r="C113" s="43" t="n">
        <v>46.4407</v>
      </c>
      <c r="D113" s="45" t="n">
        <v>13200</v>
      </c>
      <c r="E113" s="44">
        <f>(INT($E$25*1/$D113)-INT($E$25*(1-1)/$D113))*$C113</f>
        <v>0.0</v>
      </c>
      <c r="F113" s="44">
        <f>(INT($E$25*2/$D113)-INT($E$25*(2-1)/$D113))*$C113</f>
        <v>46.4407</v>
      </c>
      <c r="G113" s="44">
        <f>(INT($E$25*3/$D113)-INT($E$25*(3-1)/$D113))*$C113</f>
        <v>0.0</v>
      </c>
      <c r="H113" s="44">
        <f>(INT($E$25*4/$D113)-INT($E$25*(4-1)/$D113))*$C113</f>
        <v>46.4407</v>
      </c>
      <c r="I113" s="44">
        <f>(INT($E$25*5/$D113)-INT($E$25*(5-1)/$D113))*$C113</f>
        <v>0.0</v>
      </c>
      <c r="J113" s="44">
        <f>(INT($E$25*6/$D113)-INT($E$25*(6-1)/$D113))*$C113</f>
        <v>46.4407</v>
      </c>
      <c r="K113" s="44">
        <f>(INT($E$25*7/$D113)-INT($E$25*(7-1)/$D113))*$C113</f>
        <v>0.0</v>
      </c>
      <c r="L113" s="44">
        <f>(INT($E$25*8/$D113)-INT($E$25*(8-1)/$D113))*$C113</f>
        <v>46.4407</v>
      </c>
      <c r="M113" s="44">
        <f>(INT($E$25*9/$D113)-INT($E$25*(9-1)/$D113))*$C113</f>
        <v>0.0</v>
      </c>
      <c r="N113" s="44">
        <f>(INT($E$25*10/$D113)-INT($E$25*(10-1)/$D113))*$C113</f>
        <v>46.4407</v>
      </c>
    </row>
    <row r="114">
      <c r="B114" s="22" t="inlineStr">
        <is>
          <t>Поворотный круг</t>
        </is>
      </c>
      <c r="C114" s="43" t="n">
        <v>147.1668</v>
      </c>
      <c r="D114" s="45" t="n">
        <v>17600</v>
      </c>
      <c r="E114" s="44">
        <f>(INT($E$25*1/$D114)-INT($E$25*(1-1)/$D114))*$C114</f>
        <v>0.0</v>
      </c>
      <c r="F114" s="44">
        <f>(INT($E$25*2/$D114)-INT($E$25*(2-1)/$D114))*$C114</f>
        <v>0.0</v>
      </c>
      <c r="G114" s="44">
        <f>(INT($E$25*3/$D114)-INT($E$25*(3-1)/$D114))*$C114</f>
        <v>147.1668</v>
      </c>
      <c r="H114" s="44">
        <f>(INT($E$25*4/$D114)-INT($E$25*(4-1)/$D114))*$C114</f>
        <v>0.0</v>
      </c>
      <c r="I114" s="44">
        <f>(INT($E$25*5/$D114)-INT($E$25*(5-1)/$D114))*$C114</f>
        <v>0.0</v>
      </c>
      <c r="J114" s="44">
        <f>(INT($E$25*6/$D114)-INT($E$25*(6-1)/$D114))*$C114</f>
        <v>147.1668</v>
      </c>
      <c r="K114" s="44">
        <f>(INT($E$25*7/$D114)-INT($E$25*(7-1)/$D114))*$C114</f>
        <v>0.0</v>
      </c>
      <c r="L114" s="44">
        <f>(INT($E$25*8/$D114)-INT($E$25*(8-1)/$D114))*$C114</f>
        <v>147.1668</v>
      </c>
      <c r="M114" s="44">
        <f>(INT($E$25*9/$D114)-INT($E$25*(9-1)/$D114))*$C114</f>
        <v>0.0</v>
      </c>
      <c r="N114" s="44">
        <f>(INT($E$25*10/$D114)-INT($E$25*(10-1)/$D114))*$C114</f>
        <v>0.0</v>
      </c>
    </row>
    <row r="115">
      <c r="B115" s="22" t="inlineStr">
        <is>
          <t>РЕДУКТОР ПОВОРОТА</t>
        </is>
      </c>
      <c r="C115" s="43" t="n">
        <v>177.8267</v>
      </c>
      <c r="D115" s="45" t="n">
        <v>13200</v>
      </c>
      <c r="E115" s="44">
        <f>(INT($E$25*1/$D115)-INT($E$25*(1-1)/$D115))*$C115</f>
        <v>0.0</v>
      </c>
      <c r="F115" s="44">
        <f>(INT($E$25*2/$D115)-INT($E$25*(2-1)/$D115))*$C115</f>
        <v>177.8267</v>
      </c>
      <c r="G115" s="44">
        <f>(INT($E$25*3/$D115)-INT($E$25*(3-1)/$D115))*$C115</f>
        <v>0.0</v>
      </c>
      <c r="H115" s="44">
        <f>(INT($E$25*4/$D115)-INT($E$25*(4-1)/$D115))*$C115</f>
        <v>177.8267</v>
      </c>
      <c r="I115" s="44">
        <f>(INT($E$25*5/$D115)-INT($E$25*(5-1)/$D115))*$C115</f>
        <v>0.0</v>
      </c>
      <c r="J115" s="44">
        <f>(INT($E$25*6/$D115)-INT($E$25*(6-1)/$D115))*$C115</f>
        <v>177.8267</v>
      </c>
      <c r="K115" s="44">
        <f>(INT($E$25*7/$D115)-INT($E$25*(7-1)/$D115))*$C115</f>
        <v>0.0</v>
      </c>
      <c r="L115" s="44">
        <f>(INT($E$25*8/$D115)-INT($E$25*(8-1)/$D115))*$C115</f>
        <v>177.8267</v>
      </c>
      <c r="M115" s="44">
        <f>(INT($E$25*9/$D115)-INT($E$25*(9-1)/$D115))*$C115</f>
        <v>0.0</v>
      </c>
      <c r="N115" s="44">
        <f>(INT($E$25*10/$D115)-INT($E$25*(10-1)/$D115))*$C115</f>
        <v>177.8267</v>
      </c>
    </row>
    <row r="116">
      <c r="B116" s="22" t="inlineStr">
        <is>
          <t>ДВС</t>
        </is>
      </c>
      <c r="C116" s="43" t="n">
        <v>403.8042</v>
      </c>
      <c r="D116" s="45" t="n">
        <v>17600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403.8042</v>
      </c>
      <c r="H116" s="44">
        <f>(INT($E$25*4/$D116)-INT($E$25*(4-1)/$D116))*$C116</f>
        <v>0.0</v>
      </c>
      <c r="I116" s="44">
        <f>(INT($E$25*5/$D116)-INT($E$25*(5-1)/$D116))*$C116</f>
        <v>0.0</v>
      </c>
      <c r="J116" s="44">
        <f>(INT($E$25*6/$D116)-INT($E$25*(6-1)/$D116))*$C116</f>
        <v>403.8042</v>
      </c>
      <c r="K116" s="44">
        <f>(INT($E$25*7/$D116)-INT($E$25*(7-1)/$D116))*$C116</f>
        <v>0.0</v>
      </c>
      <c r="L116" s="44">
        <f>(INT($E$25*8/$D116)-INT($E$25*(8-1)/$D116))*$C116</f>
        <v>403.8042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МЕХАНИЗМ ОТБОРА МОЩНОСТИ</t>
        </is>
      </c>
      <c r="C117" s="43" t="n">
        <v>231.2837</v>
      </c>
      <c r="D117" s="45" t="n">
        <v>17600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231.2837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231.2837</v>
      </c>
      <c r="K117" s="44">
        <f>(INT($E$25*7/$D117)-INT($E$25*(7-1)/$D117))*$C117</f>
        <v>0.0</v>
      </c>
      <c r="L117" s="44">
        <f>(INT($E$25*8/$D117)-INT($E$25*(8-1)/$D117))*$C117</f>
        <v>231.2837</v>
      </c>
      <c r="M117" s="44">
        <f>(INT($E$25*9/$D117)-INT($E$25*(9-1)/$D117))*$C117</f>
        <v>0.0</v>
      </c>
      <c r="N117" s="44">
        <f>(INT($E$25*10/$D117)-INT($E$25*(10-1)/$D117))*$C117</f>
        <v>0.0</v>
      </c>
    </row>
    <row r="118">
      <c r="B118" s="22" t="inlineStr">
        <is>
          <t>Турбокомпрессор</t>
        </is>
      </c>
      <c r="C118" s="43" t="n">
        <v>9.571300000000001</v>
      </c>
      <c r="D118" s="45" t="n">
        <v>8800</v>
      </c>
      <c r="E118" s="44">
        <f>(INT($E$25*1/$D118)-INT($E$25*(1-1)/$D118))*$C118</f>
        <v>0.0</v>
      </c>
      <c r="F118" s="44">
        <f>(INT($E$25*2/$D118)-INT($E$25*(2-1)/$D118))*$C118</f>
        <v>9.5713</v>
      </c>
      <c r="G118" s="44">
        <f>(INT($E$25*3/$D118)-INT($E$25*(3-1)/$D118))*$C118</f>
        <v>9.5713</v>
      </c>
      <c r="H118" s="44">
        <f>(INT($E$25*4/$D118)-INT($E$25*(4-1)/$D118))*$C118</f>
        <v>9.5713</v>
      </c>
      <c r="I118" s="44">
        <f>(INT($E$25*5/$D118)-INT($E$25*(5-1)/$D118))*$C118</f>
        <v>0.0</v>
      </c>
      <c r="J118" s="44">
        <f>(INT($E$25*6/$D118)-INT($E$25*(6-1)/$D118))*$C118</f>
        <v>9.5713</v>
      </c>
      <c r="K118" s="44">
        <f>(INT($E$25*7/$D118)-INT($E$25*(7-1)/$D118))*$C118</f>
        <v>9.5713</v>
      </c>
      <c r="L118" s="44">
        <f>(INT($E$25*8/$D118)-INT($E$25*(8-1)/$D118))*$C118</f>
        <v>9.5713</v>
      </c>
      <c r="M118" s="44">
        <f>(INT($E$25*9/$D118)-INT($E$25*(9-1)/$D118))*$C118</f>
        <v>9.5713</v>
      </c>
      <c r="N118" s="44">
        <f>(INT($E$25*10/$D118)-INT($E$25*(10-1)/$D118))*$C118</f>
        <v>0.0</v>
      </c>
    </row>
    <row r="119">
      <c r="B119" s="22" t="inlineStr">
        <is>
          <t>Турбокомпрессор (2)</t>
        </is>
      </c>
      <c r="C119" s="43" t="n">
        <v>8.2568</v>
      </c>
      <c r="D119" s="45" t="n">
        <v>8800</v>
      </c>
      <c r="E119" s="44">
        <f>(INT($E$25*1/$D119)-INT($E$25*(1-1)/$D119))*$C119</f>
        <v>0.0</v>
      </c>
      <c r="F119" s="44">
        <f>(INT($E$25*2/$D119)-INT($E$25*(2-1)/$D119))*$C119</f>
        <v>8.2568</v>
      </c>
      <c r="G119" s="44">
        <f>(INT($E$25*3/$D119)-INT($E$25*(3-1)/$D119))*$C119</f>
        <v>8.2568</v>
      </c>
      <c r="H119" s="44">
        <f>(INT($E$25*4/$D119)-INT($E$25*(4-1)/$D119))*$C119</f>
        <v>8.2568</v>
      </c>
      <c r="I119" s="44">
        <f>(INT($E$25*5/$D119)-INT($E$25*(5-1)/$D119))*$C119</f>
        <v>0.0</v>
      </c>
      <c r="J119" s="44">
        <f>(INT($E$25*6/$D119)-INT($E$25*(6-1)/$D119))*$C119</f>
        <v>8.2568</v>
      </c>
      <c r="K119" s="44">
        <f>(INT($E$25*7/$D119)-INT($E$25*(7-1)/$D119))*$C119</f>
        <v>8.2568</v>
      </c>
      <c r="L119" s="44">
        <f>(INT($E$25*8/$D119)-INT($E$25*(8-1)/$D119))*$C119</f>
        <v>8.2568</v>
      </c>
      <c r="M119" s="44">
        <f>(INT($E$25*9/$D119)-INT($E$25*(9-1)/$D119))*$C119</f>
        <v>8.2568</v>
      </c>
      <c r="N119" s="44">
        <f>(INT($E$25*10/$D119)-INT($E$25*(10-1)/$D119))*$C119</f>
        <v>0.0</v>
      </c>
    </row>
    <row r="120">
      <c r="B120" s="22" t="inlineStr">
        <is>
          <t>Топл. Насос</t>
        </is>
      </c>
      <c r="C120" s="43" t="n">
        <v>10.655</v>
      </c>
      <c r="D120" s="45" t="n">
        <v>17600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10.655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10.655</v>
      </c>
      <c r="K120" s="44">
        <f>(INT($E$25*7/$D120)-INT($E$25*(7-1)/$D120))*$C120</f>
        <v>0.0</v>
      </c>
      <c r="L120" s="44">
        <f>(INT($E$25*8/$D120)-INT($E$25*(8-1)/$D120))*$C120</f>
        <v>10.655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22" t="inlineStr">
        <is>
          <t>Топл. Форсунка</t>
        </is>
      </c>
      <c r="C121" s="43" t="n">
        <v>16.278</v>
      </c>
      <c r="D121" s="45" t="n">
        <v>8800</v>
      </c>
      <c r="E121" s="44">
        <f>(INT($E$25*1/$D121)-INT($E$25*(1-1)/$D121))*$C121</f>
        <v>0.0</v>
      </c>
      <c r="F121" s="44">
        <f>(INT($E$25*2/$D121)-INT($E$25*(2-1)/$D121))*$C121</f>
        <v>16.278</v>
      </c>
      <c r="G121" s="44">
        <f>(INT($E$25*3/$D121)-INT($E$25*(3-1)/$D121))*$C121</f>
        <v>16.278</v>
      </c>
      <c r="H121" s="44">
        <f>(INT($E$25*4/$D121)-INT($E$25*(4-1)/$D121))*$C121</f>
        <v>16.278</v>
      </c>
      <c r="I121" s="44">
        <f>(INT($E$25*5/$D121)-INT($E$25*(5-1)/$D121))*$C121</f>
        <v>0.0</v>
      </c>
      <c r="J121" s="44">
        <f>(INT($E$25*6/$D121)-INT($E$25*(6-1)/$D121))*$C121</f>
        <v>16.278</v>
      </c>
      <c r="K121" s="44">
        <f>(INT($E$25*7/$D121)-INT($E$25*(7-1)/$D121))*$C121</f>
        <v>16.278</v>
      </c>
      <c r="L121" s="44">
        <f>(INT($E$25*8/$D121)-INT($E$25*(8-1)/$D121))*$C121</f>
        <v>16.278</v>
      </c>
      <c r="M121" s="44">
        <f>(INT($E$25*9/$D121)-INT($E$25*(9-1)/$D121))*$C121</f>
        <v>16.278</v>
      </c>
      <c r="N121" s="44">
        <f>(INT($E$25*10/$D121)-INT($E$25*(10-1)/$D121))*$C121</f>
        <v>0.0</v>
      </c>
    </row>
    <row r="122">
      <c r="B122" s="22" t="inlineStr">
        <is>
          <t>Водиной насос</t>
        </is>
      </c>
      <c r="C122" s="43" t="n">
        <v>4.016</v>
      </c>
      <c r="D122" s="45" t="n">
        <v>8800</v>
      </c>
      <c r="E122" s="44">
        <f>(INT($E$25*1/$D122)-INT($E$25*(1-1)/$D122))*$C122</f>
        <v>0.0</v>
      </c>
      <c r="F122" s="44">
        <f>(INT($E$25*2/$D122)-INT($E$25*(2-1)/$D122))*$C122</f>
        <v>4.016</v>
      </c>
      <c r="G122" s="44">
        <f>(INT($E$25*3/$D122)-INT($E$25*(3-1)/$D122))*$C122</f>
        <v>4.016</v>
      </c>
      <c r="H122" s="44">
        <f>(INT($E$25*4/$D122)-INT($E$25*(4-1)/$D122))*$C122</f>
        <v>4.016</v>
      </c>
      <c r="I122" s="44">
        <f>(INT($E$25*5/$D122)-INT($E$25*(5-1)/$D122))*$C122</f>
        <v>0.0</v>
      </c>
      <c r="J122" s="44">
        <f>(INT($E$25*6/$D122)-INT($E$25*(6-1)/$D122))*$C122</f>
        <v>4.016</v>
      </c>
      <c r="K122" s="44">
        <f>(INT($E$25*7/$D122)-INT($E$25*(7-1)/$D122))*$C122</f>
        <v>4.016</v>
      </c>
      <c r="L122" s="44">
        <f>(INT($E$25*8/$D122)-INT($E$25*(8-1)/$D122))*$C122</f>
        <v>4.016</v>
      </c>
      <c r="M122" s="44">
        <f>(INT($E$25*9/$D122)-INT($E$25*(9-1)/$D122))*$C122</f>
        <v>4.016</v>
      </c>
      <c r="N122" s="44">
        <f>(INT($E$25*10/$D122)-INT($E$25*(10-1)/$D122))*$C122</f>
        <v>0.0</v>
      </c>
    </row>
    <row r="123">
      <c r="B123" s="22" t="inlineStr">
        <is>
          <t>Генератор</t>
        </is>
      </c>
      <c r="C123" s="43" t="n">
        <v>5.7667</v>
      </c>
      <c r="D123" s="45" t="n">
        <v>15000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5.7667</v>
      </c>
      <c r="H123" s="44">
        <f>(INT($E$25*4/$D123)-INT($E$25*(4-1)/$D123))*$C123</f>
        <v>0.0</v>
      </c>
      <c r="I123" s="44">
        <f>(INT($E$25*5/$D123)-INT($E$25*(5-1)/$D123))*$C123</f>
        <v>5.7667</v>
      </c>
      <c r="J123" s="44">
        <f>(INT($E$25*6/$D123)-INT($E$25*(6-1)/$D123))*$C123</f>
        <v>0.0</v>
      </c>
      <c r="K123" s="44">
        <f>(INT($E$25*7/$D123)-INT($E$25*(7-1)/$D123))*$C123</f>
        <v>5.7667</v>
      </c>
      <c r="L123" s="44">
        <f>(INT($E$25*8/$D123)-INT($E$25*(8-1)/$D123))*$C123</f>
        <v>0.0</v>
      </c>
      <c r="M123" s="44">
        <f>(INT($E$25*9/$D123)-INT($E$25*(9-1)/$D123))*$C123</f>
        <v>5.7667</v>
      </c>
      <c r="N123" s="44">
        <f>(INT($E$25*10/$D123)-INT($E$25*(10-1)/$D123))*$C123</f>
        <v>0.0</v>
      </c>
    </row>
    <row r="124">
      <c r="B124" s="22" t="inlineStr">
        <is>
          <t>Стартер</t>
        </is>
      </c>
      <c r="C124" s="43" t="n">
        <v>5.4263</v>
      </c>
      <c r="D124" s="45" t="n">
        <v>8800</v>
      </c>
      <c r="E124" s="44">
        <f>(INT($E$25*1/$D124)-INT($E$25*(1-1)/$D124))*$C124</f>
        <v>0.0</v>
      </c>
      <c r="F124" s="44">
        <f>(INT($E$25*2/$D124)-INT($E$25*(2-1)/$D124))*$C124</f>
        <v>5.4263</v>
      </c>
      <c r="G124" s="44">
        <f>(INT($E$25*3/$D124)-INT($E$25*(3-1)/$D124))*$C124</f>
        <v>5.4263</v>
      </c>
      <c r="H124" s="44">
        <f>(INT($E$25*4/$D124)-INT($E$25*(4-1)/$D124))*$C124</f>
        <v>5.4263</v>
      </c>
      <c r="I124" s="44">
        <f>(INT($E$25*5/$D124)-INT($E$25*(5-1)/$D124))*$C124</f>
        <v>0.0</v>
      </c>
      <c r="J124" s="44">
        <f>(INT($E$25*6/$D124)-INT($E$25*(6-1)/$D124))*$C124</f>
        <v>5.4263</v>
      </c>
      <c r="K124" s="44">
        <f>(INT($E$25*7/$D124)-INT($E$25*(7-1)/$D124))*$C124</f>
        <v>5.4263</v>
      </c>
      <c r="L124" s="44">
        <f>(INT($E$25*8/$D124)-INT($E$25*(8-1)/$D124))*$C124</f>
        <v>5.4263</v>
      </c>
      <c r="M124" s="44">
        <f>(INT($E$25*9/$D124)-INT($E$25*(9-1)/$D124))*$C124</f>
        <v>5.4263</v>
      </c>
      <c r="N124" s="44">
        <f>(INT($E$25*10/$D124)-INT($E$25*(10-1)/$D124))*$C124</f>
        <v>0.0</v>
      </c>
    </row>
    <row r="125">
      <c r="B125" s="46" t="inlineStr">
        <is>
          <t>ИТОГО</t>
        </is>
      </c>
      <c r="E125" s="44">
        <f>SUM(E97:E124)</f>
        <v>0.0</v>
      </c>
      <c r="F125" s="44">
        <f>SUM(F97:F124)</f>
        <v>1347.6074</v>
      </c>
      <c r="G125" s="44">
        <f>SUM(G97:G124)</f>
        <v>1436.0748</v>
      </c>
      <c r="H125" s="44">
        <f>SUM(H97:H124)</f>
        <v>1347.6074</v>
      </c>
      <c r="I125" s="44">
        <f>SUM(I97:I124)</f>
        <v>5.7667</v>
      </c>
      <c r="J125" s="44">
        <f>SUM(J97:J124)</f>
        <v>2734.3671</v>
      </c>
      <c r="K125" s="44">
        <f>SUM(K97:K124)</f>
        <v>49.315099999999994</v>
      </c>
      <c r="L125" s="44">
        <f>SUM(L97:L124)</f>
        <v>2734.3671</v>
      </c>
      <c r="M125" s="44">
        <f>SUM(M97:M124)</f>
        <v>49.315099999999994</v>
      </c>
      <c r="N125" s="44">
        <f>SUM(N97:N124)</f>
        <v>1304.059</v>
      </c>
    </row>
    <row r="127">
      <c r="B127" s="5" t="inlineStr">
        <is>
          <t>КАПИТАЛЬНЫЕ РЕМОНТЫ (ЦЕХ) — ТРУДОЗАТРАТЫ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нормо-час/событие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Звёздочка</t>
        </is>
      </c>
      <c r="C129" s="43" t="n">
        <v>24</v>
      </c>
      <c r="D129" s="45" t="n">
        <v>17600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24.0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24.0</v>
      </c>
      <c r="K129" s="44">
        <f>(INT($E$25*7/$D129)-INT($E$25*(7-1)/$D129))*$C129</f>
        <v>0.0</v>
      </c>
      <c r="L129" s="44">
        <f>(INT($E$25*8/$D129)-INT($E$25*(8-1)/$D129))*$C129</f>
        <v>24.0</v>
      </c>
      <c r="M129" s="44">
        <f>(INT($E$25*9/$D129)-INT($E$25*(9-1)/$D129))*$C129</f>
        <v>0.0</v>
      </c>
      <c r="N129" s="44">
        <f>(INT($E$25*10/$D129)-INT($E$25*(10-1)/$D129))*$C129</f>
        <v>0.0</v>
      </c>
    </row>
    <row r="130">
      <c r="B130" s="22" t="inlineStr">
        <is>
          <t>Редуктор хода</t>
        </is>
      </c>
      <c r="C130" s="43" t="n">
        <v>24</v>
      </c>
      <c r="D130" s="45" t="n">
        <v>17600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24.0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24.0</v>
      </c>
      <c r="K130" s="44">
        <f>(INT($E$25*7/$D130)-INT($E$25*(7-1)/$D130))*$C130</f>
        <v>0.0</v>
      </c>
      <c r="L130" s="44">
        <f>(INT($E$25*8/$D130)-INT($E$25*(8-1)/$D130))*$C130</f>
        <v>24.0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Натяжное колесо</t>
        </is>
      </c>
      <c r="C131" s="43" t="n">
        <v>24</v>
      </c>
      <c r="D131" s="45" t="n">
        <v>17600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24.0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24.0</v>
      </c>
      <c r="K131" s="44">
        <f>(INT($E$25*7/$D131)-INT($E$25*(7-1)/$D131))*$C131</f>
        <v>0.0</v>
      </c>
      <c r="L131" s="44">
        <f>(INT($E$25*8/$D131)-INT($E$25*(8-1)/$D131))*$C131</f>
        <v>24.0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Гусеничная лента</t>
        </is>
      </c>
      <c r="C132" s="43" t="n">
        <v>36</v>
      </c>
      <c r="D132" s="45" t="n">
        <v>17600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36.0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36.0</v>
      </c>
      <c r="K132" s="44">
        <f>(INT($E$25*7/$D132)-INT($E$25*(7-1)/$D132))*$C132</f>
        <v>0.0</v>
      </c>
      <c r="L132" s="44">
        <f>(INT($E$25*8/$D132)-INT($E$25*(8-1)/$D132))*$C132</f>
        <v>36.0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Г. мотор хода</t>
        </is>
      </c>
      <c r="C133" s="43" t="n">
        <v>12</v>
      </c>
      <c r="D133" s="45" t="n">
        <v>13200</v>
      </c>
      <c r="E133" s="44">
        <f>(INT($E$25*1/$D133)-INT($E$25*(1-1)/$D133))*$C133</f>
        <v>0.0</v>
      </c>
      <c r="F133" s="44">
        <f>(INT($E$25*2/$D133)-INT($E$25*(2-1)/$D133))*$C133</f>
        <v>12.0</v>
      </c>
      <c r="G133" s="44">
        <f>(INT($E$25*3/$D133)-INT($E$25*(3-1)/$D133))*$C133</f>
        <v>0.0</v>
      </c>
      <c r="H133" s="44">
        <f>(INT($E$25*4/$D133)-INT($E$25*(4-1)/$D133))*$C133</f>
        <v>12.0</v>
      </c>
      <c r="I133" s="44">
        <f>(INT($E$25*5/$D133)-INT($E$25*(5-1)/$D133))*$C133</f>
        <v>0.0</v>
      </c>
      <c r="J133" s="44">
        <f>(INT($E$25*6/$D133)-INT($E$25*(6-1)/$D133))*$C133</f>
        <v>12.0</v>
      </c>
      <c r="K133" s="44">
        <f>(INT($E$25*7/$D133)-INT($E$25*(7-1)/$D133))*$C133</f>
        <v>0.0</v>
      </c>
      <c r="L133" s="44">
        <f>(INT($E$25*8/$D133)-INT($E$25*(8-1)/$D133))*$C133</f>
        <v>12.0</v>
      </c>
      <c r="M133" s="44">
        <f>(INT($E$25*9/$D133)-INT($E$25*(9-1)/$D133))*$C133</f>
        <v>0.0</v>
      </c>
      <c r="N133" s="44">
        <f>(INT($E$25*10/$D133)-INT($E$25*(10-1)/$D133))*$C133</f>
        <v>12.0</v>
      </c>
    </row>
    <row r="134">
      <c r="B134" s="22" t="inlineStr">
        <is>
          <t>Поддерживающий каток</t>
        </is>
      </c>
      <c r="C134" s="43" t="n">
        <v>12</v>
      </c>
      <c r="D134" s="45" t="n">
        <v>17600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12.0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12.0</v>
      </c>
      <c r="K134" s="44">
        <f>(INT($E$25*7/$D134)-INT($E$25*(7-1)/$D134))*$C134</f>
        <v>0.0</v>
      </c>
      <c r="L134" s="44">
        <f>(INT($E$25*8/$D134)-INT($E$25*(8-1)/$D134))*$C134</f>
        <v>12.0</v>
      </c>
      <c r="M134" s="44">
        <f>(INT($E$25*9/$D134)-INT($E$25*(9-1)/$D134))*$C134</f>
        <v>0.0</v>
      </c>
      <c r="N134" s="44">
        <f>(INT($E$25*10/$D134)-INT($E$25*(10-1)/$D134))*$C134</f>
        <v>0.0</v>
      </c>
    </row>
    <row r="135">
      <c r="B135" s="22" t="inlineStr">
        <is>
          <t>Опорный каток</t>
        </is>
      </c>
      <c r="C135" s="43" t="n">
        <v>36</v>
      </c>
      <c r="D135" s="45" t="n">
        <v>17600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36.0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36.0</v>
      </c>
      <c r="K135" s="44">
        <f>(INT($E$25*7/$D135)-INT($E$25*(7-1)/$D135))*$C135</f>
        <v>0.0</v>
      </c>
      <c r="L135" s="44">
        <f>(INT($E$25*8/$D135)-INT($E$25*(8-1)/$D135))*$C135</f>
        <v>36.0</v>
      </c>
      <c r="M135" s="44">
        <f>(INT($E$25*9/$D135)-INT($E$25*(9-1)/$D135))*$C135</f>
        <v>0.0</v>
      </c>
      <c r="N135" s="44">
        <f>(INT($E$25*10/$D135)-INT($E$25*(10-1)/$D135))*$C135</f>
        <v>0.0</v>
      </c>
    </row>
    <row r="136">
      <c r="B136" s="22" t="inlineStr">
        <is>
          <t>Г. цилиндр стрелы</t>
        </is>
      </c>
      <c r="C136" s="43" t="n">
        <v>12</v>
      </c>
      <c r="D136" s="45" t="n">
        <v>13200</v>
      </c>
      <c r="E136" s="44">
        <f>(INT($E$25*1/$D136)-INT($E$25*(1-1)/$D136))*$C136</f>
        <v>0.0</v>
      </c>
      <c r="F136" s="44">
        <f>(INT($E$25*2/$D136)-INT($E$25*(2-1)/$D136))*$C136</f>
        <v>12.0</v>
      </c>
      <c r="G136" s="44">
        <f>(INT($E$25*3/$D136)-INT($E$25*(3-1)/$D136))*$C136</f>
        <v>0.0</v>
      </c>
      <c r="H136" s="44">
        <f>(INT($E$25*4/$D136)-INT($E$25*(4-1)/$D136))*$C136</f>
        <v>12.0</v>
      </c>
      <c r="I136" s="44">
        <f>(INT($E$25*5/$D136)-INT($E$25*(5-1)/$D136))*$C136</f>
        <v>0.0</v>
      </c>
      <c r="J136" s="44">
        <f>(INT($E$25*6/$D136)-INT($E$25*(6-1)/$D136))*$C136</f>
        <v>12.0</v>
      </c>
      <c r="K136" s="44">
        <f>(INT($E$25*7/$D136)-INT($E$25*(7-1)/$D136))*$C136</f>
        <v>0.0</v>
      </c>
      <c r="L136" s="44">
        <f>(INT($E$25*8/$D136)-INT($E$25*(8-1)/$D136))*$C136</f>
        <v>12.0</v>
      </c>
      <c r="M136" s="44">
        <f>(INT($E$25*9/$D136)-INT($E$25*(9-1)/$D136))*$C136</f>
        <v>0.0</v>
      </c>
      <c r="N136" s="44">
        <f>(INT($E$25*10/$D136)-INT($E$25*(10-1)/$D136))*$C136</f>
        <v>12.0</v>
      </c>
    </row>
    <row r="137">
      <c r="B137" s="22" t="inlineStr">
        <is>
          <t>Г. цилиндр стрелы (2)</t>
        </is>
      </c>
      <c r="C137" s="43" t="n">
        <v>12</v>
      </c>
      <c r="D137" s="45" t="n">
        <v>13200</v>
      </c>
      <c r="E137" s="44">
        <f>(INT($E$25*1/$D137)-INT($E$25*(1-1)/$D137))*$C137</f>
        <v>0.0</v>
      </c>
      <c r="F137" s="44">
        <f>(INT($E$25*2/$D137)-INT($E$25*(2-1)/$D137))*$C137</f>
        <v>12.0</v>
      </c>
      <c r="G137" s="44">
        <f>(INT($E$25*3/$D137)-INT($E$25*(3-1)/$D137))*$C137</f>
        <v>0.0</v>
      </c>
      <c r="H137" s="44">
        <f>(INT($E$25*4/$D137)-INT($E$25*(4-1)/$D137))*$C137</f>
        <v>12.0</v>
      </c>
      <c r="I137" s="44">
        <f>(INT($E$25*5/$D137)-INT($E$25*(5-1)/$D137))*$C137</f>
        <v>0.0</v>
      </c>
      <c r="J137" s="44">
        <f>(INT($E$25*6/$D137)-INT($E$25*(6-1)/$D137))*$C137</f>
        <v>12.0</v>
      </c>
      <c r="K137" s="44">
        <f>(INT($E$25*7/$D137)-INT($E$25*(7-1)/$D137))*$C137</f>
        <v>0.0</v>
      </c>
      <c r="L137" s="44">
        <f>(INT($E$25*8/$D137)-INT($E$25*(8-1)/$D137))*$C137</f>
        <v>12.0</v>
      </c>
      <c r="M137" s="44">
        <f>(INT($E$25*9/$D137)-INT($E$25*(9-1)/$D137))*$C137</f>
        <v>0.0</v>
      </c>
      <c r="N137" s="44">
        <f>(INT($E$25*10/$D137)-INT($E$25*(10-1)/$D137))*$C137</f>
        <v>12.0</v>
      </c>
    </row>
    <row r="138">
      <c r="B138" s="22" t="inlineStr">
        <is>
          <t>Г. цилиндр рукояти</t>
        </is>
      </c>
      <c r="C138" s="43" t="n">
        <v>8</v>
      </c>
      <c r="D138" s="45" t="n">
        <v>13200</v>
      </c>
      <c r="E138" s="44">
        <f>(INT($E$25*1/$D138)-INT($E$25*(1-1)/$D138))*$C138</f>
        <v>0.0</v>
      </c>
      <c r="F138" s="44">
        <f>(INT($E$25*2/$D138)-INT($E$25*(2-1)/$D138))*$C138</f>
        <v>8.0</v>
      </c>
      <c r="G138" s="44">
        <f>(INT($E$25*3/$D138)-INT($E$25*(3-1)/$D138))*$C138</f>
        <v>0.0</v>
      </c>
      <c r="H138" s="44">
        <f>(INT($E$25*4/$D138)-INT($E$25*(4-1)/$D138))*$C138</f>
        <v>8.0</v>
      </c>
      <c r="I138" s="44">
        <f>(INT($E$25*5/$D138)-INT($E$25*(5-1)/$D138))*$C138</f>
        <v>0.0</v>
      </c>
      <c r="J138" s="44">
        <f>(INT($E$25*6/$D138)-INT($E$25*(6-1)/$D138))*$C138</f>
        <v>8.0</v>
      </c>
      <c r="K138" s="44">
        <f>(INT($E$25*7/$D138)-INT($E$25*(7-1)/$D138))*$C138</f>
        <v>0.0</v>
      </c>
      <c r="L138" s="44">
        <f>(INT($E$25*8/$D138)-INT($E$25*(8-1)/$D138))*$C138</f>
        <v>8.0</v>
      </c>
      <c r="M138" s="44">
        <f>(INT($E$25*9/$D138)-INT($E$25*(9-1)/$D138))*$C138</f>
        <v>0.0</v>
      </c>
      <c r="N138" s="44">
        <f>(INT($E$25*10/$D138)-INT($E$25*(10-1)/$D138))*$C138</f>
        <v>8.0</v>
      </c>
    </row>
    <row r="139">
      <c r="B139" s="22" t="inlineStr">
        <is>
          <t>Г. цилиндр ковша</t>
        </is>
      </c>
      <c r="C139" s="43" t="n">
        <v>12</v>
      </c>
      <c r="D139" s="45" t="n">
        <v>13200</v>
      </c>
      <c r="E139" s="44">
        <f>(INT($E$25*1/$D139)-INT($E$25*(1-1)/$D139))*$C139</f>
        <v>0.0</v>
      </c>
      <c r="F139" s="44">
        <f>(INT($E$25*2/$D139)-INT($E$25*(2-1)/$D139))*$C139</f>
        <v>12.0</v>
      </c>
      <c r="G139" s="44">
        <f>(INT($E$25*3/$D139)-INT($E$25*(3-1)/$D139))*$C139</f>
        <v>0.0</v>
      </c>
      <c r="H139" s="44">
        <f>(INT($E$25*4/$D139)-INT($E$25*(4-1)/$D139))*$C139</f>
        <v>12.0</v>
      </c>
      <c r="I139" s="44">
        <f>(INT($E$25*5/$D139)-INT($E$25*(5-1)/$D139))*$C139</f>
        <v>0.0</v>
      </c>
      <c r="J139" s="44">
        <f>(INT($E$25*6/$D139)-INT($E$25*(6-1)/$D139))*$C139</f>
        <v>12.0</v>
      </c>
      <c r="K139" s="44">
        <f>(INT($E$25*7/$D139)-INT($E$25*(7-1)/$D139))*$C139</f>
        <v>0.0</v>
      </c>
      <c r="L139" s="44">
        <f>(INT($E$25*8/$D139)-INT($E$25*(8-1)/$D139))*$C139</f>
        <v>12.0</v>
      </c>
      <c r="M139" s="44">
        <f>(INT($E$25*9/$D139)-INT($E$25*(9-1)/$D139))*$C139</f>
        <v>0.0</v>
      </c>
      <c r="N139" s="44">
        <f>(INT($E$25*10/$D139)-INT($E$25*(10-1)/$D139))*$C139</f>
        <v>12.0</v>
      </c>
    </row>
    <row r="140">
      <c r="B140" s="22" t="inlineStr">
        <is>
          <t>Г. распределитель</t>
        </is>
      </c>
      <c r="C140" s="43" t="n">
        <v>36</v>
      </c>
      <c r="D140" s="45" t="n">
        <v>13200</v>
      </c>
      <c r="E140" s="44">
        <f>(INT($E$25*1/$D140)-INT($E$25*(1-1)/$D140))*$C140</f>
        <v>0.0</v>
      </c>
      <c r="F140" s="44">
        <f>(INT($E$25*2/$D140)-INT($E$25*(2-1)/$D140))*$C140</f>
        <v>36.0</v>
      </c>
      <c r="G140" s="44">
        <f>(INT($E$25*3/$D140)-INT($E$25*(3-1)/$D140))*$C140</f>
        <v>0.0</v>
      </c>
      <c r="H140" s="44">
        <f>(INT($E$25*4/$D140)-INT($E$25*(4-1)/$D140))*$C140</f>
        <v>36.0</v>
      </c>
      <c r="I140" s="44">
        <f>(INT($E$25*5/$D140)-INT($E$25*(5-1)/$D140))*$C140</f>
        <v>0.0</v>
      </c>
      <c r="J140" s="44">
        <f>(INT($E$25*6/$D140)-INT($E$25*(6-1)/$D140))*$C140</f>
        <v>36.0</v>
      </c>
      <c r="K140" s="44">
        <f>(INT($E$25*7/$D140)-INT($E$25*(7-1)/$D140))*$C140</f>
        <v>0.0</v>
      </c>
      <c r="L140" s="44">
        <f>(INT($E$25*8/$D140)-INT($E$25*(8-1)/$D140))*$C140</f>
        <v>36.0</v>
      </c>
      <c r="M140" s="44">
        <f>(INT($E$25*9/$D140)-INT($E$25*(9-1)/$D140))*$C140</f>
        <v>0.0</v>
      </c>
      <c r="N140" s="44">
        <f>(INT($E$25*10/$D140)-INT($E$25*(10-1)/$D140))*$C140</f>
        <v>36.0</v>
      </c>
    </row>
    <row r="141">
      <c r="B141" s="22" t="inlineStr">
        <is>
          <t>Г. распределитель (2)</t>
        </is>
      </c>
      <c r="C141" s="43" t="n">
        <v>36</v>
      </c>
      <c r="D141" s="45" t="n">
        <v>13200</v>
      </c>
      <c r="E141" s="44">
        <f>(INT($E$25*1/$D141)-INT($E$25*(1-1)/$D141))*$C141</f>
        <v>0.0</v>
      </c>
      <c r="F141" s="44">
        <f>(INT($E$25*2/$D141)-INT($E$25*(2-1)/$D141))*$C141</f>
        <v>36.0</v>
      </c>
      <c r="G141" s="44">
        <f>(INT($E$25*3/$D141)-INT($E$25*(3-1)/$D141))*$C141</f>
        <v>0.0</v>
      </c>
      <c r="H141" s="44">
        <f>(INT($E$25*4/$D141)-INT($E$25*(4-1)/$D141))*$C141</f>
        <v>36.0</v>
      </c>
      <c r="I141" s="44">
        <f>(INT($E$25*5/$D141)-INT($E$25*(5-1)/$D141))*$C141</f>
        <v>0.0</v>
      </c>
      <c r="J141" s="44">
        <f>(INT($E$25*6/$D141)-INT($E$25*(6-1)/$D141))*$C141</f>
        <v>36.0</v>
      </c>
      <c r="K141" s="44">
        <f>(INT($E$25*7/$D141)-INT($E$25*(7-1)/$D141))*$C141</f>
        <v>0.0</v>
      </c>
      <c r="L141" s="44">
        <f>(INT($E$25*8/$D141)-INT($E$25*(8-1)/$D141))*$C141</f>
        <v>36.0</v>
      </c>
      <c r="M141" s="44">
        <f>(INT($E$25*9/$D141)-INT($E$25*(9-1)/$D141))*$C141</f>
        <v>0.0</v>
      </c>
      <c r="N141" s="44">
        <f>(INT($E$25*10/$D141)-INT($E$25*(10-1)/$D141))*$C141</f>
        <v>36.0</v>
      </c>
    </row>
    <row r="142">
      <c r="B142" s="22" t="inlineStr">
        <is>
          <t>Г.насос управления</t>
        </is>
      </c>
      <c r="C142" s="43" t="n">
        <v>24</v>
      </c>
      <c r="D142" s="45" t="n">
        <v>13200</v>
      </c>
      <c r="E142" s="44">
        <f>(INT($E$25*1/$D142)-INT($E$25*(1-1)/$D142))*$C142</f>
        <v>0.0</v>
      </c>
      <c r="F142" s="44">
        <f>(INT($E$25*2/$D142)-INT($E$25*(2-1)/$D142))*$C142</f>
        <v>24.0</v>
      </c>
      <c r="G142" s="44">
        <f>(INT($E$25*3/$D142)-INT($E$25*(3-1)/$D142))*$C142</f>
        <v>0.0</v>
      </c>
      <c r="H142" s="44">
        <f>(INT($E$25*4/$D142)-INT($E$25*(4-1)/$D142))*$C142</f>
        <v>24.0</v>
      </c>
      <c r="I142" s="44">
        <f>(INT($E$25*5/$D142)-INT($E$25*(5-1)/$D142))*$C142</f>
        <v>0.0</v>
      </c>
      <c r="J142" s="44">
        <f>(INT($E$25*6/$D142)-INT($E$25*(6-1)/$D142))*$C142</f>
        <v>24.0</v>
      </c>
      <c r="K142" s="44">
        <f>(INT($E$25*7/$D142)-INT($E$25*(7-1)/$D142))*$C142</f>
        <v>0.0</v>
      </c>
      <c r="L142" s="44">
        <f>(INT($E$25*8/$D142)-INT($E$25*(8-1)/$D142))*$C142</f>
        <v>24.0</v>
      </c>
      <c r="M142" s="44">
        <f>(INT($E$25*9/$D142)-INT($E$25*(9-1)/$D142))*$C142</f>
        <v>0.0</v>
      </c>
      <c r="N142" s="44">
        <f>(INT($E$25*10/$D142)-INT($E$25*(10-1)/$D142))*$C142</f>
        <v>24.0</v>
      </c>
    </row>
    <row r="143">
      <c r="B143" s="22" t="inlineStr">
        <is>
          <t>Г.насос</t>
        </is>
      </c>
      <c r="C143" s="43" t="n">
        <v>36</v>
      </c>
      <c r="D143" s="45" t="n">
        <v>13200</v>
      </c>
      <c r="E143" s="44">
        <f>(INT($E$25*1/$D143)-INT($E$25*(1-1)/$D143))*$C143</f>
        <v>0.0</v>
      </c>
      <c r="F143" s="44">
        <f>(INT($E$25*2/$D143)-INT($E$25*(2-1)/$D143))*$C143</f>
        <v>36.0</v>
      </c>
      <c r="G143" s="44">
        <f>(INT($E$25*3/$D143)-INT($E$25*(3-1)/$D143))*$C143</f>
        <v>0.0</v>
      </c>
      <c r="H143" s="44">
        <f>(INT($E$25*4/$D143)-INT($E$25*(4-1)/$D143))*$C143</f>
        <v>36.0</v>
      </c>
      <c r="I143" s="44">
        <f>(INT($E$25*5/$D143)-INT($E$25*(5-1)/$D143))*$C143</f>
        <v>0.0</v>
      </c>
      <c r="J143" s="44">
        <f>(INT($E$25*6/$D143)-INT($E$25*(6-1)/$D143))*$C143</f>
        <v>36.0</v>
      </c>
      <c r="K143" s="44">
        <f>(INT($E$25*7/$D143)-INT($E$25*(7-1)/$D143))*$C143</f>
        <v>0.0</v>
      </c>
      <c r="L143" s="44">
        <f>(INT($E$25*8/$D143)-INT($E$25*(8-1)/$D143))*$C143</f>
        <v>36.0</v>
      </c>
      <c r="M143" s="44">
        <f>(INT($E$25*9/$D143)-INT($E$25*(9-1)/$D143))*$C143</f>
        <v>0.0</v>
      </c>
      <c r="N143" s="44">
        <f>(INT($E$25*10/$D143)-INT($E$25*(10-1)/$D143))*$C143</f>
        <v>36.0</v>
      </c>
    </row>
    <row r="144">
      <c r="B144" s="22" t="inlineStr">
        <is>
          <t>Г.мотор вентелятора</t>
        </is>
      </c>
      <c r="C144" s="43" t="n">
        <v>8</v>
      </c>
      <c r="D144" s="45" t="n">
        <v>13200</v>
      </c>
      <c r="E144" s="44">
        <f>(INT($E$25*1/$D144)-INT($E$25*(1-1)/$D144))*$C144</f>
        <v>0.0</v>
      </c>
      <c r="F144" s="44">
        <f>(INT($E$25*2/$D144)-INT($E$25*(2-1)/$D144))*$C144</f>
        <v>8.0</v>
      </c>
      <c r="G144" s="44">
        <f>(INT($E$25*3/$D144)-INT($E$25*(3-1)/$D144))*$C144</f>
        <v>0.0</v>
      </c>
      <c r="H144" s="44">
        <f>(INT($E$25*4/$D144)-INT($E$25*(4-1)/$D144))*$C144</f>
        <v>8.0</v>
      </c>
      <c r="I144" s="44">
        <f>(INT($E$25*5/$D144)-INT($E$25*(5-1)/$D144))*$C144</f>
        <v>0.0</v>
      </c>
      <c r="J144" s="44">
        <f>(INT($E$25*6/$D144)-INT($E$25*(6-1)/$D144))*$C144</f>
        <v>8.0</v>
      </c>
      <c r="K144" s="44">
        <f>(INT($E$25*7/$D144)-INT($E$25*(7-1)/$D144))*$C144</f>
        <v>0.0</v>
      </c>
      <c r="L144" s="44">
        <f>(INT($E$25*8/$D144)-INT($E$25*(8-1)/$D144))*$C144</f>
        <v>8.0</v>
      </c>
      <c r="M144" s="44">
        <f>(INT($E$25*9/$D144)-INT($E$25*(9-1)/$D144))*$C144</f>
        <v>0.0</v>
      </c>
      <c r="N144" s="44">
        <f>(INT($E$25*10/$D144)-INT($E$25*(10-1)/$D144))*$C144</f>
        <v>8.0</v>
      </c>
    </row>
    <row r="145">
      <c r="B145" s="22" t="inlineStr">
        <is>
          <t>Г. мотор поворота</t>
        </is>
      </c>
      <c r="C145" s="43" t="n">
        <v>24</v>
      </c>
      <c r="D145" s="45" t="n">
        <v>13200</v>
      </c>
      <c r="E145" s="44">
        <f>(INT($E$25*1/$D145)-INT($E$25*(1-1)/$D145))*$C145</f>
        <v>0.0</v>
      </c>
      <c r="F145" s="44">
        <f>(INT($E$25*2/$D145)-INT($E$25*(2-1)/$D145))*$C145</f>
        <v>24.0</v>
      </c>
      <c r="G145" s="44">
        <f>(INT($E$25*3/$D145)-INT($E$25*(3-1)/$D145))*$C145</f>
        <v>0.0</v>
      </c>
      <c r="H145" s="44">
        <f>(INT($E$25*4/$D145)-INT($E$25*(4-1)/$D145))*$C145</f>
        <v>24.0</v>
      </c>
      <c r="I145" s="44">
        <f>(INT($E$25*5/$D145)-INT($E$25*(5-1)/$D145))*$C145</f>
        <v>0.0</v>
      </c>
      <c r="J145" s="44">
        <f>(INT($E$25*6/$D145)-INT($E$25*(6-1)/$D145))*$C145</f>
        <v>24.0</v>
      </c>
      <c r="K145" s="44">
        <f>(INT($E$25*7/$D145)-INT($E$25*(7-1)/$D145))*$C145</f>
        <v>0.0</v>
      </c>
      <c r="L145" s="44">
        <f>(INT($E$25*8/$D145)-INT($E$25*(8-1)/$D145))*$C145</f>
        <v>24.0</v>
      </c>
      <c r="M145" s="44">
        <f>(INT($E$25*9/$D145)-INT($E$25*(9-1)/$D145))*$C145</f>
        <v>0.0</v>
      </c>
      <c r="N145" s="44">
        <f>(INT($E$25*10/$D145)-INT($E$25*(10-1)/$D145))*$C145</f>
        <v>24.0</v>
      </c>
    </row>
    <row r="146">
      <c r="B146" s="22" t="inlineStr">
        <is>
          <t>Поворотный круг</t>
        </is>
      </c>
      <c r="C146" s="43" t="n">
        <v>144</v>
      </c>
      <c r="D146" s="45" t="n">
        <v>17600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144.0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144.0</v>
      </c>
      <c r="K146" s="44">
        <f>(INT($E$25*7/$D146)-INT($E$25*(7-1)/$D146))*$C146</f>
        <v>0.0</v>
      </c>
      <c r="L146" s="44">
        <f>(INT($E$25*8/$D146)-INT($E$25*(8-1)/$D146))*$C146</f>
        <v>144.0</v>
      </c>
      <c r="M146" s="44">
        <f>(INT($E$25*9/$D146)-INT($E$25*(9-1)/$D146))*$C146</f>
        <v>0.0</v>
      </c>
      <c r="N146" s="44">
        <f>(INT($E$25*10/$D146)-INT($E$25*(10-1)/$D146))*$C146</f>
        <v>0.0</v>
      </c>
    </row>
    <row r="147">
      <c r="B147" s="22" t="inlineStr">
        <is>
          <t>РЕДУКТОР ПОВОРОТА</t>
        </is>
      </c>
      <c r="C147" s="43" t="n">
        <v>24</v>
      </c>
      <c r="D147" s="45" t="n">
        <v>13200</v>
      </c>
      <c r="E147" s="44">
        <f>(INT($E$25*1/$D147)-INT($E$25*(1-1)/$D147))*$C147</f>
        <v>0.0</v>
      </c>
      <c r="F147" s="44">
        <f>(INT($E$25*2/$D147)-INT($E$25*(2-1)/$D147))*$C147</f>
        <v>24.0</v>
      </c>
      <c r="G147" s="44">
        <f>(INT($E$25*3/$D147)-INT($E$25*(3-1)/$D147))*$C147</f>
        <v>0.0</v>
      </c>
      <c r="H147" s="44">
        <f>(INT($E$25*4/$D147)-INT($E$25*(4-1)/$D147))*$C147</f>
        <v>24.0</v>
      </c>
      <c r="I147" s="44">
        <f>(INT($E$25*5/$D147)-INT($E$25*(5-1)/$D147))*$C147</f>
        <v>0.0</v>
      </c>
      <c r="J147" s="44">
        <f>(INT($E$25*6/$D147)-INT($E$25*(6-1)/$D147))*$C147</f>
        <v>24.0</v>
      </c>
      <c r="K147" s="44">
        <f>(INT($E$25*7/$D147)-INT($E$25*(7-1)/$D147))*$C147</f>
        <v>0.0</v>
      </c>
      <c r="L147" s="44">
        <f>(INT($E$25*8/$D147)-INT($E$25*(8-1)/$D147))*$C147</f>
        <v>24.0</v>
      </c>
      <c r="M147" s="44">
        <f>(INT($E$25*9/$D147)-INT($E$25*(9-1)/$D147))*$C147</f>
        <v>0.0</v>
      </c>
      <c r="N147" s="44">
        <f>(INT($E$25*10/$D147)-INT($E$25*(10-1)/$D147))*$C147</f>
        <v>24.0</v>
      </c>
    </row>
    <row r="148">
      <c r="B148" s="22" t="inlineStr">
        <is>
          <t>ДВС</t>
        </is>
      </c>
      <c r="C148" s="43" t="n">
        <v>72</v>
      </c>
      <c r="D148" s="45" t="n">
        <v>17600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72.0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72.0</v>
      </c>
      <c r="K148" s="44">
        <f>(INT($E$25*7/$D148)-INT($E$25*(7-1)/$D148))*$C148</f>
        <v>0.0</v>
      </c>
      <c r="L148" s="44">
        <f>(INT($E$25*8/$D148)-INT($E$25*(8-1)/$D148))*$C148</f>
        <v>72.0</v>
      </c>
      <c r="M148" s="44">
        <f>(INT($E$25*9/$D148)-INT($E$25*(9-1)/$D148))*$C148</f>
        <v>0.0</v>
      </c>
      <c r="N148" s="44">
        <f>(INT($E$25*10/$D148)-INT($E$25*(10-1)/$D148))*$C148</f>
        <v>0.0</v>
      </c>
    </row>
    <row r="149">
      <c r="B149" s="22" t="inlineStr">
        <is>
          <t>МЕХАНИЗМ ОТБОРА МОЩНОСТИ</t>
        </is>
      </c>
      <c r="C149" s="43" t="n">
        <v>48</v>
      </c>
      <c r="D149" s="45" t="n">
        <v>17600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48.0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48.0</v>
      </c>
      <c r="K149" s="44">
        <f>(INT($E$25*7/$D149)-INT($E$25*(7-1)/$D149))*$C149</f>
        <v>0.0</v>
      </c>
      <c r="L149" s="44">
        <f>(INT($E$25*8/$D149)-INT($E$25*(8-1)/$D149))*$C149</f>
        <v>48.0</v>
      </c>
      <c r="M149" s="44">
        <f>(INT($E$25*9/$D149)-INT($E$25*(9-1)/$D149))*$C149</f>
        <v>0.0</v>
      </c>
      <c r="N149" s="44">
        <f>(INT($E$25*10/$D149)-INT($E$25*(10-1)/$D149))*$C149</f>
        <v>0.0</v>
      </c>
    </row>
    <row r="150">
      <c r="B150" s="22" t="inlineStr">
        <is>
          <t>Турбокомпрессор</t>
        </is>
      </c>
      <c r="C150" s="43" t="n">
        <v>8</v>
      </c>
      <c r="D150" s="45" t="n">
        <v>8800</v>
      </c>
      <c r="E150" s="44">
        <f>(INT($E$25*1/$D150)-INT($E$25*(1-1)/$D150))*$C150</f>
        <v>0.0</v>
      </c>
      <c r="F150" s="44">
        <f>(INT($E$25*2/$D150)-INT($E$25*(2-1)/$D150))*$C150</f>
        <v>8.0</v>
      </c>
      <c r="G150" s="44">
        <f>(INT($E$25*3/$D150)-INT($E$25*(3-1)/$D150))*$C150</f>
        <v>8.0</v>
      </c>
      <c r="H150" s="44">
        <f>(INT($E$25*4/$D150)-INT($E$25*(4-1)/$D150))*$C150</f>
        <v>8.0</v>
      </c>
      <c r="I150" s="44">
        <f>(INT($E$25*5/$D150)-INT($E$25*(5-1)/$D150))*$C150</f>
        <v>0.0</v>
      </c>
      <c r="J150" s="44">
        <f>(INT($E$25*6/$D150)-INT($E$25*(6-1)/$D150))*$C150</f>
        <v>8.0</v>
      </c>
      <c r="K150" s="44">
        <f>(INT($E$25*7/$D150)-INT($E$25*(7-1)/$D150))*$C150</f>
        <v>8.0</v>
      </c>
      <c r="L150" s="44">
        <f>(INT($E$25*8/$D150)-INT($E$25*(8-1)/$D150))*$C150</f>
        <v>8.0</v>
      </c>
      <c r="M150" s="44">
        <f>(INT($E$25*9/$D150)-INT($E$25*(9-1)/$D150))*$C150</f>
        <v>8.0</v>
      </c>
      <c r="N150" s="44">
        <f>(INT($E$25*10/$D150)-INT($E$25*(10-1)/$D150))*$C150</f>
        <v>0.0</v>
      </c>
    </row>
    <row r="151">
      <c r="B151" s="22" t="inlineStr">
        <is>
          <t>Турбокомпрессор (2)</t>
        </is>
      </c>
      <c r="C151" s="43" t="n">
        <v>8</v>
      </c>
      <c r="D151" s="45" t="n">
        <v>8800</v>
      </c>
      <c r="E151" s="44">
        <f>(INT($E$25*1/$D151)-INT($E$25*(1-1)/$D151))*$C151</f>
        <v>0.0</v>
      </c>
      <c r="F151" s="44">
        <f>(INT($E$25*2/$D151)-INT($E$25*(2-1)/$D151))*$C151</f>
        <v>8.0</v>
      </c>
      <c r="G151" s="44">
        <f>(INT($E$25*3/$D151)-INT($E$25*(3-1)/$D151))*$C151</f>
        <v>8.0</v>
      </c>
      <c r="H151" s="44">
        <f>(INT($E$25*4/$D151)-INT($E$25*(4-1)/$D151))*$C151</f>
        <v>8.0</v>
      </c>
      <c r="I151" s="44">
        <f>(INT($E$25*5/$D151)-INT($E$25*(5-1)/$D151))*$C151</f>
        <v>0.0</v>
      </c>
      <c r="J151" s="44">
        <f>(INT($E$25*6/$D151)-INT($E$25*(6-1)/$D151))*$C151</f>
        <v>8.0</v>
      </c>
      <c r="K151" s="44">
        <f>(INT($E$25*7/$D151)-INT($E$25*(7-1)/$D151))*$C151</f>
        <v>8.0</v>
      </c>
      <c r="L151" s="44">
        <f>(INT($E$25*8/$D151)-INT($E$25*(8-1)/$D151))*$C151</f>
        <v>8.0</v>
      </c>
      <c r="M151" s="44">
        <f>(INT($E$25*9/$D151)-INT($E$25*(9-1)/$D151))*$C151</f>
        <v>8.0</v>
      </c>
      <c r="N151" s="44">
        <f>(INT($E$25*10/$D151)-INT($E$25*(10-1)/$D151))*$C151</f>
        <v>0.0</v>
      </c>
    </row>
    <row r="152">
      <c r="B152" s="22" t="inlineStr">
        <is>
          <t>Топл. Насос</t>
        </is>
      </c>
      <c r="C152" s="43" t="n">
        <v>24</v>
      </c>
      <c r="D152" s="45" t="n">
        <v>17600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24.0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24.0</v>
      </c>
      <c r="K152" s="44">
        <f>(INT($E$25*7/$D152)-INT($E$25*(7-1)/$D152))*$C152</f>
        <v>0.0</v>
      </c>
      <c r="L152" s="44">
        <f>(INT($E$25*8/$D152)-INT($E$25*(8-1)/$D152))*$C152</f>
        <v>24.0</v>
      </c>
      <c r="M152" s="44">
        <f>(INT($E$25*9/$D152)-INT($E$25*(9-1)/$D152))*$C152</f>
        <v>0.0</v>
      </c>
      <c r="N152" s="44">
        <f>(INT($E$25*10/$D152)-INT($E$25*(10-1)/$D152))*$C152</f>
        <v>0.0</v>
      </c>
    </row>
    <row r="153">
      <c r="B153" s="22" t="inlineStr">
        <is>
          <t>Топл. Форсунка</t>
        </is>
      </c>
      <c r="C153" s="43" t="n">
        <v>24</v>
      </c>
      <c r="D153" s="45" t="n">
        <v>8800</v>
      </c>
      <c r="E153" s="44">
        <f>(INT($E$25*1/$D153)-INT($E$25*(1-1)/$D153))*$C153</f>
        <v>0.0</v>
      </c>
      <c r="F153" s="44">
        <f>(INT($E$25*2/$D153)-INT($E$25*(2-1)/$D153))*$C153</f>
        <v>24.0</v>
      </c>
      <c r="G153" s="44">
        <f>(INT($E$25*3/$D153)-INT($E$25*(3-1)/$D153))*$C153</f>
        <v>24.0</v>
      </c>
      <c r="H153" s="44">
        <f>(INT($E$25*4/$D153)-INT($E$25*(4-1)/$D153))*$C153</f>
        <v>24.0</v>
      </c>
      <c r="I153" s="44">
        <f>(INT($E$25*5/$D153)-INT($E$25*(5-1)/$D153))*$C153</f>
        <v>0.0</v>
      </c>
      <c r="J153" s="44">
        <f>(INT($E$25*6/$D153)-INT($E$25*(6-1)/$D153))*$C153</f>
        <v>24.0</v>
      </c>
      <c r="K153" s="44">
        <f>(INT($E$25*7/$D153)-INT($E$25*(7-1)/$D153))*$C153</f>
        <v>24.0</v>
      </c>
      <c r="L153" s="44">
        <f>(INT($E$25*8/$D153)-INT($E$25*(8-1)/$D153))*$C153</f>
        <v>24.0</v>
      </c>
      <c r="M153" s="44">
        <f>(INT($E$25*9/$D153)-INT($E$25*(9-1)/$D153))*$C153</f>
        <v>24.0</v>
      </c>
      <c r="N153" s="44">
        <f>(INT($E$25*10/$D153)-INT($E$25*(10-1)/$D153))*$C153</f>
        <v>0.0</v>
      </c>
    </row>
    <row r="154">
      <c r="B154" s="22" t="inlineStr">
        <is>
          <t>Водиной насос</t>
        </is>
      </c>
      <c r="C154" s="43" t="n">
        <v>24</v>
      </c>
      <c r="D154" s="45" t="n">
        <v>8800</v>
      </c>
      <c r="E154" s="44">
        <f>(INT($E$25*1/$D154)-INT($E$25*(1-1)/$D154))*$C154</f>
        <v>0.0</v>
      </c>
      <c r="F154" s="44">
        <f>(INT($E$25*2/$D154)-INT($E$25*(2-1)/$D154))*$C154</f>
        <v>24.0</v>
      </c>
      <c r="G154" s="44">
        <f>(INT($E$25*3/$D154)-INT($E$25*(3-1)/$D154))*$C154</f>
        <v>24.0</v>
      </c>
      <c r="H154" s="44">
        <f>(INT($E$25*4/$D154)-INT($E$25*(4-1)/$D154))*$C154</f>
        <v>24.0</v>
      </c>
      <c r="I154" s="44">
        <f>(INT($E$25*5/$D154)-INT($E$25*(5-1)/$D154))*$C154</f>
        <v>0.0</v>
      </c>
      <c r="J154" s="44">
        <f>(INT($E$25*6/$D154)-INT($E$25*(6-1)/$D154))*$C154</f>
        <v>24.0</v>
      </c>
      <c r="K154" s="44">
        <f>(INT($E$25*7/$D154)-INT($E$25*(7-1)/$D154))*$C154</f>
        <v>24.0</v>
      </c>
      <c r="L154" s="44">
        <f>(INT($E$25*8/$D154)-INT($E$25*(8-1)/$D154))*$C154</f>
        <v>24.0</v>
      </c>
      <c r="M154" s="44">
        <f>(INT($E$25*9/$D154)-INT($E$25*(9-1)/$D154))*$C154</f>
        <v>24.0</v>
      </c>
      <c r="N154" s="44">
        <f>(INT($E$25*10/$D154)-INT($E$25*(10-1)/$D154))*$C154</f>
        <v>0.0</v>
      </c>
    </row>
    <row r="155">
      <c r="B155" s="22" t="inlineStr">
        <is>
          <t>Генератор</t>
        </is>
      </c>
      <c r="C155" s="43" t="n">
        <v>8</v>
      </c>
      <c r="D155" s="45" t="n">
        <v>15000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8.0</v>
      </c>
      <c r="H155" s="44">
        <f>(INT($E$25*4/$D155)-INT($E$25*(4-1)/$D155))*$C155</f>
        <v>0.0</v>
      </c>
      <c r="I155" s="44">
        <f>(INT($E$25*5/$D155)-INT($E$25*(5-1)/$D155))*$C155</f>
        <v>8.0</v>
      </c>
      <c r="J155" s="44">
        <f>(INT($E$25*6/$D155)-INT($E$25*(6-1)/$D155))*$C155</f>
        <v>0.0</v>
      </c>
      <c r="K155" s="44">
        <f>(INT($E$25*7/$D155)-INT($E$25*(7-1)/$D155))*$C155</f>
        <v>8.0</v>
      </c>
      <c r="L155" s="44">
        <f>(INT($E$25*8/$D155)-INT($E$25*(8-1)/$D155))*$C155</f>
        <v>0.0</v>
      </c>
      <c r="M155" s="44">
        <f>(INT($E$25*9/$D155)-INT($E$25*(9-1)/$D155))*$C155</f>
        <v>8.0</v>
      </c>
      <c r="N155" s="44">
        <f>(INT($E$25*10/$D155)-INT($E$25*(10-1)/$D155))*$C155</f>
        <v>0.0</v>
      </c>
    </row>
    <row r="156">
      <c r="B156" s="22" t="inlineStr">
        <is>
          <t>Стартер</t>
        </is>
      </c>
      <c r="C156" s="43" t="n">
        <v>8</v>
      </c>
      <c r="D156" s="45" t="n">
        <v>8800</v>
      </c>
      <c r="E156" s="44">
        <f>(INT($E$25*1/$D156)-INT($E$25*(1-1)/$D156))*$C156</f>
        <v>0.0</v>
      </c>
      <c r="F156" s="44">
        <f>(INT($E$25*2/$D156)-INT($E$25*(2-1)/$D156))*$C156</f>
        <v>8.0</v>
      </c>
      <c r="G156" s="44">
        <f>(INT($E$25*3/$D156)-INT($E$25*(3-1)/$D156))*$C156</f>
        <v>8.0</v>
      </c>
      <c r="H156" s="44">
        <f>(INT($E$25*4/$D156)-INT($E$25*(4-1)/$D156))*$C156</f>
        <v>8.0</v>
      </c>
      <c r="I156" s="44">
        <f>(INT($E$25*5/$D156)-INT($E$25*(5-1)/$D156))*$C156</f>
        <v>0.0</v>
      </c>
      <c r="J156" s="44">
        <f>(INT($E$25*6/$D156)-INT($E$25*(6-1)/$D156))*$C156</f>
        <v>8.0</v>
      </c>
      <c r="K156" s="44">
        <f>(INT($E$25*7/$D156)-INT($E$25*(7-1)/$D156))*$C156</f>
        <v>8.0</v>
      </c>
      <c r="L156" s="44">
        <f>(INT($E$25*8/$D156)-INT($E$25*(8-1)/$D156))*$C156</f>
        <v>8.0</v>
      </c>
      <c r="M156" s="44">
        <f>(INT($E$25*9/$D156)-INT($E$25*(9-1)/$D156))*$C156</f>
        <v>8.0</v>
      </c>
      <c r="N156" s="44">
        <f>(INT($E$25*10/$D156)-INT($E$25*(10-1)/$D156))*$C156</f>
        <v>0.0</v>
      </c>
    </row>
    <row r="157">
      <c r="B157" s="46" t="inlineStr">
        <is>
          <t>ИТОГО</t>
        </is>
      </c>
      <c r="E157" s="44">
        <f>SUM(E129:E156)</f>
        <v>0.0</v>
      </c>
      <c r="F157" s="44">
        <f>SUM(F129:F156)</f>
        <v>316.0</v>
      </c>
      <c r="G157" s="44">
        <f>SUM(G129:G156)</f>
        <v>524.0</v>
      </c>
      <c r="H157" s="44">
        <f>SUM(H129:H156)</f>
        <v>316.0</v>
      </c>
      <c r="I157" s="44">
        <f>SUM(I129:I156)</f>
        <v>8.0</v>
      </c>
      <c r="J157" s="44">
        <f>SUM(J129:J156)</f>
        <v>760.0</v>
      </c>
      <c r="K157" s="44">
        <f>SUM(K129:K156)</f>
        <v>80.0</v>
      </c>
      <c r="L157" s="44">
        <f>SUM(L129:L156)</f>
        <v>760.0</v>
      </c>
      <c r="M157" s="44">
        <f>SUM(M129:M156)</f>
        <v>80.0</v>
      </c>
      <c r="N157" s="44">
        <f>SUM(N129:N156)</f>
        <v>244.0</v>
      </c>
    </row>
    <row r="159">
      <c r="B159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90:N90"/>
    <mergeCell ref="B45:N45"/>
    <mergeCell ref="B79:N79"/>
    <mergeCell ref="B1:N1"/>
    <mergeCell ref="B159:P159"/>
    <mergeCell ref="B83:N83"/>
    <mergeCell ref="E4:N4"/>
    <mergeCell ref="B127:N127"/>
    <mergeCell ref="B7:N7"/>
    <mergeCell ref="B24:N24"/>
    <mergeCell ref="B2:N2"/>
    <mergeCell ref="B95:N95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3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2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данных'!E7</f>
        <v>Komatsu PC2000-11R
ИСТК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1298.94</v>
      </c>
      <c r="G9" s="38">
        <f>G80</f>
        <v>1057.5</v>
      </c>
      <c r="H9" s="38">
        <f>H80</f>
        <v>1603.44</v>
      </c>
      <c r="I9" s="38">
        <f>I80</f>
        <v>1613.61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199.66250000000002</v>
      </c>
      <c r="G10" s="38">
        <f>('Параметры'!C26-G8-G9)/'Параметры'!C33*20/60</f>
        <v>206.3691666666667</v>
      </c>
      <c r="H10" s="38">
        <f>('Параметры'!C26-H8-H9)/'Параметры'!C33*20/60</f>
        <v>191.2041666666667</v>
      </c>
      <c r="I10" s="38">
        <f>('Параметры'!C26-I8-I9)/'Параметры'!C33*20/60</f>
        <v>190.9216666666667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0.797738299086758</v>
      </c>
      <c r="G11" s="39">
        <f>('Параметры'!C26-G8-G9-G10)/'Параметры'!C26</f>
        <v>0.8245343417047185</v>
      </c>
      <c r="H11" s="39">
        <f>('Параметры'!C26-H8-H9-H10)/'Параметры'!C26</f>
        <v>0.7639435882800609</v>
      </c>
      <c r="I11" s="39">
        <f>('Параметры'!C26-I8-I9-I10)/'Параметры'!C26</f>
        <v>0.7628148782343989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E111*$E$81</f>
        <v>0.0</v>
      </c>
      <c r="F14" s="38">
        <f>F111*$E$81</f>
        <v>38.6841</v>
      </c>
      <c r="G14" s="38">
        <f>G111*$E$81</f>
        <v>525.8770999999999</v>
      </c>
      <c r="H14" s="38">
        <f>H111*$E$81</f>
        <v>1317.0265</v>
      </c>
      <c r="I14" s="38">
        <f>I111*$E$81</f>
        <v>110.0</v>
      </c>
      <c r="J14" s="38">
        <f>J111*$E$81</f>
        <v>564.5612</v>
      </c>
      <c r="K14" s="38">
        <f>K111*$E$81</f>
        <v>38.6841</v>
      </c>
      <c r="L14" s="38">
        <f>L111*$E$81</f>
        <v>1278.3424</v>
      </c>
      <c r="M14" s="38">
        <f>M111*$E$81</f>
        <v>674.5612</v>
      </c>
      <c r="N14" s="38">
        <f>N111*$E$81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E131*$E$81</f>
        <v>0.0</v>
      </c>
      <c r="F17" s="38">
        <f>F131*$E$81</f>
        <v>32.0</v>
      </c>
      <c r="G17" s="38">
        <f>G131*$E$81</f>
        <v>148.0</v>
      </c>
      <c r="H17" s="38">
        <f>H131*$E$81</f>
        <v>236.0</v>
      </c>
      <c r="I17" s="38">
        <f>I131*$E$81</f>
        <v>24.0</v>
      </c>
      <c r="J17" s="38">
        <f>J131*$E$81</f>
        <v>180.0</v>
      </c>
      <c r="K17" s="38">
        <f>K131*$E$81</f>
        <v>32.0</v>
      </c>
      <c r="L17" s="38">
        <f>L131*$E$81</f>
        <v>204.0</v>
      </c>
      <c r="M17" s="38">
        <f>M131*$E$81</f>
        <v>204.0</v>
      </c>
      <c r="N17" s="38">
        <f>N131*$E$81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1.6</v>
      </c>
      <c r="G20" s="38">
        <f>G17*$E$77/1000</f>
        <v>7.4</v>
      </c>
      <c r="H20" s="38">
        <f>H17*$E$77/1000</f>
        <v>11.8</v>
      </c>
      <c r="I20" s="38">
        <f>I17*$E$77/1000</f>
        <v>1.2</v>
      </c>
      <c r="J20" s="38">
        <f>J17*$E$77/1000</f>
        <v>9.0</v>
      </c>
      <c r="K20" s="38">
        <f>K17*$E$77/1000</f>
        <v>1.6</v>
      </c>
      <c r="L20" s="38">
        <f>L17*$E$77/1000</f>
        <v>10.2</v>
      </c>
      <c r="M20" s="38">
        <f>M17*$E$77/1000</f>
        <v>10.2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134.84071999999998</v>
      </c>
      <c r="F21" s="38">
        <f>F12+F13+F14+F18+F19+F20</f>
        <v>175.12482</v>
      </c>
      <c r="G21" s="38">
        <f>G12+G13+G14+G18+G19+G20</f>
        <v>668.1178199999999</v>
      </c>
      <c r="H21" s="38">
        <f>H12+H13+H14+H18+H19+H20</f>
        <v>1463.6672199999998</v>
      </c>
      <c r="I21" s="38">
        <f>I12+I13+I14+I18+I19+I20</f>
        <v>246.04072</v>
      </c>
      <c r="J21" s="38">
        <f>J12+J13+J14+J18+J19+J20</f>
        <v>708.40192</v>
      </c>
      <c r="K21" s="38">
        <f>K12+K13+K14+K18+K19+K20</f>
        <v>175.12482</v>
      </c>
      <c r="L21" s="38">
        <f>L12+L13+L14+L18+L19+L20</f>
        <v>1423.38312</v>
      </c>
      <c r="M21" s="38">
        <f>M12+M13+M14+M18+M19+M20</f>
        <v>819.6019200000001</v>
      </c>
      <c r="N21" s="38">
        <f>N12+N13+N14+N18+N19+N20</f>
        <v>134.84071999999998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85.81</v>
      </c>
      <c r="F22" s="33" t="n">
        <v>85.81</v>
      </c>
      <c r="G22" s="33" t="n">
        <v>85.81</v>
      </c>
      <c r="H22" s="33" t="n">
        <v>85.81</v>
      </c>
      <c r="I22" s="33" t="n">
        <v>85.81</v>
      </c>
      <c r="J22" s="33" t="n">
        <v>85.81</v>
      </c>
      <c r="K22" s="33" t="n">
        <v>85.81</v>
      </c>
      <c r="L22" s="33" t="n">
        <v>85.81</v>
      </c>
      <c r="M22" s="33" t="n">
        <v>85.81</v>
      </c>
      <c r="N22" s="33" t="n">
        <v>85.81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1298.94</v>
      </c>
      <c r="G80" s="31" t="n">
        <v>1057.5</v>
      </c>
      <c r="H80" s="31" t="n">
        <v>1603.44</v>
      </c>
      <c r="I80" s="31" t="n">
        <v>1613.61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Ходовые моторы</t>
        </is>
      </c>
      <c r="C95" s="43" t="n">
        <v>89.90000000000001</v>
      </c>
      <c r="D95" s="45" t="n">
        <v>25000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0.0</v>
      </c>
      <c r="H95" s="44">
        <f>(INT($E$25*4/$D95)-INT($E$25*(4-1)/$D95))*$C95</f>
        <v>89.9</v>
      </c>
      <c r="I95" s="44">
        <f>(INT($E$25*5/$D95)-INT($E$25*(5-1)/$D95))*$C95</f>
        <v>0.0</v>
      </c>
      <c r="J95" s="44">
        <f>(INT($E$25*6/$D95)-INT($E$25*(6-1)/$D95))*$C95</f>
        <v>0.0</v>
      </c>
      <c r="K95" s="44">
        <f>(INT($E$25*7/$D95)-INT($E$25*(7-1)/$D95))*$C95</f>
        <v>0.0</v>
      </c>
      <c r="L95" s="44">
        <f>(INT($E$25*8/$D95)-INT($E$25*(8-1)/$D95))*$C95</f>
        <v>89.9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Редуктор хода</t>
        </is>
      </c>
      <c r="C96" s="43" t="n">
        <v>332.3</v>
      </c>
      <c r="D96" s="45" t="n">
        <v>25000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0.0</v>
      </c>
      <c r="H96" s="44">
        <f>(INT($E$25*4/$D96)-INT($E$25*(4-1)/$D96))*$C96</f>
        <v>332.3</v>
      </c>
      <c r="I96" s="44">
        <f>(INT($E$25*5/$D96)-INT($E$25*(5-1)/$D96))*$C96</f>
        <v>0.0</v>
      </c>
      <c r="J96" s="44">
        <f>(INT($E$25*6/$D96)-INT($E$25*(6-1)/$D96))*$C96</f>
        <v>0.0</v>
      </c>
      <c r="K96" s="44">
        <f>(INT($E$25*7/$D96)-INT($E$25*(7-1)/$D96))*$C96</f>
        <v>0.0</v>
      </c>
      <c r="L96" s="44">
        <f>(INT($E$25*8/$D96)-INT($E$25*(8-1)/$D96))*$C96</f>
        <v>332.3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Гусеничная лента</t>
        </is>
      </c>
      <c r="C97" s="43" t="n">
        <v>184</v>
      </c>
      <c r="D97" s="45" t="n">
        <v>20000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184.0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184.0</v>
      </c>
      <c r="K97" s="44">
        <f>(INT($E$25*7/$D97)-INT($E$25*(7-1)/$D97))*$C97</f>
        <v>0.0</v>
      </c>
      <c r="L97" s="44">
        <f>(INT($E$25*8/$D97)-INT($E$25*(8-1)/$D97))*$C97</f>
        <v>0.0</v>
      </c>
      <c r="M97" s="44">
        <f>(INT($E$25*9/$D97)-INT($E$25*(9-1)/$D97))*$C97</f>
        <v>184.0</v>
      </c>
      <c r="N97" s="44">
        <f>(INT($E$25*10/$D97)-INT($E$25*(10-1)/$D97))*$C97</f>
        <v>0.0</v>
      </c>
    </row>
    <row r="98">
      <c r="B98" s="22" t="inlineStr">
        <is>
          <t>Опорные ролики (комп)</t>
        </is>
      </c>
      <c r="C98" s="43" t="n">
        <v>119.4108</v>
      </c>
      <c r="D98" s="45" t="n">
        <v>20000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119.4108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119.4108</v>
      </c>
      <c r="K98" s="44">
        <f>(INT($E$25*7/$D98)-INT($E$25*(7-1)/$D98))*$C98</f>
        <v>0.0</v>
      </c>
      <c r="L98" s="44">
        <f>(INT($E$25*8/$D98)-INT($E$25*(8-1)/$D98))*$C98</f>
        <v>0.0</v>
      </c>
      <c r="M98" s="44">
        <f>(INT($E$25*9/$D98)-INT($E$25*(9-1)/$D98))*$C98</f>
        <v>119.4108</v>
      </c>
      <c r="N98" s="44">
        <f>(INT($E$25*10/$D98)-INT($E$25*(10-1)/$D98))*$C98</f>
        <v>0.0</v>
      </c>
    </row>
    <row r="99">
      <c r="B99" s="22" t="inlineStr">
        <is>
          <t>Поддерживающие катки (комп)</t>
        </is>
      </c>
      <c r="C99" s="43" t="n">
        <v>31.3815</v>
      </c>
      <c r="D99" s="45" t="n">
        <v>20000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31.3815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31.3815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31.3815</v>
      </c>
      <c r="N99" s="44">
        <f>(INT($E$25*10/$D99)-INT($E$25*(10-1)/$D99))*$C99</f>
        <v>0.0</v>
      </c>
    </row>
    <row r="100">
      <c r="B100" s="22" t="inlineStr">
        <is>
          <t>Механизм натяжения гусениц</t>
        </is>
      </c>
      <c r="C100" s="43" t="n">
        <v>110</v>
      </c>
      <c r="D100" s="45" t="n">
        <v>30000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110.0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110.0</v>
      </c>
      <c r="N100" s="44">
        <f>(INT($E$25*10/$D100)-INT($E$25*(10-1)/$D100))*$C100</f>
        <v>0.0</v>
      </c>
    </row>
    <row r="101">
      <c r="B101" s="22" t="inlineStr">
        <is>
          <t>Натяжное колесо</t>
        </is>
      </c>
      <c r="C101" s="43" t="n">
        <v>80</v>
      </c>
      <c r="D101" s="45" t="n">
        <v>20000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80.0</v>
      </c>
      <c r="H101" s="44">
        <f>(INT($E$25*4/$D101)-INT($E$25*(4-1)/$D101))*$C101</f>
        <v>0.0</v>
      </c>
      <c r="I101" s="44">
        <f>(INT($E$25*5/$D101)-INT($E$25*(5-1)/$D101))*$C101</f>
        <v>0.0</v>
      </c>
      <c r="J101" s="44">
        <f>(INT($E$25*6/$D101)-INT($E$25*(6-1)/$D101))*$C101</f>
        <v>80.0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80.0</v>
      </c>
      <c r="N101" s="44">
        <f>(INT($E$25*10/$D101)-INT($E$25*(10-1)/$D101))*$C101</f>
        <v>0.0</v>
      </c>
    </row>
    <row r="102">
      <c r="B102" s="22" t="inlineStr">
        <is>
          <t>Гидромотор поворота платформы</t>
        </is>
      </c>
      <c r="C102" s="43" t="n">
        <v>56.4863</v>
      </c>
      <c r="D102" s="45" t="n">
        <v>25000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56.4863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0.0</v>
      </c>
      <c r="L102" s="44">
        <f>(INT($E$25*8/$D102)-INT($E$25*(8-1)/$D102))*$C102</f>
        <v>56.4863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Редуктор поворота платформы</t>
        </is>
      </c>
      <c r="C103" s="43" t="n">
        <v>84.2795</v>
      </c>
      <c r="D103" s="45" t="n">
        <v>20000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84.2795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84.2795</v>
      </c>
      <c r="K103" s="44">
        <f>(INT($E$25*7/$D103)-INT($E$25*(7-1)/$D103))*$C103</f>
        <v>0.0</v>
      </c>
      <c r="L103" s="44">
        <f>(INT($E$25*8/$D103)-INT($E$25*(8-1)/$D103))*$C103</f>
        <v>0.0</v>
      </c>
      <c r="M103" s="44">
        <f>(INT($E$25*9/$D103)-INT($E$25*(9-1)/$D103))*$C103</f>
        <v>84.2795</v>
      </c>
      <c r="N103" s="44">
        <f>(INT($E$25*10/$D103)-INT($E$25*(10-1)/$D103))*$C103</f>
        <v>0.0</v>
      </c>
    </row>
    <row r="104">
      <c r="B104" s="22" t="inlineStr">
        <is>
          <t>ДВС</t>
        </is>
      </c>
      <c r="C104" s="43" t="n">
        <v>320</v>
      </c>
      <c r="D104" s="45" t="n">
        <v>25000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0.0</v>
      </c>
      <c r="H104" s="44">
        <f>(INT($E$25*4/$D104)-INT($E$25*(4-1)/$D104))*$C104</f>
        <v>320.0</v>
      </c>
      <c r="I104" s="44">
        <f>(INT($E$25*5/$D104)-INT($E$25*(5-1)/$D104))*$C104</f>
        <v>0.0</v>
      </c>
      <c r="J104" s="44">
        <f>(INT($E$25*6/$D104)-INT($E$25*(6-1)/$D104))*$C104</f>
        <v>0.0</v>
      </c>
      <c r="K104" s="44">
        <f>(INT($E$25*7/$D104)-INT($E$25*(7-1)/$D104))*$C104</f>
        <v>0.0</v>
      </c>
      <c r="L104" s="44">
        <f>(INT($E$25*8/$D104)-INT($E$25*(8-1)/$D104))*$C104</f>
        <v>320.0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Главные насосы, 2 шт.</t>
        </is>
      </c>
      <c r="C105" s="43" t="n">
        <v>317.5399</v>
      </c>
      <c r="D105" s="45" t="n">
        <v>25000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0.0</v>
      </c>
      <c r="H105" s="44">
        <f>(INT($E$25*4/$D105)-INT($E$25*(4-1)/$D105))*$C105</f>
        <v>317.5399</v>
      </c>
      <c r="I105" s="44">
        <f>(INT($E$25*5/$D105)-INT($E$25*(5-1)/$D105))*$C105</f>
        <v>0.0</v>
      </c>
      <c r="J105" s="44">
        <f>(INT($E$25*6/$D105)-INT($E$25*(6-1)/$D105))*$C105</f>
        <v>0.0</v>
      </c>
      <c r="K105" s="44">
        <f>(INT($E$25*7/$D105)-INT($E$25*(7-1)/$D105))*$C105</f>
        <v>0.0</v>
      </c>
      <c r="L105" s="44">
        <f>(INT($E$25*8/$D105)-INT($E$25*(8-1)/$D105))*$C105</f>
        <v>317.5399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Главный распределительный клапан</t>
        </is>
      </c>
      <c r="C106" s="43" t="n">
        <v>162.1162</v>
      </c>
      <c r="D106" s="45" t="n">
        <v>25000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0.0</v>
      </c>
      <c r="H106" s="44">
        <f>(INT($E$25*4/$D106)-INT($E$25*(4-1)/$D106))*$C106</f>
        <v>162.1162</v>
      </c>
      <c r="I106" s="44">
        <f>(INT($E$25*5/$D106)-INT($E$25*(5-1)/$D106))*$C106</f>
        <v>0.0</v>
      </c>
      <c r="J106" s="44">
        <f>(INT($E$25*6/$D106)-INT($E$25*(6-1)/$D106))*$C106</f>
        <v>0.0</v>
      </c>
      <c r="K106" s="44">
        <f>(INT($E$25*7/$D106)-INT($E$25*(7-1)/$D106))*$C106</f>
        <v>0.0</v>
      </c>
      <c r="L106" s="44">
        <f>(INT($E$25*8/$D106)-INT($E$25*(8-1)/$D106))*$C106</f>
        <v>162.1162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Ремонт гидроцилиндров стрелы</t>
        </is>
      </c>
      <c r="C107" s="43" t="n">
        <v>18.3304</v>
      </c>
      <c r="D107" s="45" t="n">
        <v>12000</v>
      </c>
      <c r="E107" s="44">
        <f>(INT($E$25*1/$D107)-INT($E$25*(1-1)/$D107))*$C107</f>
        <v>0.0</v>
      </c>
      <c r="F107" s="44">
        <f>(INT($E$25*2/$D107)-INT($E$25*(2-1)/$D107))*$C107</f>
        <v>18.3304</v>
      </c>
      <c r="G107" s="44">
        <f>(INT($E$25*3/$D107)-INT($E$25*(3-1)/$D107))*$C107</f>
        <v>0.0</v>
      </c>
      <c r="H107" s="44">
        <f>(INT($E$25*4/$D107)-INT($E$25*(4-1)/$D107))*$C107</f>
        <v>18.3304</v>
      </c>
      <c r="I107" s="44">
        <f>(INT($E$25*5/$D107)-INT($E$25*(5-1)/$D107))*$C107</f>
        <v>0.0</v>
      </c>
      <c r="J107" s="44">
        <f>(INT($E$25*6/$D107)-INT($E$25*(6-1)/$D107))*$C107</f>
        <v>18.3304</v>
      </c>
      <c r="K107" s="44">
        <f>(INT($E$25*7/$D107)-INT($E$25*(7-1)/$D107))*$C107</f>
        <v>18.3304</v>
      </c>
      <c r="L107" s="44">
        <f>(INT($E$25*8/$D107)-INT($E$25*(8-1)/$D107))*$C107</f>
        <v>0.0</v>
      </c>
      <c r="M107" s="44">
        <f>(INT($E$25*9/$D107)-INT($E$25*(9-1)/$D107))*$C107</f>
        <v>18.3304</v>
      </c>
      <c r="N107" s="44">
        <f>(INT($E$25*10/$D107)-INT($E$25*(10-1)/$D107))*$C107</f>
        <v>0.0</v>
      </c>
    </row>
    <row r="108">
      <c r="B108" s="22" t="inlineStr">
        <is>
          <t>Ремонт гидроцилиндра рукояти</t>
        </is>
      </c>
      <c r="C108" s="43" t="n">
        <v>11.1981</v>
      </c>
      <c r="D108" s="45" t="n">
        <v>12000</v>
      </c>
      <c r="E108" s="44">
        <f>(INT($E$25*1/$D108)-INT($E$25*(1-1)/$D108))*$C108</f>
        <v>0.0</v>
      </c>
      <c r="F108" s="44">
        <f>(INT($E$25*2/$D108)-INT($E$25*(2-1)/$D108))*$C108</f>
        <v>11.1981</v>
      </c>
      <c r="G108" s="44">
        <f>(INT($E$25*3/$D108)-INT($E$25*(3-1)/$D108))*$C108</f>
        <v>0.0</v>
      </c>
      <c r="H108" s="44">
        <f>(INT($E$25*4/$D108)-INT($E$25*(4-1)/$D108))*$C108</f>
        <v>11.1981</v>
      </c>
      <c r="I108" s="44">
        <f>(INT($E$25*5/$D108)-INT($E$25*(5-1)/$D108))*$C108</f>
        <v>0.0</v>
      </c>
      <c r="J108" s="44">
        <f>(INT($E$25*6/$D108)-INT($E$25*(6-1)/$D108))*$C108</f>
        <v>11.1981</v>
      </c>
      <c r="K108" s="44">
        <f>(INT($E$25*7/$D108)-INT($E$25*(7-1)/$D108))*$C108</f>
        <v>11.1981</v>
      </c>
      <c r="L108" s="44">
        <f>(INT($E$25*8/$D108)-INT($E$25*(8-1)/$D108))*$C108</f>
        <v>0.0</v>
      </c>
      <c r="M108" s="44">
        <f>(INT($E$25*9/$D108)-INT($E$25*(9-1)/$D108))*$C108</f>
        <v>11.1981</v>
      </c>
      <c r="N108" s="44">
        <f>(INT($E$25*10/$D108)-INT($E$25*(10-1)/$D108))*$C108</f>
        <v>0.0</v>
      </c>
    </row>
    <row r="109">
      <c r="B109" s="22" t="inlineStr">
        <is>
          <t>Ремонт гидроцилиндра ковша</t>
        </is>
      </c>
      <c r="C109" s="43" t="n">
        <v>9.1556</v>
      </c>
      <c r="D109" s="45" t="n">
        <v>12000</v>
      </c>
      <c r="E109" s="44">
        <f>(INT($E$25*1/$D109)-INT($E$25*(1-1)/$D109))*$C109</f>
        <v>0.0</v>
      </c>
      <c r="F109" s="44">
        <f>(INT($E$25*2/$D109)-INT($E$25*(2-1)/$D109))*$C109</f>
        <v>9.1556</v>
      </c>
      <c r="G109" s="44">
        <f>(INT($E$25*3/$D109)-INT($E$25*(3-1)/$D109))*$C109</f>
        <v>0.0</v>
      </c>
      <c r="H109" s="44">
        <f>(INT($E$25*4/$D109)-INT($E$25*(4-1)/$D109))*$C109</f>
        <v>9.1556</v>
      </c>
      <c r="I109" s="44">
        <f>(INT($E$25*5/$D109)-INT($E$25*(5-1)/$D109))*$C109</f>
        <v>0.0</v>
      </c>
      <c r="J109" s="44">
        <f>(INT($E$25*6/$D109)-INT($E$25*(6-1)/$D109))*$C109</f>
        <v>9.1556</v>
      </c>
      <c r="K109" s="44">
        <f>(INT($E$25*7/$D109)-INT($E$25*(7-1)/$D109))*$C109</f>
        <v>9.1556</v>
      </c>
      <c r="L109" s="44">
        <f>(INT($E$25*8/$D109)-INT($E$25*(8-1)/$D109))*$C109</f>
        <v>0.0</v>
      </c>
      <c r="M109" s="44">
        <f>(INT($E$25*9/$D109)-INT($E$25*(9-1)/$D109))*$C109</f>
        <v>9.1556</v>
      </c>
      <c r="N109" s="44">
        <f>(INT($E$25*10/$D109)-INT($E$25*(10-1)/$D109))*$C109</f>
        <v>0.0</v>
      </c>
    </row>
    <row r="110">
      <c r="B110" s="22" t="inlineStr">
        <is>
          <t>РВД рабочего оборудования</t>
        </is>
      </c>
      <c r="C110" s="43" t="n">
        <v>26.8053</v>
      </c>
      <c r="D110" s="45" t="n">
        <v>20000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26.8053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26.8053</v>
      </c>
      <c r="K110" s="44">
        <f>(INT($E$25*7/$D110)-INT($E$25*(7-1)/$D110))*$C110</f>
        <v>0.0</v>
      </c>
      <c r="L110" s="44">
        <f>(INT($E$25*8/$D110)-INT($E$25*(8-1)/$D110))*$C110</f>
        <v>0.0</v>
      </c>
      <c r="M110" s="44">
        <f>(INT($E$25*9/$D110)-INT($E$25*(9-1)/$D110))*$C110</f>
        <v>26.8053</v>
      </c>
      <c r="N110" s="44">
        <f>(INT($E$25*10/$D110)-INT($E$25*(10-1)/$D110))*$C110</f>
        <v>0.0</v>
      </c>
    </row>
    <row r="111">
      <c r="B111" s="46" t="inlineStr">
        <is>
          <t>ИТОГО</t>
        </is>
      </c>
      <c r="E111" s="44">
        <f>SUM(E95:E110)</f>
        <v>0.0</v>
      </c>
      <c r="F111" s="44">
        <f>SUM(F95:F110)</f>
        <v>38.6841</v>
      </c>
      <c r="G111" s="44">
        <f>SUM(G95:G110)</f>
        <v>525.8770999999999</v>
      </c>
      <c r="H111" s="44">
        <f>SUM(H95:H110)</f>
        <v>1317.0265</v>
      </c>
      <c r="I111" s="44">
        <f>SUM(I95:I110)</f>
        <v>110.0</v>
      </c>
      <c r="J111" s="44">
        <f>SUM(J95:J110)</f>
        <v>564.5612</v>
      </c>
      <c r="K111" s="44">
        <f>SUM(K95:K110)</f>
        <v>38.6841</v>
      </c>
      <c r="L111" s="44">
        <f>SUM(L95:L110)</f>
        <v>1278.3424</v>
      </c>
      <c r="M111" s="44">
        <f>SUM(M95:M110)</f>
        <v>674.5612</v>
      </c>
      <c r="N111" s="44">
        <f>SUM(N95:N110)</f>
        <v>0.0</v>
      </c>
    </row>
    <row r="113">
      <c r="B113" s="5" t="inlineStr">
        <is>
          <t>КАПИТАЛЬНЫЕ РЕМОНТЫ (ЦЕХ) — ТРУДОЗАТРАТЫ (по ресурсу до замены узла)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B114" s="15" t="inlineStr">
        <is>
          <t>Наименование</t>
        </is>
      </c>
      <c r="C114" s="15" t="inlineStr">
        <is>
          <t>нормо-час/событие</t>
        </is>
      </c>
      <c r="D114" s="15" t="inlineStr">
        <is>
          <t>ресурс, м/ч</t>
        </is>
      </c>
      <c r="E114" s="15" t="inlineStr">
        <is>
          <t>год 1</t>
        </is>
      </c>
      <c r="F114" s="15" t="inlineStr">
        <is>
          <t>год 2</t>
        </is>
      </c>
      <c r="G114" s="15" t="inlineStr">
        <is>
          <t>год 3</t>
        </is>
      </c>
      <c r="H114" s="15" t="inlineStr">
        <is>
          <t>год 4</t>
        </is>
      </c>
      <c r="I114" s="15" t="inlineStr">
        <is>
          <t>год 5</t>
        </is>
      </c>
      <c r="J114" s="15" t="inlineStr">
        <is>
          <t>год 6</t>
        </is>
      </c>
      <c r="K114" s="15" t="inlineStr">
        <is>
          <t>год 7</t>
        </is>
      </c>
      <c r="L114" s="15" t="inlineStr">
        <is>
          <t>год 8</t>
        </is>
      </c>
      <c r="M114" s="15" t="inlineStr">
        <is>
          <t>год 9</t>
        </is>
      </c>
      <c r="N114" s="15" t="inlineStr">
        <is>
          <t>год 10</t>
        </is>
      </c>
    </row>
    <row r="115">
      <c r="B115" s="22" t="inlineStr">
        <is>
          <t>Ходовые моторы</t>
        </is>
      </c>
      <c r="C115" s="43" t="n">
        <v>12</v>
      </c>
      <c r="D115" s="45" t="n">
        <v>25000</v>
      </c>
      <c r="E115" s="44">
        <f>(INT($E$25*1/$D115)-INT($E$25*(1-1)/$D115))*$C115</f>
        <v>0.0</v>
      </c>
      <c r="F115" s="44">
        <f>(INT($E$25*2/$D115)-INT($E$25*(2-1)/$D115))*$C115</f>
        <v>0.0</v>
      </c>
      <c r="G115" s="44">
        <f>(INT($E$25*3/$D115)-INT($E$25*(3-1)/$D115))*$C115</f>
        <v>0.0</v>
      </c>
      <c r="H115" s="44">
        <f>(INT($E$25*4/$D115)-INT($E$25*(4-1)/$D115))*$C115</f>
        <v>12.0</v>
      </c>
      <c r="I115" s="44">
        <f>(INT($E$25*5/$D115)-INT($E$25*(5-1)/$D115))*$C115</f>
        <v>0.0</v>
      </c>
      <c r="J115" s="44">
        <f>(INT($E$25*6/$D115)-INT($E$25*(6-1)/$D115))*$C115</f>
        <v>0.0</v>
      </c>
      <c r="K115" s="44">
        <f>(INT($E$25*7/$D115)-INT($E$25*(7-1)/$D115))*$C115</f>
        <v>0.0</v>
      </c>
      <c r="L115" s="44">
        <f>(INT($E$25*8/$D115)-INT($E$25*(8-1)/$D115))*$C115</f>
        <v>12.0</v>
      </c>
      <c r="M115" s="44">
        <f>(INT($E$25*9/$D115)-INT($E$25*(9-1)/$D115))*$C115</f>
        <v>0.0</v>
      </c>
      <c r="N115" s="44">
        <f>(INT($E$25*10/$D115)-INT($E$25*(10-1)/$D115))*$C115</f>
        <v>0.0</v>
      </c>
    </row>
    <row r="116">
      <c r="B116" s="22" t="inlineStr">
        <is>
          <t>Редуктор хода</t>
        </is>
      </c>
      <c r="C116" s="43" t="n">
        <v>24</v>
      </c>
      <c r="D116" s="45" t="n">
        <v>25000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24.0</v>
      </c>
      <c r="I116" s="44">
        <f>(INT($E$25*5/$D116)-INT($E$25*(5-1)/$D116))*$C116</f>
        <v>0.0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24.0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Гусеничная лента</t>
        </is>
      </c>
      <c r="C117" s="43" t="n">
        <v>36</v>
      </c>
      <c r="D117" s="45" t="n">
        <v>20000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36.0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36.0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36.0</v>
      </c>
      <c r="N117" s="44">
        <f>(INT($E$25*10/$D117)-INT($E$25*(10-1)/$D117))*$C117</f>
        <v>0.0</v>
      </c>
    </row>
    <row r="118">
      <c r="B118" s="22" t="inlineStr">
        <is>
          <t>Опорные ролики (комп)</t>
        </is>
      </c>
      <c r="C118" s="43" t="n">
        <v>36</v>
      </c>
      <c r="D118" s="45" t="n">
        <v>20000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36.0</v>
      </c>
      <c r="H118" s="44">
        <f>(INT($E$25*4/$D118)-INT($E$25*(4-1)/$D118))*$C118</f>
        <v>0.0</v>
      </c>
      <c r="I118" s="44">
        <f>(INT($E$25*5/$D118)-INT($E$25*(5-1)/$D118))*$C118</f>
        <v>0.0</v>
      </c>
      <c r="J118" s="44">
        <f>(INT($E$25*6/$D118)-INT($E$25*(6-1)/$D118))*$C118</f>
        <v>36.0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36.0</v>
      </c>
      <c r="N118" s="44">
        <f>(INT($E$25*10/$D118)-INT($E$25*(10-1)/$D118))*$C118</f>
        <v>0.0</v>
      </c>
    </row>
    <row r="119">
      <c r="B119" s="22" t="inlineStr">
        <is>
          <t>Поддерживающие катки (комп)</t>
        </is>
      </c>
      <c r="C119" s="43" t="n">
        <v>12</v>
      </c>
      <c r="D119" s="45" t="n">
        <v>20000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12.0</v>
      </c>
      <c r="H119" s="44">
        <f>(INT($E$25*4/$D119)-INT($E$25*(4-1)/$D119))*$C119</f>
        <v>0.0</v>
      </c>
      <c r="I119" s="44">
        <f>(INT($E$25*5/$D119)-INT($E$25*(5-1)/$D119))*$C119</f>
        <v>0.0</v>
      </c>
      <c r="J119" s="44">
        <f>(INT($E$25*6/$D119)-INT($E$25*(6-1)/$D119))*$C119</f>
        <v>12.0</v>
      </c>
      <c r="K119" s="44">
        <f>(INT($E$25*7/$D119)-INT($E$25*(7-1)/$D119))*$C119</f>
        <v>0.0</v>
      </c>
      <c r="L119" s="44">
        <f>(INT($E$25*8/$D119)-INT($E$25*(8-1)/$D119))*$C119</f>
        <v>0.0</v>
      </c>
      <c r="M119" s="44">
        <f>(INT($E$25*9/$D119)-INT($E$25*(9-1)/$D119))*$C119</f>
        <v>12.0</v>
      </c>
      <c r="N119" s="44">
        <f>(INT($E$25*10/$D119)-INT($E$25*(10-1)/$D119))*$C119</f>
        <v>0.0</v>
      </c>
    </row>
    <row r="120">
      <c r="B120" s="22" t="inlineStr">
        <is>
          <t>Механизм натяжения гусениц</t>
        </is>
      </c>
      <c r="C120" s="43" t="n">
        <v>24</v>
      </c>
      <c r="D120" s="45" t="n">
        <v>30000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0.0</v>
      </c>
      <c r="I120" s="44">
        <f>(INT($E$25*5/$D120)-INT($E$25*(5-1)/$D120))*$C120</f>
        <v>24.0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24.0</v>
      </c>
      <c r="N120" s="44">
        <f>(INT($E$25*10/$D120)-INT($E$25*(10-1)/$D120))*$C120</f>
        <v>0.0</v>
      </c>
    </row>
    <row r="121">
      <c r="B121" s="22" t="inlineStr">
        <is>
          <t>Натяжное колесо</t>
        </is>
      </c>
      <c r="C121" s="43" t="n">
        <v>24</v>
      </c>
      <c r="D121" s="45" t="n">
        <v>20000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24.0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24.0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24.0</v>
      </c>
      <c r="N121" s="44">
        <f>(INT($E$25*10/$D121)-INT($E$25*(10-1)/$D121))*$C121</f>
        <v>0.0</v>
      </c>
    </row>
    <row r="122">
      <c r="B122" s="22" t="inlineStr">
        <is>
          <t>Гидромотор поворота платформы</t>
        </is>
      </c>
      <c r="C122" s="43" t="n">
        <v>24</v>
      </c>
      <c r="D122" s="45" t="n">
        <v>25000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0.0</v>
      </c>
      <c r="H122" s="44">
        <f>(INT($E$25*4/$D122)-INT($E$25*(4-1)/$D122))*$C122</f>
        <v>24.0</v>
      </c>
      <c r="I122" s="44">
        <f>(INT($E$25*5/$D122)-INT($E$25*(5-1)/$D122))*$C122</f>
        <v>0.0</v>
      </c>
      <c r="J122" s="44">
        <f>(INT($E$25*6/$D122)-INT($E$25*(6-1)/$D122))*$C122</f>
        <v>0.0</v>
      </c>
      <c r="K122" s="44">
        <f>(INT($E$25*7/$D122)-INT($E$25*(7-1)/$D122))*$C122</f>
        <v>0.0</v>
      </c>
      <c r="L122" s="44">
        <f>(INT($E$25*8/$D122)-INT($E$25*(8-1)/$D122))*$C122</f>
        <v>24.0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Редуктор поворота платформы</t>
        </is>
      </c>
      <c r="C123" s="43" t="n">
        <v>24</v>
      </c>
      <c r="D123" s="45" t="n">
        <v>20000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24.0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24.0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24.0</v>
      </c>
      <c r="N123" s="44">
        <f>(INT($E$25*10/$D123)-INT($E$25*(10-1)/$D123))*$C123</f>
        <v>0.0</v>
      </c>
    </row>
    <row r="124">
      <c r="B124" s="22" t="inlineStr">
        <is>
          <t>ДВС</t>
        </is>
      </c>
      <c r="C124" s="43" t="n">
        <v>72</v>
      </c>
      <c r="D124" s="45" t="n">
        <v>25000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0.0</v>
      </c>
      <c r="H124" s="44">
        <f>(INT($E$25*4/$D124)-INT($E$25*(4-1)/$D124))*$C124</f>
        <v>72.0</v>
      </c>
      <c r="I124" s="44">
        <f>(INT($E$25*5/$D124)-INT($E$25*(5-1)/$D124))*$C124</f>
        <v>0.0</v>
      </c>
      <c r="J124" s="44">
        <f>(INT($E$25*6/$D124)-INT($E$25*(6-1)/$D124))*$C124</f>
        <v>0.0</v>
      </c>
      <c r="K124" s="44">
        <f>(INT($E$25*7/$D124)-INT($E$25*(7-1)/$D124))*$C124</f>
        <v>0.0</v>
      </c>
      <c r="L124" s="44">
        <f>(INT($E$25*8/$D124)-INT($E$25*(8-1)/$D124))*$C124</f>
        <v>72.0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Главные насосы, 2 шт.</t>
        </is>
      </c>
      <c r="C125" s="43" t="n">
        <v>36</v>
      </c>
      <c r="D125" s="45" t="n">
        <v>25000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0.0</v>
      </c>
      <c r="H125" s="44">
        <f>(INT($E$25*4/$D125)-INT($E$25*(4-1)/$D125))*$C125</f>
        <v>36.0</v>
      </c>
      <c r="I125" s="44">
        <f>(INT($E$25*5/$D125)-INT($E$25*(5-1)/$D125))*$C125</f>
        <v>0.0</v>
      </c>
      <c r="J125" s="44">
        <f>(INT($E$25*6/$D125)-INT($E$25*(6-1)/$D125))*$C125</f>
        <v>0.0</v>
      </c>
      <c r="K125" s="44">
        <f>(INT($E$25*7/$D125)-INT($E$25*(7-1)/$D125))*$C125</f>
        <v>0.0</v>
      </c>
      <c r="L125" s="44">
        <f>(INT($E$25*8/$D125)-INT($E$25*(8-1)/$D125))*$C125</f>
        <v>36.0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22" t="inlineStr">
        <is>
          <t>Главный распределительный клапан</t>
        </is>
      </c>
      <c r="C126" s="43" t="n">
        <v>36</v>
      </c>
      <c r="D126" s="45" t="n">
        <v>25000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0.0</v>
      </c>
      <c r="H126" s="44">
        <f>(INT($E$25*4/$D126)-INT($E$25*(4-1)/$D126))*$C126</f>
        <v>36.0</v>
      </c>
      <c r="I126" s="44">
        <f>(INT($E$25*5/$D126)-INT($E$25*(5-1)/$D126))*$C126</f>
        <v>0.0</v>
      </c>
      <c r="J126" s="44">
        <f>(INT($E$25*6/$D126)-INT($E$25*(6-1)/$D126))*$C126</f>
        <v>0.0</v>
      </c>
      <c r="K126" s="44">
        <f>(INT($E$25*7/$D126)-INT($E$25*(7-1)/$D126))*$C126</f>
        <v>0.0</v>
      </c>
      <c r="L126" s="44">
        <f>(INT($E$25*8/$D126)-INT($E$25*(8-1)/$D126))*$C126</f>
        <v>36.0</v>
      </c>
      <c r="M126" s="44">
        <f>(INT($E$25*9/$D126)-INT($E$25*(9-1)/$D126))*$C126</f>
        <v>0.0</v>
      </c>
      <c r="N126" s="44">
        <f>(INT($E$25*10/$D126)-INT($E$25*(10-1)/$D126))*$C126</f>
        <v>0.0</v>
      </c>
    </row>
    <row r="127">
      <c r="B127" s="22" t="inlineStr">
        <is>
          <t>Ремонт гидроцилиндров стрелы</t>
        </is>
      </c>
      <c r="C127" s="43" t="n">
        <v>12</v>
      </c>
      <c r="D127" s="45" t="n">
        <v>12000</v>
      </c>
      <c r="E127" s="44">
        <f>(INT($E$25*1/$D127)-INT($E$25*(1-1)/$D127))*$C127</f>
        <v>0.0</v>
      </c>
      <c r="F127" s="44">
        <f>(INT($E$25*2/$D127)-INT($E$25*(2-1)/$D127))*$C127</f>
        <v>12.0</v>
      </c>
      <c r="G127" s="44">
        <f>(INT($E$25*3/$D127)-INT($E$25*(3-1)/$D127))*$C127</f>
        <v>0.0</v>
      </c>
      <c r="H127" s="44">
        <f>(INT($E$25*4/$D127)-INT($E$25*(4-1)/$D127))*$C127</f>
        <v>12.0</v>
      </c>
      <c r="I127" s="44">
        <f>(INT($E$25*5/$D127)-INT($E$25*(5-1)/$D127))*$C127</f>
        <v>0.0</v>
      </c>
      <c r="J127" s="44">
        <f>(INT($E$25*6/$D127)-INT($E$25*(6-1)/$D127))*$C127</f>
        <v>12.0</v>
      </c>
      <c r="K127" s="44">
        <f>(INT($E$25*7/$D127)-INT($E$25*(7-1)/$D127))*$C127</f>
        <v>12.0</v>
      </c>
      <c r="L127" s="44">
        <f>(INT($E$25*8/$D127)-INT($E$25*(8-1)/$D127))*$C127</f>
        <v>0.0</v>
      </c>
      <c r="M127" s="44">
        <f>(INT($E$25*9/$D127)-INT($E$25*(9-1)/$D127))*$C127</f>
        <v>12.0</v>
      </c>
      <c r="N127" s="44">
        <f>(INT($E$25*10/$D127)-INT($E$25*(10-1)/$D127))*$C127</f>
        <v>0.0</v>
      </c>
    </row>
    <row r="128">
      <c r="B128" s="22" t="inlineStr">
        <is>
          <t>Ремонт гидроцилиндра рукояти</t>
        </is>
      </c>
      <c r="C128" s="43" t="n">
        <v>8</v>
      </c>
      <c r="D128" s="45" t="n">
        <v>12000</v>
      </c>
      <c r="E128" s="44">
        <f>(INT($E$25*1/$D128)-INT($E$25*(1-1)/$D128))*$C128</f>
        <v>0.0</v>
      </c>
      <c r="F128" s="44">
        <f>(INT($E$25*2/$D128)-INT($E$25*(2-1)/$D128))*$C128</f>
        <v>8.0</v>
      </c>
      <c r="G128" s="44">
        <f>(INT($E$25*3/$D128)-INT($E$25*(3-1)/$D128))*$C128</f>
        <v>0.0</v>
      </c>
      <c r="H128" s="44">
        <f>(INT($E$25*4/$D128)-INT($E$25*(4-1)/$D128))*$C128</f>
        <v>8.0</v>
      </c>
      <c r="I128" s="44">
        <f>(INT($E$25*5/$D128)-INT($E$25*(5-1)/$D128))*$C128</f>
        <v>0.0</v>
      </c>
      <c r="J128" s="44">
        <f>(INT($E$25*6/$D128)-INT($E$25*(6-1)/$D128))*$C128</f>
        <v>8.0</v>
      </c>
      <c r="K128" s="44">
        <f>(INT($E$25*7/$D128)-INT($E$25*(7-1)/$D128))*$C128</f>
        <v>8.0</v>
      </c>
      <c r="L128" s="44">
        <f>(INT($E$25*8/$D128)-INT($E$25*(8-1)/$D128))*$C128</f>
        <v>0.0</v>
      </c>
      <c r="M128" s="44">
        <f>(INT($E$25*9/$D128)-INT($E$25*(9-1)/$D128))*$C128</f>
        <v>8.0</v>
      </c>
      <c r="N128" s="44">
        <f>(INT($E$25*10/$D128)-INT($E$25*(10-1)/$D128))*$C128</f>
        <v>0.0</v>
      </c>
    </row>
    <row r="129">
      <c r="B129" s="22" t="inlineStr">
        <is>
          <t>Ремонт гидроцилиндра ковша</t>
        </is>
      </c>
      <c r="C129" s="43" t="n">
        <v>12</v>
      </c>
      <c r="D129" s="45" t="n">
        <v>12000</v>
      </c>
      <c r="E129" s="44">
        <f>(INT($E$25*1/$D129)-INT($E$25*(1-1)/$D129))*$C129</f>
        <v>0.0</v>
      </c>
      <c r="F129" s="44">
        <f>(INT($E$25*2/$D129)-INT($E$25*(2-1)/$D129))*$C129</f>
        <v>12.0</v>
      </c>
      <c r="G129" s="44">
        <f>(INT($E$25*3/$D129)-INT($E$25*(3-1)/$D129))*$C129</f>
        <v>0.0</v>
      </c>
      <c r="H129" s="44">
        <f>(INT($E$25*4/$D129)-INT($E$25*(4-1)/$D129))*$C129</f>
        <v>12.0</v>
      </c>
      <c r="I129" s="44">
        <f>(INT($E$25*5/$D129)-INT($E$25*(5-1)/$D129))*$C129</f>
        <v>0.0</v>
      </c>
      <c r="J129" s="44">
        <f>(INT($E$25*6/$D129)-INT($E$25*(6-1)/$D129))*$C129</f>
        <v>12.0</v>
      </c>
      <c r="K129" s="44">
        <f>(INT($E$25*7/$D129)-INT($E$25*(7-1)/$D129))*$C129</f>
        <v>12.0</v>
      </c>
      <c r="L129" s="44">
        <f>(INT($E$25*8/$D129)-INT($E$25*(8-1)/$D129))*$C129</f>
        <v>0.0</v>
      </c>
      <c r="M129" s="44">
        <f>(INT($E$25*9/$D129)-INT($E$25*(9-1)/$D129))*$C129</f>
        <v>12.0</v>
      </c>
      <c r="N129" s="44">
        <f>(INT($E$25*10/$D129)-INT($E$25*(10-1)/$D129))*$C129</f>
        <v>0.0</v>
      </c>
    </row>
    <row r="130">
      <c r="B130" s="22" t="inlineStr">
        <is>
          <t>РВД рабочего оборудования</t>
        </is>
      </c>
      <c r="C130" s="43" t="n">
        <v>16</v>
      </c>
      <c r="D130" s="45" t="n">
        <v>20000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16.0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16.0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16.0</v>
      </c>
      <c r="N130" s="44">
        <f>(INT($E$25*10/$D130)-INT($E$25*(10-1)/$D130))*$C130</f>
        <v>0.0</v>
      </c>
    </row>
    <row r="131">
      <c r="B131" s="46" t="inlineStr">
        <is>
          <t>ИТОГО</t>
        </is>
      </c>
      <c r="E131" s="44">
        <f>SUM(E115:E130)</f>
        <v>0.0</v>
      </c>
      <c r="F131" s="44">
        <f>SUM(F115:F130)</f>
        <v>32.0</v>
      </c>
      <c r="G131" s="44">
        <f>SUM(G115:G130)</f>
        <v>148.0</v>
      </c>
      <c r="H131" s="44">
        <f>SUM(H115:H130)</f>
        <v>236.0</v>
      </c>
      <c r="I131" s="44">
        <f>SUM(I115:I130)</f>
        <v>24.0</v>
      </c>
      <c r="J131" s="44">
        <f>SUM(J115:J130)</f>
        <v>180.0</v>
      </c>
      <c r="K131" s="44">
        <f>SUM(K115:K130)</f>
        <v>32.0</v>
      </c>
      <c r="L131" s="44">
        <f>SUM(L115:L130)</f>
        <v>204.0</v>
      </c>
      <c r="M131" s="44">
        <f>SUM(M115:M130)</f>
        <v>204.0</v>
      </c>
      <c r="N131" s="44">
        <f>SUM(N115:N130)</f>
        <v>0.0</v>
      </c>
    </row>
    <row r="133">
      <c r="B13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133:P133"/>
    <mergeCell ref="B79:N79"/>
    <mergeCell ref="B1:N1"/>
    <mergeCell ref="B93:N93"/>
    <mergeCell ref="B83:N83"/>
    <mergeCell ref="E4:N4"/>
    <mergeCell ref="B113:N113"/>
    <mergeCell ref="B88:N88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данных'!F7</f>
        <v>Zoomlion ZE2000G
Орикс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167.98371999999998</v>
      </c>
      <c r="F21" s="38">
        <f>F12+F13+F14+F18+F19+F20</f>
        <v>194.91271999999998</v>
      </c>
      <c r="G21" s="38">
        <f>G12+G13+G14+G18+G19+G20</f>
        <v>799.05872</v>
      </c>
      <c r="H21" s="38">
        <f>H12+H13+H14+H18+H19+H20</f>
        <v>260.98371999999995</v>
      </c>
      <c r="I21" s="38">
        <f>I12+I13+I14+I18+I19+I20</f>
        <v>797.36272</v>
      </c>
      <c r="J21" s="38">
        <f>J12+J13+J14+J18+J19+J20</f>
        <v>196.60872</v>
      </c>
      <c r="K21" s="38">
        <f>K12+K13+K14+K18+K19+K20</f>
        <v>770.43372</v>
      </c>
      <c r="L21" s="38">
        <f>L12+L13+L14+L18+L19+L20</f>
        <v>287.91272</v>
      </c>
      <c r="M21" s="38">
        <f>M12+M13+M14+M18+M19+M20</f>
        <v>799.05872</v>
      </c>
      <c r="N21" s="38">
        <f>N12+N13+N14+N18+N19+N20</f>
        <v>194.91271999999998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90.23</v>
      </c>
      <c r="F22" s="33" t="n">
        <v>90.23</v>
      </c>
      <c r="G22" s="33" t="n">
        <v>90.23</v>
      </c>
      <c r="H22" s="33" t="n">
        <v>90.23</v>
      </c>
      <c r="I22" s="33" t="n">
        <v>90.23</v>
      </c>
      <c r="J22" s="33" t="n">
        <v>90.23</v>
      </c>
      <c r="K22" s="33" t="n">
        <v>90.23</v>
      </c>
      <c r="L22" s="33" t="n">
        <v>90.23</v>
      </c>
      <c r="M22" s="33" t="n">
        <v>90.23</v>
      </c>
      <c r="N22" s="33" t="n">
        <v>90.23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данных'!G7</f>
        <v>Sany SY2000
АСТ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167.98371999999998</v>
      </c>
      <c r="F21" s="38">
        <f>F12+F13+F14+F18+F19+F20</f>
        <v>194.91271999999998</v>
      </c>
      <c r="G21" s="38">
        <f>G12+G13+G14+G18+G19+G20</f>
        <v>799.05872</v>
      </c>
      <c r="H21" s="38">
        <f>H12+H13+H14+H18+H19+H20</f>
        <v>260.98371999999995</v>
      </c>
      <c r="I21" s="38">
        <f>I12+I13+I14+I18+I19+I20</f>
        <v>797.36272</v>
      </c>
      <c r="J21" s="38">
        <f>J12+J13+J14+J18+J19+J20</f>
        <v>196.60872</v>
      </c>
      <c r="K21" s="38">
        <f>K12+K13+K14+K18+K19+K20</f>
        <v>770.43372</v>
      </c>
      <c r="L21" s="38">
        <f>L12+L13+L14+L18+L19+L20</f>
        <v>287.91272</v>
      </c>
      <c r="M21" s="38">
        <f>M12+M13+M14+M18+M19+M20</f>
        <v>799.05872</v>
      </c>
      <c r="N21" s="38">
        <f>N12+N13+N14+N18+N19+N20</f>
        <v>194.91271999999998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92.04000000000001</v>
      </c>
      <c r="F22" s="33" t="n">
        <v>92.04000000000001</v>
      </c>
      <c r="G22" s="33" t="n">
        <v>92.04000000000001</v>
      </c>
      <c r="H22" s="33" t="n">
        <v>92.04000000000001</v>
      </c>
      <c r="I22" s="33" t="n">
        <v>92.04000000000001</v>
      </c>
      <c r="J22" s="33" t="n">
        <v>92.04000000000001</v>
      </c>
      <c r="K22" s="33" t="n">
        <v>92.04000000000001</v>
      </c>
      <c r="L22" s="33" t="n">
        <v>92.04000000000001</v>
      </c>
      <c r="M22" s="33" t="n">
        <v>92.04000000000001</v>
      </c>
      <c r="N22" s="33" t="n">
        <v>92.04000000000001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138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5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данных'!H7</f>
        <v>Shantui SE2000LCW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E126*$E$81</f>
        <v>43.4832</v>
      </c>
      <c r="F14" s="38">
        <f>F126*$E$81</f>
        <v>1092.9194</v>
      </c>
      <c r="G14" s="38">
        <f>G126*$E$81</f>
        <v>7491.5262999999995</v>
      </c>
      <c r="H14" s="38">
        <f>H126*$E$81</f>
        <v>3128.3212</v>
      </c>
      <c r="I14" s="38">
        <f>I126*$E$81</f>
        <v>2381.5915</v>
      </c>
      <c r="J14" s="38">
        <f>J126*$E$81</f>
        <v>8584.4457</v>
      </c>
      <c r="K14" s="38">
        <f>K126*$E$81</f>
        <v>3128.3212</v>
      </c>
      <c r="L14" s="38">
        <f>L126*$E$81</f>
        <v>7491.5262999999995</v>
      </c>
      <c r="M14" s="38">
        <f>M126*$E$81</f>
        <v>3431.0277</v>
      </c>
      <c r="N14" s="38">
        <f>N126*$E$81</f>
        <v>43.4832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E136*$E$81</f>
        <v>0.0</v>
      </c>
      <c r="F17" s="38">
        <f>F136*$E$81</f>
        <v>12.0</v>
      </c>
      <c r="G17" s="38">
        <f>G136*$E$81</f>
        <v>148.0</v>
      </c>
      <c r="H17" s="38">
        <f>H136*$E$81</f>
        <v>12.0</v>
      </c>
      <c r="I17" s="38">
        <f>I136*$E$81</f>
        <v>14.0</v>
      </c>
      <c r="J17" s="38">
        <f>J136*$E$81</f>
        <v>160.0</v>
      </c>
      <c r="K17" s="38">
        <f>K136*$E$81</f>
        <v>12.0</v>
      </c>
      <c r="L17" s="38">
        <f>L136*$E$81</f>
        <v>148.0</v>
      </c>
      <c r="M17" s="38">
        <f>M136*$E$81</f>
        <v>26.0</v>
      </c>
      <c r="N17" s="38">
        <f>N136*$E$81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0.6</v>
      </c>
      <c r="G20" s="38">
        <f>G17*$E$77/1000</f>
        <v>7.4</v>
      </c>
      <c r="H20" s="38">
        <f>H17*$E$77/1000</f>
        <v>0.6</v>
      </c>
      <c r="I20" s="38">
        <f>I17*$E$77/1000</f>
        <v>0.7</v>
      </c>
      <c r="J20" s="38">
        <f>J17*$E$77/1000</f>
        <v>8.0</v>
      </c>
      <c r="K20" s="38">
        <f>K17*$E$77/1000</f>
        <v>0.6</v>
      </c>
      <c r="L20" s="38">
        <f>L17*$E$77/1000</f>
        <v>7.4</v>
      </c>
      <c r="M20" s="38">
        <f>M17*$E$77/1000</f>
        <v>1.3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178.32392</v>
      </c>
      <c r="F21" s="38">
        <f>F12+F13+F14+F18+F19+F20</f>
        <v>1228.3601199999998</v>
      </c>
      <c r="G21" s="38">
        <f>G12+G13+G14+G18+G19+G20</f>
        <v>7633.767019999999</v>
      </c>
      <c r="H21" s="38">
        <f>H12+H13+H14+H18+H19+H20</f>
        <v>3263.7619199999995</v>
      </c>
      <c r="I21" s="38">
        <f>I12+I13+I14+I18+I19+I20</f>
        <v>2517.1322199999995</v>
      </c>
      <c r="J21" s="38">
        <f>J12+J13+J14+J18+J19+J20</f>
        <v>8727.28642</v>
      </c>
      <c r="K21" s="38">
        <f>K12+K13+K14+K18+K19+K20</f>
        <v>3263.7619199999995</v>
      </c>
      <c r="L21" s="38">
        <f>L12+L13+L14+L18+L19+L20</f>
        <v>7633.767019999999</v>
      </c>
      <c r="M21" s="38">
        <f>M12+M13+M14+M18+M19+M20</f>
        <v>3567.16842</v>
      </c>
      <c r="N21" s="38">
        <f>N12+N13+N14+N18+N19+N20</f>
        <v>178.32392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102</v>
      </c>
      <c r="F22" s="33" t="n">
        <v>102</v>
      </c>
      <c r="G22" s="33" t="n">
        <v>102</v>
      </c>
      <c r="H22" s="33" t="n">
        <v>102</v>
      </c>
      <c r="I22" s="33" t="n">
        <v>102</v>
      </c>
      <c r="J22" s="33" t="n">
        <v>102</v>
      </c>
      <c r="K22" s="33" t="n">
        <v>102</v>
      </c>
      <c r="L22" s="33" t="n">
        <v>102</v>
      </c>
      <c r="M22" s="33" t="n">
        <v>102</v>
      </c>
      <c r="N22" s="33" t="n">
        <v>102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ДВС</t>
        </is>
      </c>
      <c r="C95" s="43" t="n">
        <v>1540.5749</v>
      </c>
      <c r="D95" s="45" t="n">
        <v>18000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1540.5749</v>
      </c>
      <c r="H95" s="44">
        <f>(INT($E$25*4/$D95)-INT($E$25*(4-1)/$D95))*$C95</f>
        <v>0.0</v>
      </c>
      <c r="I95" s="44">
        <f>(INT($E$25*5/$D95)-INT($E$25*(5-1)/$D95))*$C95</f>
        <v>0.0</v>
      </c>
      <c r="J95" s="44">
        <f>(INT($E$25*6/$D95)-INT($E$25*(6-1)/$D95))*$C95</f>
        <v>1540.5749</v>
      </c>
      <c r="K95" s="44">
        <f>(INT($E$25*7/$D95)-INT($E$25*(7-1)/$D95))*$C95</f>
        <v>0.0</v>
      </c>
      <c r="L95" s="44">
        <f>(INT($E$25*8/$D95)-INT($E$25*(8-1)/$D95))*$C95</f>
        <v>1540.5749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МУФТА РПН</t>
        </is>
      </c>
      <c r="C96" s="43" t="n">
        <v>54.7854</v>
      </c>
      <c r="D96" s="45" t="n">
        <v>18000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54.7854</v>
      </c>
      <c r="H96" s="44">
        <f>(INT($E$25*4/$D96)-INT($E$25*(4-1)/$D96))*$C96</f>
        <v>0.0</v>
      </c>
      <c r="I96" s="44">
        <f>(INT($E$25*5/$D96)-INT($E$25*(5-1)/$D96))*$C96</f>
        <v>0.0</v>
      </c>
      <c r="J96" s="44">
        <f>(INT($E$25*6/$D96)-INT($E$25*(6-1)/$D96))*$C96</f>
        <v>54.7854</v>
      </c>
      <c r="K96" s="44">
        <f>(INT($E$25*7/$D96)-INT($E$25*(7-1)/$D96))*$C96</f>
        <v>0.0</v>
      </c>
      <c r="L96" s="44">
        <f>(INT($E$25*8/$D96)-INT($E$25*(8-1)/$D96))*$C96</f>
        <v>54.7854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ПОДУШКИ ОПОРЫ ДВС</t>
        </is>
      </c>
      <c r="C97" s="43" t="n">
        <v>5.4114</v>
      </c>
      <c r="D97" s="45" t="n">
        <v>18000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5.4114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5.4114</v>
      </c>
      <c r="K97" s="44">
        <f>(INT($E$25*7/$D97)-INT($E$25*(7-1)/$D97))*$C97</f>
        <v>0.0</v>
      </c>
      <c r="L97" s="44">
        <f>(INT($E$25*8/$D97)-INT($E$25*(8-1)/$D97))*$C97</f>
        <v>5.4114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ЦИЛИНДР СТРЕЛЫ 2 шт</t>
        </is>
      </c>
      <c r="C98" s="43" t="n">
        <v>114.7671</v>
      </c>
      <c r="D98" s="45" t="n">
        <v>12000</v>
      </c>
      <c r="E98" s="44">
        <f>(INT($E$25*1/$D98)-INT($E$25*(1-1)/$D98))*$C98</f>
        <v>0.0</v>
      </c>
      <c r="F98" s="44">
        <f>(INT($E$25*2/$D98)-INT($E$25*(2-1)/$D98))*$C98</f>
        <v>114.7671</v>
      </c>
      <c r="G98" s="44">
        <f>(INT($E$25*3/$D98)-INT($E$25*(3-1)/$D98))*$C98</f>
        <v>0.0</v>
      </c>
      <c r="H98" s="44">
        <f>(INT($E$25*4/$D98)-INT($E$25*(4-1)/$D98))*$C98</f>
        <v>114.7671</v>
      </c>
      <c r="I98" s="44">
        <f>(INT($E$25*5/$D98)-INT($E$25*(5-1)/$D98))*$C98</f>
        <v>0.0</v>
      </c>
      <c r="J98" s="44">
        <f>(INT($E$25*6/$D98)-INT($E$25*(6-1)/$D98))*$C98</f>
        <v>114.7671</v>
      </c>
      <c r="K98" s="44">
        <f>(INT($E$25*7/$D98)-INT($E$25*(7-1)/$D98))*$C98</f>
        <v>114.7671</v>
      </c>
      <c r="L98" s="44">
        <f>(INT($E$25*8/$D98)-INT($E$25*(8-1)/$D98))*$C98</f>
        <v>0.0</v>
      </c>
      <c r="M98" s="44">
        <f>(INT($E$25*9/$D98)-INT($E$25*(9-1)/$D98))*$C98</f>
        <v>114.7671</v>
      </c>
      <c r="N98" s="44">
        <f>(INT($E$25*10/$D98)-INT($E$25*(10-1)/$D98))*$C98</f>
        <v>0.0</v>
      </c>
    </row>
    <row r="99">
      <c r="B99" s="22" t="inlineStr">
        <is>
          <t>ЦИЛИНДР КОВША</t>
        </is>
      </c>
      <c r="C99" s="43" t="n">
        <v>21.049</v>
      </c>
      <c r="D99" s="45" t="n">
        <v>12000</v>
      </c>
      <c r="E99" s="44">
        <f>(INT($E$25*1/$D99)-INT($E$25*(1-1)/$D99))*$C99</f>
        <v>0.0</v>
      </c>
      <c r="F99" s="44">
        <f>(INT($E$25*2/$D99)-INT($E$25*(2-1)/$D99))*$C99</f>
        <v>21.049</v>
      </c>
      <c r="G99" s="44">
        <f>(INT($E$25*3/$D99)-INT($E$25*(3-1)/$D99))*$C99</f>
        <v>0.0</v>
      </c>
      <c r="H99" s="44">
        <f>(INT($E$25*4/$D99)-INT($E$25*(4-1)/$D99))*$C99</f>
        <v>21.049</v>
      </c>
      <c r="I99" s="44">
        <f>(INT($E$25*5/$D99)-INT($E$25*(5-1)/$D99))*$C99</f>
        <v>0.0</v>
      </c>
      <c r="J99" s="44">
        <f>(INT($E$25*6/$D99)-INT($E$25*(6-1)/$D99))*$C99</f>
        <v>21.049</v>
      </c>
      <c r="K99" s="44">
        <f>(INT($E$25*7/$D99)-INT($E$25*(7-1)/$D99))*$C99</f>
        <v>21.049</v>
      </c>
      <c r="L99" s="44">
        <f>(INT($E$25*8/$D99)-INT($E$25*(8-1)/$D99))*$C99</f>
        <v>0.0</v>
      </c>
      <c r="M99" s="44">
        <f>(INT($E$25*9/$D99)-INT($E$25*(9-1)/$D99))*$C99</f>
        <v>21.049</v>
      </c>
      <c r="N99" s="44">
        <f>(INT($E$25*10/$D99)-INT($E$25*(10-1)/$D99))*$C99</f>
        <v>0.0</v>
      </c>
    </row>
    <row r="100">
      <c r="B100" s="22" t="inlineStr">
        <is>
          <t>ЦИЛИНДР РУКОЯТИ</t>
        </is>
      </c>
      <c r="C100" s="43" t="n">
        <v>21.2862</v>
      </c>
      <c r="D100" s="45" t="n">
        <v>12000</v>
      </c>
      <c r="E100" s="44">
        <f>(INT($E$25*1/$D100)-INT($E$25*(1-1)/$D100))*$C100</f>
        <v>0.0</v>
      </c>
      <c r="F100" s="44">
        <f>(INT($E$25*2/$D100)-INT($E$25*(2-1)/$D100))*$C100</f>
        <v>21.2862</v>
      </c>
      <c r="G100" s="44">
        <f>(INT($E$25*3/$D100)-INT($E$25*(3-1)/$D100))*$C100</f>
        <v>0.0</v>
      </c>
      <c r="H100" s="44">
        <f>(INT($E$25*4/$D100)-INT($E$25*(4-1)/$D100))*$C100</f>
        <v>21.2862</v>
      </c>
      <c r="I100" s="44">
        <f>(INT($E$25*5/$D100)-INT($E$25*(5-1)/$D100))*$C100</f>
        <v>0.0</v>
      </c>
      <c r="J100" s="44">
        <f>(INT($E$25*6/$D100)-INT($E$25*(6-1)/$D100))*$C100</f>
        <v>21.2862</v>
      </c>
      <c r="K100" s="44">
        <f>(INT($E$25*7/$D100)-INT($E$25*(7-1)/$D100))*$C100</f>
        <v>21.2862</v>
      </c>
      <c r="L100" s="44">
        <f>(INT($E$25*8/$D100)-INT($E$25*(8-1)/$D100))*$C100</f>
        <v>0.0</v>
      </c>
      <c r="M100" s="44">
        <f>(INT($E$25*9/$D100)-INT($E$25*(9-1)/$D100))*$C100</f>
        <v>21.2862</v>
      </c>
      <c r="N100" s="44">
        <f>(INT($E$25*10/$D100)-INT($E$25*(10-1)/$D100))*$C100</f>
        <v>0.0</v>
      </c>
    </row>
    <row r="101">
      <c r="B101" s="22" t="inlineStr">
        <is>
          <t>ЦЕНТРАЛЬНЫЙ КОЛЛЕКТОР</t>
        </is>
      </c>
      <c r="C101" s="43" t="n">
        <v>4.8888</v>
      </c>
      <c r="D101" s="45" t="n">
        <v>12000</v>
      </c>
      <c r="E101" s="44">
        <f>(INT($E$25*1/$D101)-INT($E$25*(1-1)/$D101))*$C101</f>
        <v>0.0</v>
      </c>
      <c r="F101" s="44">
        <f>(INT($E$25*2/$D101)-INT($E$25*(2-1)/$D101))*$C101</f>
        <v>4.8888</v>
      </c>
      <c r="G101" s="44">
        <f>(INT($E$25*3/$D101)-INT($E$25*(3-1)/$D101))*$C101</f>
        <v>0.0</v>
      </c>
      <c r="H101" s="44">
        <f>(INT($E$25*4/$D101)-INT($E$25*(4-1)/$D101))*$C101</f>
        <v>4.8888</v>
      </c>
      <c r="I101" s="44">
        <f>(INT($E$25*5/$D101)-INT($E$25*(5-1)/$D101))*$C101</f>
        <v>0.0</v>
      </c>
      <c r="J101" s="44">
        <f>(INT($E$25*6/$D101)-INT($E$25*(6-1)/$D101))*$C101</f>
        <v>4.8888</v>
      </c>
      <c r="K101" s="44">
        <f>(INT($E$25*7/$D101)-INT($E$25*(7-1)/$D101))*$C101</f>
        <v>4.8888</v>
      </c>
      <c r="L101" s="44">
        <f>(INT($E$25*8/$D101)-INT($E$25*(8-1)/$D101))*$C101</f>
        <v>0.0</v>
      </c>
      <c r="M101" s="44">
        <f>(INT($E$25*9/$D101)-INT($E$25*(9-1)/$D101))*$C101</f>
        <v>4.8888</v>
      </c>
      <c r="N101" s="44">
        <f>(INT($E$25*10/$D101)-INT($E$25*(10-1)/$D101))*$C101</f>
        <v>0.0</v>
      </c>
    </row>
    <row r="102">
      <c r="B102" s="22" t="inlineStr">
        <is>
          <t>ГИДРОРАСПРЕДЕЛИТЕЛЬ ОСНОВНОЙ (3шт)</t>
        </is>
      </c>
      <c r="C102" s="43" t="n">
        <v>2035.4018</v>
      </c>
      <c r="D102" s="45" t="n">
        <v>24000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2035.4018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2035.4018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РВД РАБОЧЕГО ОБОРУДОВАНИЯ</t>
        </is>
      </c>
      <c r="C103" s="43" t="n">
        <v>97.09699999999999</v>
      </c>
      <c r="D103" s="45" t="n">
        <v>12000</v>
      </c>
      <c r="E103" s="44">
        <f>(INT($E$25*1/$D103)-INT($E$25*(1-1)/$D103))*$C103</f>
        <v>0.0</v>
      </c>
      <c r="F103" s="44">
        <f>(INT($E$25*2/$D103)-INT($E$25*(2-1)/$D103))*$C103</f>
        <v>97.097</v>
      </c>
      <c r="G103" s="44">
        <f>(INT($E$25*3/$D103)-INT($E$25*(3-1)/$D103))*$C103</f>
        <v>0.0</v>
      </c>
      <c r="H103" s="44">
        <f>(INT($E$25*4/$D103)-INT($E$25*(4-1)/$D103))*$C103</f>
        <v>97.097</v>
      </c>
      <c r="I103" s="44">
        <f>(INT($E$25*5/$D103)-INT($E$25*(5-1)/$D103))*$C103</f>
        <v>0.0</v>
      </c>
      <c r="J103" s="44">
        <f>(INT($E$25*6/$D103)-INT($E$25*(6-1)/$D103))*$C103</f>
        <v>97.097</v>
      </c>
      <c r="K103" s="44">
        <f>(INT($E$25*7/$D103)-INT($E$25*(7-1)/$D103))*$C103</f>
        <v>97.097</v>
      </c>
      <c r="L103" s="44">
        <f>(INT($E$25*8/$D103)-INT($E$25*(8-1)/$D103))*$C103</f>
        <v>0.0</v>
      </c>
      <c r="M103" s="44">
        <f>(INT($E$25*9/$D103)-INT($E$25*(9-1)/$D103))*$C103</f>
        <v>97.097</v>
      </c>
      <c r="N103" s="44">
        <f>(INT($E$25*10/$D103)-INT($E$25*(10-1)/$D103))*$C103</f>
        <v>0.0</v>
      </c>
    </row>
    <row r="104">
      <c r="B104" s="22" t="inlineStr">
        <is>
          <t>РАДИАТОР ГИДРАВЛИЧЕСКИЙ</t>
        </is>
      </c>
      <c r="C104" s="43" t="n">
        <v>835.3987</v>
      </c>
      <c r="D104" s="45" t="n">
        <v>18000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835.3987</v>
      </c>
      <c r="H104" s="44">
        <f>(INT($E$25*4/$D104)-INT($E$25*(4-1)/$D104))*$C104</f>
        <v>0.0</v>
      </c>
      <c r="I104" s="44">
        <f>(INT($E$25*5/$D104)-INT($E$25*(5-1)/$D104))*$C104</f>
        <v>0.0</v>
      </c>
      <c r="J104" s="44">
        <f>(INT($E$25*6/$D104)-INT($E$25*(6-1)/$D104))*$C104</f>
        <v>835.3987</v>
      </c>
      <c r="K104" s="44">
        <f>(INT($E$25*7/$D104)-INT($E$25*(7-1)/$D104))*$C104</f>
        <v>0.0</v>
      </c>
      <c r="L104" s="44">
        <f>(INT($E$25*8/$D104)-INT($E$25*(8-1)/$D104))*$C104</f>
        <v>835.3987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РАДИАТОР ДВС</t>
        </is>
      </c>
      <c r="C105" s="43" t="n">
        <v>523.8867</v>
      </c>
      <c r="D105" s="45" t="n">
        <v>18000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523.8867</v>
      </c>
      <c r="H105" s="44">
        <f>(INT($E$25*4/$D105)-INT($E$25*(4-1)/$D105))*$C105</f>
        <v>0.0</v>
      </c>
      <c r="I105" s="44">
        <f>(INT($E$25*5/$D105)-INT($E$25*(5-1)/$D105))*$C105</f>
        <v>0.0</v>
      </c>
      <c r="J105" s="44">
        <f>(INT($E$25*6/$D105)-INT($E$25*(6-1)/$D105))*$C105</f>
        <v>523.8867</v>
      </c>
      <c r="K105" s="44">
        <f>(INT($E$25*7/$D105)-INT($E$25*(7-1)/$D105))*$C105</f>
        <v>0.0</v>
      </c>
      <c r="L105" s="44">
        <f>(INT($E$25*8/$D105)-INT($E$25*(8-1)/$D105))*$C105</f>
        <v>523.8867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ГИДРОМОТОР ХОДА 2 шт</t>
        </is>
      </c>
      <c r="C106" s="43" t="n">
        <v>362.8037</v>
      </c>
      <c r="D106" s="45" t="n">
        <v>18000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362.8037</v>
      </c>
      <c r="H106" s="44">
        <f>(INT($E$25*4/$D106)-INT($E$25*(4-1)/$D106))*$C106</f>
        <v>0.0</v>
      </c>
      <c r="I106" s="44">
        <f>(INT($E$25*5/$D106)-INT($E$25*(5-1)/$D106))*$C106</f>
        <v>0.0</v>
      </c>
      <c r="J106" s="44">
        <f>(INT($E$25*6/$D106)-INT($E$25*(6-1)/$D106))*$C106</f>
        <v>362.8037</v>
      </c>
      <c r="K106" s="44">
        <f>(INT($E$25*7/$D106)-INT($E$25*(7-1)/$D106))*$C106</f>
        <v>0.0</v>
      </c>
      <c r="L106" s="44">
        <f>(INT($E$25*8/$D106)-INT($E$25*(8-1)/$D106))*$C106</f>
        <v>362.8037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НАПРАВЛЯЮЩЕЕ КОЛЕСО 2 шт</t>
        </is>
      </c>
      <c r="C107" s="43" t="n">
        <v>157.4878</v>
      </c>
      <c r="D107" s="45" t="n">
        <v>18000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157.4878</v>
      </c>
      <c r="H107" s="44">
        <f>(INT($E$25*4/$D107)-INT($E$25*(4-1)/$D107))*$C107</f>
        <v>0.0</v>
      </c>
      <c r="I107" s="44">
        <f>(INT($E$25*5/$D107)-INT($E$25*(5-1)/$D107))*$C107</f>
        <v>0.0</v>
      </c>
      <c r="J107" s="44">
        <f>(INT($E$25*6/$D107)-INT($E$25*(6-1)/$D107))*$C107</f>
        <v>157.4878</v>
      </c>
      <c r="K107" s="44">
        <f>(INT($E$25*7/$D107)-INT($E$25*(7-1)/$D107))*$C107</f>
        <v>0.0</v>
      </c>
      <c r="L107" s="44">
        <f>(INT($E$25*8/$D107)-INT($E$25*(8-1)/$D107))*$C107</f>
        <v>157.4878</v>
      </c>
      <c r="M107" s="44">
        <f>(INT($E$25*9/$D107)-INT($E$25*(9-1)/$D107))*$C107</f>
        <v>0.0</v>
      </c>
      <c r="N107" s="44">
        <f>(INT($E$25*10/$D107)-INT($E$25*(10-1)/$D107))*$C107</f>
        <v>0.0</v>
      </c>
    </row>
    <row r="108">
      <c r="B108" s="22" t="inlineStr">
        <is>
          <t>ГИДРОЦИЛИНДР НАТЯЖИТЕЛЕЙ ГУСЕНИЦ 2 шт</t>
        </is>
      </c>
      <c r="C108" s="43" t="n">
        <v>268.3046</v>
      </c>
      <c r="D108" s="45" t="n">
        <v>18000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268.3046</v>
      </c>
      <c r="H108" s="44">
        <f>(INT($E$25*4/$D108)-INT($E$25*(4-1)/$D108))*$C108</f>
        <v>0.0</v>
      </c>
      <c r="I108" s="44">
        <f>(INT($E$25*5/$D108)-INT($E$25*(5-1)/$D108))*$C108</f>
        <v>0.0</v>
      </c>
      <c r="J108" s="44">
        <f>(INT($E$25*6/$D108)-INT($E$25*(6-1)/$D108))*$C108</f>
        <v>268.3046</v>
      </c>
      <c r="K108" s="44">
        <f>(INT($E$25*7/$D108)-INT($E$25*(7-1)/$D108))*$C108</f>
        <v>0.0</v>
      </c>
      <c r="L108" s="44">
        <f>(INT($E$25*8/$D108)-INT($E$25*(8-1)/$D108))*$C108</f>
        <v>268.3046</v>
      </c>
      <c r="M108" s="44">
        <f>(INT($E$25*9/$D108)-INT($E$25*(9-1)/$D108))*$C108</f>
        <v>0.0</v>
      </c>
      <c r="N108" s="44">
        <f>(INT($E$25*10/$D108)-INT($E$25*(10-1)/$D108))*$C108</f>
        <v>0.0</v>
      </c>
    </row>
    <row r="109">
      <c r="B109" s="22" t="inlineStr">
        <is>
          <t>ЗВЕЗДОЧКА</t>
        </is>
      </c>
      <c r="C109" s="43" t="n">
        <v>83.6447</v>
      </c>
      <c r="D109" s="45" t="n">
        <v>18000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83.6447</v>
      </c>
      <c r="H109" s="44">
        <f>(INT($E$25*4/$D109)-INT($E$25*(4-1)/$D109))*$C109</f>
        <v>0.0</v>
      </c>
      <c r="I109" s="44">
        <f>(INT($E$25*5/$D109)-INT($E$25*(5-1)/$D109))*$C109</f>
        <v>0.0</v>
      </c>
      <c r="J109" s="44">
        <f>(INT($E$25*6/$D109)-INT($E$25*(6-1)/$D109))*$C109</f>
        <v>83.6447</v>
      </c>
      <c r="K109" s="44">
        <f>(INT($E$25*7/$D109)-INT($E$25*(7-1)/$D109))*$C109</f>
        <v>0.0</v>
      </c>
      <c r="L109" s="44">
        <f>(INT($E$25*8/$D109)-INT($E$25*(8-1)/$D109))*$C109</f>
        <v>83.6447</v>
      </c>
      <c r="M109" s="44">
        <f>(INT($E$25*9/$D109)-INT($E$25*(9-1)/$D109))*$C109</f>
        <v>0.0</v>
      </c>
      <c r="N109" s="44">
        <f>(INT($E$25*10/$D109)-INT($E$25*(10-1)/$D109))*$C109</f>
        <v>0.0</v>
      </c>
    </row>
    <row r="110">
      <c r="B110" s="22" t="inlineStr">
        <is>
          <t>ГУСЕНИЦА</t>
        </is>
      </c>
      <c r="C110" s="43" t="n">
        <v>1507.9788</v>
      </c>
      <c r="D110" s="45" t="n">
        <v>18000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1507.9788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1507.9788</v>
      </c>
      <c r="K110" s="44">
        <f>(INT($E$25*7/$D110)-INT($E$25*(7-1)/$D110))*$C110</f>
        <v>0.0</v>
      </c>
      <c r="L110" s="44">
        <f>(INT($E$25*8/$D110)-INT($E$25*(8-1)/$D110))*$C110</f>
        <v>1507.9788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КАТОК ОПОРНЫЙ</t>
        </is>
      </c>
      <c r="C111" s="43" t="n">
        <v>1921.3955</v>
      </c>
      <c r="D111" s="45" t="n">
        <v>18000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1921.3955</v>
      </c>
      <c r="H111" s="44">
        <f>(INT($E$25*4/$D111)-INT($E$25*(4-1)/$D111))*$C111</f>
        <v>0.0</v>
      </c>
      <c r="I111" s="44">
        <f>(INT($E$25*5/$D111)-INT($E$25*(5-1)/$D111))*$C111</f>
        <v>0.0</v>
      </c>
      <c r="J111" s="44">
        <f>(INT($E$25*6/$D111)-INT($E$25*(6-1)/$D111))*$C111</f>
        <v>1921.3955</v>
      </c>
      <c r="K111" s="44">
        <f>(INT($E$25*7/$D111)-INT($E$25*(7-1)/$D111))*$C111</f>
        <v>0.0</v>
      </c>
      <c r="L111" s="44">
        <f>(INT($E$25*8/$D111)-INT($E$25*(8-1)/$D111))*$C111</f>
        <v>1921.3955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22" t="inlineStr">
        <is>
          <t>КАТОК ПОДДЕРЖИВАЮЩИЙ</t>
        </is>
      </c>
      <c r="C112" s="43" t="n">
        <v>83.86</v>
      </c>
      <c r="D112" s="45" t="n">
        <v>18000</v>
      </c>
      <c r="E112" s="44">
        <f>(INT($E$25*1/$D112)-INT($E$25*(1-1)/$D112))*$C112</f>
        <v>0.0</v>
      </c>
      <c r="F112" s="44">
        <f>(INT($E$25*2/$D112)-INT($E$25*(2-1)/$D112))*$C112</f>
        <v>0.0</v>
      </c>
      <c r="G112" s="44">
        <f>(INT($E$25*3/$D112)-INT($E$25*(3-1)/$D112))*$C112</f>
        <v>83.86</v>
      </c>
      <c r="H112" s="44">
        <f>(INT($E$25*4/$D112)-INT($E$25*(4-1)/$D112))*$C112</f>
        <v>0.0</v>
      </c>
      <c r="I112" s="44">
        <f>(INT($E$25*5/$D112)-INT($E$25*(5-1)/$D112))*$C112</f>
        <v>0.0</v>
      </c>
      <c r="J112" s="44">
        <f>(INT($E$25*6/$D112)-INT($E$25*(6-1)/$D112))*$C112</f>
        <v>83.86</v>
      </c>
      <c r="K112" s="44">
        <f>(INT($E$25*7/$D112)-INT($E$25*(7-1)/$D112))*$C112</f>
        <v>0.0</v>
      </c>
      <c r="L112" s="44">
        <f>(INT($E$25*8/$D112)-INT($E$25*(8-1)/$D112))*$C112</f>
        <v>83.86</v>
      </c>
      <c r="M112" s="44">
        <f>(INT($E$25*9/$D112)-INT($E$25*(9-1)/$D112))*$C112</f>
        <v>0.0</v>
      </c>
      <c r="N112" s="44">
        <f>(INT($E$25*10/$D112)-INT($E$25*(10-1)/$D112))*$C112</f>
        <v>0.0</v>
      </c>
    </row>
    <row r="113">
      <c r="B113" s="22" t="inlineStr">
        <is>
          <t>ДЖОЙСТИКИ УПРАВЛЕНИЯ 2 шт</t>
        </is>
      </c>
      <c r="C113" s="43" t="n">
        <v>22.318</v>
      </c>
      <c r="D113" s="45" t="n">
        <v>12000</v>
      </c>
      <c r="E113" s="44">
        <f>(INT($E$25*1/$D113)-INT($E$25*(1-1)/$D113))*$C113</f>
        <v>0.0</v>
      </c>
      <c r="F113" s="44">
        <f>(INT($E$25*2/$D113)-INT($E$25*(2-1)/$D113))*$C113</f>
        <v>22.318</v>
      </c>
      <c r="G113" s="44">
        <f>(INT($E$25*3/$D113)-INT($E$25*(3-1)/$D113))*$C113</f>
        <v>0.0</v>
      </c>
      <c r="H113" s="44">
        <f>(INT($E$25*4/$D113)-INT($E$25*(4-1)/$D113))*$C113</f>
        <v>22.318</v>
      </c>
      <c r="I113" s="44">
        <f>(INT($E$25*5/$D113)-INT($E$25*(5-1)/$D113))*$C113</f>
        <v>0.0</v>
      </c>
      <c r="J113" s="44">
        <f>(INT($E$25*6/$D113)-INT($E$25*(6-1)/$D113))*$C113</f>
        <v>22.318</v>
      </c>
      <c r="K113" s="44">
        <f>(INT($E$25*7/$D113)-INT($E$25*(7-1)/$D113))*$C113</f>
        <v>22.318</v>
      </c>
      <c r="L113" s="44">
        <f>(INT($E$25*8/$D113)-INT($E$25*(8-1)/$D113))*$C113</f>
        <v>0.0</v>
      </c>
      <c r="M113" s="44">
        <f>(INT($E$25*9/$D113)-INT($E$25*(9-1)/$D113))*$C113</f>
        <v>22.318</v>
      </c>
      <c r="N113" s="44">
        <f>(INT($E$25*10/$D113)-INT($E$25*(10-1)/$D113))*$C113</f>
        <v>0.0</v>
      </c>
    </row>
    <row r="114">
      <c r="B114" s="22" t="inlineStr">
        <is>
          <t>ГИДРОНАСОСЫ ОСНОВНЫЕ</t>
        </is>
      </c>
      <c r="C114" s="43" t="n">
        <v>187.0372</v>
      </c>
      <c r="D114" s="45" t="n">
        <v>12000</v>
      </c>
      <c r="E114" s="44">
        <f>(INT($E$25*1/$D114)-INT($E$25*(1-1)/$D114))*$C114</f>
        <v>0.0</v>
      </c>
      <c r="F114" s="44">
        <f>(INT($E$25*2/$D114)-INT($E$25*(2-1)/$D114))*$C114</f>
        <v>187.0372</v>
      </c>
      <c r="G114" s="44">
        <f>(INT($E$25*3/$D114)-INT($E$25*(3-1)/$D114))*$C114</f>
        <v>0.0</v>
      </c>
      <c r="H114" s="44">
        <f>(INT($E$25*4/$D114)-INT($E$25*(4-1)/$D114))*$C114</f>
        <v>187.0372</v>
      </c>
      <c r="I114" s="44">
        <f>(INT($E$25*5/$D114)-INT($E$25*(5-1)/$D114))*$C114</f>
        <v>0.0</v>
      </c>
      <c r="J114" s="44">
        <f>(INT($E$25*6/$D114)-INT($E$25*(6-1)/$D114))*$C114</f>
        <v>187.0372</v>
      </c>
      <c r="K114" s="44">
        <f>(INT($E$25*7/$D114)-INT($E$25*(7-1)/$D114))*$C114</f>
        <v>187.0372</v>
      </c>
      <c r="L114" s="44">
        <f>(INT($E$25*8/$D114)-INT($E$25*(8-1)/$D114))*$C114</f>
        <v>0.0</v>
      </c>
      <c r="M114" s="44">
        <f>(INT($E$25*9/$D114)-INT($E$25*(9-1)/$D114))*$C114</f>
        <v>187.0372</v>
      </c>
      <c r="N114" s="44">
        <f>(INT($E$25*10/$D114)-INT($E$25*(10-1)/$D114))*$C114</f>
        <v>0.0</v>
      </c>
    </row>
    <row r="115">
      <c r="B115" s="22" t="inlineStr">
        <is>
          <t>ГИДРОНАСОС ПРИВОДА ВЕНТИЛЯТОРА</t>
        </is>
      </c>
      <c r="C115" s="43" t="n">
        <v>38.1134</v>
      </c>
      <c r="D115" s="45" t="n">
        <v>12000</v>
      </c>
      <c r="E115" s="44">
        <f>(INT($E$25*1/$D115)-INT($E$25*(1-1)/$D115))*$C115</f>
        <v>0.0</v>
      </c>
      <c r="F115" s="44">
        <f>(INT($E$25*2/$D115)-INT($E$25*(2-1)/$D115))*$C115</f>
        <v>38.1134</v>
      </c>
      <c r="G115" s="44">
        <f>(INT($E$25*3/$D115)-INT($E$25*(3-1)/$D115))*$C115</f>
        <v>0.0</v>
      </c>
      <c r="H115" s="44">
        <f>(INT($E$25*4/$D115)-INT($E$25*(4-1)/$D115))*$C115</f>
        <v>38.1134</v>
      </c>
      <c r="I115" s="44">
        <f>(INT($E$25*5/$D115)-INT($E$25*(5-1)/$D115))*$C115</f>
        <v>0.0</v>
      </c>
      <c r="J115" s="44">
        <f>(INT($E$25*6/$D115)-INT($E$25*(6-1)/$D115))*$C115</f>
        <v>38.1134</v>
      </c>
      <c r="K115" s="44">
        <f>(INT($E$25*7/$D115)-INT($E$25*(7-1)/$D115))*$C115</f>
        <v>38.1134</v>
      </c>
      <c r="L115" s="44">
        <f>(INT($E$25*8/$D115)-INT($E$25*(8-1)/$D115))*$C115</f>
        <v>0.0</v>
      </c>
      <c r="M115" s="44">
        <f>(INT($E$25*9/$D115)-INT($E$25*(9-1)/$D115))*$C115</f>
        <v>38.1134</v>
      </c>
      <c r="N115" s="44">
        <f>(INT($E$25*10/$D115)-INT($E$25*(10-1)/$D115))*$C115</f>
        <v>0.0</v>
      </c>
    </row>
    <row r="116">
      <c r="B116" s="22" t="inlineStr">
        <is>
          <t>РЕДУКТОР ПОВОРОТА 2 шт</t>
        </is>
      </c>
      <c r="C116" s="43" t="n">
        <v>500.2255</v>
      </c>
      <c r="D116" s="45" t="n">
        <v>30000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0.0</v>
      </c>
      <c r="I116" s="44">
        <f>(INT($E$25*5/$D116)-INT($E$25*(5-1)/$D116))*$C116</f>
        <v>500.2255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0.0</v>
      </c>
      <c r="M116" s="44">
        <f>(INT($E$25*9/$D116)-INT($E$25*(9-1)/$D116))*$C116</f>
        <v>500.2255</v>
      </c>
      <c r="N116" s="44">
        <f>(INT($E$25*10/$D116)-INT($E$25*(10-1)/$D116))*$C116</f>
        <v>0.0</v>
      </c>
    </row>
    <row r="117">
      <c r="B117" s="22" t="inlineStr">
        <is>
          <t>РЕДУКТОР ХОДА 2 шт</t>
        </is>
      </c>
      <c r="C117" s="43" t="n">
        <v>1391.8609</v>
      </c>
      <c r="D117" s="45" t="n">
        <v>30000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0.0</v>
      </c>
      <c r="H117" s="44">
        <f>(INT($E$25*4/$D117)-INT($E$25*(4-1)/$D117))*$C117</f>
        <v>0.0</v>
      </c>
      <c r="I117" s="44">
        <f>(INT($E$25*5/$D117)-INT($E$25*(5-1)/$D117))*$C117</f>
        <v>1391.8609</v>
      </c>
      <c r="J117" s="44">
        <f>(INT($E$25*6/$D117)-INT($E$25*(6-1)/$D117))*$C117</f>
        <v>0.0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1391.8609</v>
      </c>
      <c r="N117" s="44">
        <f>(INT($E$25*10/$D117)-INT($E$25*(10-1)/$D117))*$C117</f>
        <v>0.0</v>
      </c>
    </row>
    <row r="118">
      <c r="B118" s="22" t="inlineStr">
        <is>
          <t>РЕДУКТОР ГИДРОНАСОСОВ</t>
        </is>
      </c>
      <c r="C118" s="43" t="n">
        <v>446.0219</v>
      </c>
      <c r="D118" s="45" t="n">
        <v>30000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0.0</v>
      </c>
      <c r="H118" s="44">
        <f>(INT($E$25*4/$D118)-INT($E$25*(4-1)/$D118))*$C118</f>
        <v>0.0</v>
      </c>
      <c r="I118" s="44">
        <f>(INT($E$25*5/$D118)-INT($E$25*(5-1)/$D118))*$C118</f>
        <v>446.0219</v>
      </c>
      <c r="J118" s="44">
        <f>(INT($E$25*6/$D118)-INT($E$25*(6-1)/$D118))*$C118</f>
        <v>0.0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446.0219</v>
      </c>
      <c r="N118" s="44">
        <f>(INT($E$25*10/$D118)-INT($E$25*(10-1)/$D118))*$C118</f>
        <v>0.0</v>
      </c>
    </row>
    <row r="119">
      <c r="B119" s="22" t="inlineStr">
        <is>
          <t>ГИДРОМОТОР ПОВОРОТА 2 шт</t>
        </is>
      </c>
      <c r="C119" s="43" t="n">
        <v>362.8037</v>
      </c>
      <c r="D119" s="45" t="n">
        <v>12000</v>
      </c>
      <c r="E119" s="44">
        <f>(INT($E$25*1/$D119)-INT($E$25*(1-1)/$D119))*$C119</f>
        <v>0.0</v>
      </c>
      <c r="F119" s="44">
        <f>(INT($E$25*2/$D119)-INT($E$25*(2-1)/$D119))*$C119</f>
        <v>362.8037</v>
      </c>
      <c r="G119" s="44">
        <f>(INT($E$25*3/$D119)-INT($E$25*(3-1)/$D119))*$C119</f>
        <v>0.0</v>
      </c>
      <c r="H119" s="44">
        <f>(INT($E$25*4/$D119)-INT($E$25*(4-1)/$D119))*$C119</f>
        <v>362.8037</v>
      </c>
      <c r="I119" s="44">
        <f>(INT($E$25*5/$D119)-INT($E$25*(5-1)/$D119))*$C119</f>
        <v>0.0</v>
      </c>
      <c r="J119" s="44">
        <f>(INT($E$25*6/$D119)-INT($E$25*(6-1)/$D119))*$C119</f>
        <v>362.8037</v>
      </c>
      <c r="K119" s="44">
        <f>(INT($E$25*7/$D119)-INT($E$25*(7-1)/$D119))*$C119</f>
        <v>362.8037</v>
      </c>
      <c r="L119" s="44">
        <f>(INT($E$25*8/$D119)-INT($E$25*(8-1)/$D119))*$C119</f>
        <v>0.0</v>
      </c>
      <c r="M119" s="44">
        <f>(INT($E$25*9/$D119)-INT($E$25*(9-1)/$D119))*$C119</f>
        <v>362.8037</v>
      </c>
      <c r="N119" s="44">
        <f>(INT($E$25*10/$D119)-INT($E$25*(10-1)/$D119))*$C119</f>
        <v>0.0</v>
      </c>
    </row>
    <row r="120">
      <c r="B120" s="22" t="inlineStr">
        <is>
          <t>ГИДРОМОТОРЫ ПРИВОДА КРЫЛЬЧАТКИ</t>
        </is>
      </c>
      <c r="C120" s="43" t="n">
        <v>94.33759999999999</v>
      </c>
      <c r="D120" s="45" t="n">
        <v>12000</v>
      </c>
      <c r="E120" s="44">
        <f>(INT($E$25*1/$D120)-INT($E$25*(1-1)/$D120))*$C120</f>
        <v>0.0</v>
      </c>
      <c r="F120" s="44">
        <f>(INT($E$25*2/$D120)-INT($E$25*(2-1)/$D120))*$C120</f>
        <v>94.3376</v>
      </c>
      <c r="G120" s="44">
        <f>(INT($E$25*3/$D120)-INT($E$25*(3-1)/$D120))*$C120</f>
        <v>0.0</v>
      </c>
      <c r="H120" s="44">
        <f>(INT($E$25*4/$D120)-INT($E$25*(4-1)/$D120))*$C120</f>
        <v>94.3376</v>
      </c>
      <c r="I120" s="44">
        <f>(INT($E$25*5/$D120)-INT($E$25*(5-1)/$D120))*$C120</f>
        <v>0.0</v>
      </c>
      <c r="J120" s="44">
        <f>(INT($E$25*6/$D120)-INT($E$25*(6-1)/$D120))*$C120</f>
        <v>94.3376</v>
      </c>
      <c r="K120" s="44">
        <f>(INT($E$25*7/$D120)-INT($E$25*(7-1)/$D120))*$C120</f>
        <v>94.3376</v>
      </c>
      <c r="L120" s="44">
        <f>(INT($E$25*8/$D120)-INT($E$25*(8-1)/$D120))*$C120</f>
        <v>0.0</v>
      </c>
      <c r="M120" s="44">
        <f>(INT($E$25*9/$D120)-INT($E$25*(9-1)/$D120))*$C120</f>
        <v>94.3376</v>
      </c>
      <c r="N120" s="44">
        <f>(INT($E$25*10/$D120)-INT($E$25*(10-1)/$D120))*$C120</f>
        <v>0.0</v>
      </c>
    </row>
    <row r="121">
      <c r="B121" s="22" t="inlineStr">
        <is>
          <t>КРЫЛЬЧАТКА</t>
        </is>
      </c>
      <c r="C121" s="43" t="n">
        <v>85.73820000000001</v>
      </c>
      <c r="D121" s="45" t="n">
        <v>12000</v>
      </c>
      <c r="E121" s="44">
        <f>(INT($E$25*1/$D121)-INT($E$25*(1-1)/$D121))*$C121</f>
        <v>0.0</v>
      </c>
      <c r="F121" s="44">
        <f>(INT($E$25*2/$D121)-INT($E$25*(2-1)/$D121))*$C121</f>
        <v>85.7382</v>
      </c>
      <c r="G121" s="44">
        <f>(INT($E$25*3/$D121)-INT($E$25*(3-1)/$D121))*$C121</f>
        <v>0.0</v>
      </c>
      <c r="H121" s="44">
        <f>(INT($E$25*4/$D121)-INT($E$25*(4-1)/$D121))*$C121</f>
        <v>85.7382</v>
      </c>
      <c r="I121" s="44">
        <f>(INT($E$25*5/$D121)-INT($E$25*(5-1)/$D121))*$C121</f>
        <v>0.0</v>
      </c>
      <c r="J121" s="44">
        <f>(INT($E$25*6/$D121)-INT($E$25*(6-1)/$D121))*$C121</f>
        <v>85.7382</v>
      </c>
      <c r="K121" s="44">
        <f>(INT($E$25*7/$D121)-INT($E$25*(7-1)/$D121))*$C121</f>
        <v>85.7382</v>
      </c>
      <c r="L121" s="44">
        <f>(INT($E$25*8/$D121)-INT($E$25*(8-1)/$D121))*$C121</f>
        <v>0.0</v>
      </c>
      <c r="M121" s="44">
        <f>(INT($E$25*9/$D121)-INT($E$25*(9-1)/$D121))*$C121</f>
        <v>85.7382</v>
      </c>
      <c r="N121" s="44">
        <f>(INT($E$25*10/$D121)-INT($E$25*(10-1)/$D121))*$C121</f>
        <v>0.0</v>
      </c>
    </row>
    <row r="122">
      <c r="B122" s="22" t="inlineStr">
        <is>
          <t>ГИДРОАККУМУЛЯТОР</t>
        </is>
      </c>
      <c r="C122" s="43" t="n">
        <v>8.0656</v>
      </c>
      <c r="D122" s="45" t="n">
        <v>18000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8.0656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8.0656</v>
      </c>
      <c r="K122" s="44">
        <f>(INT($E$25*7/$D122)-INT($E$25*(7-1)/$D122))*$C122</f>
        <v>0.0</v>
      </c>
      <c r="L122" s="44">
        <f>(INT($E$25*8/$D122)-INT($E$25*(8-1)/$D122))*$C122</f>
        <v>8.0656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ПАЛЬЦЫ И ВТУЛКИ РАБ. ОБОРУДОВАНИЯ (КОВША)</t>
        </is>
      </c>
      <c r="C123" s="43" t="n">
        <v>43.4832</v>
      </c>
      <c r="D123" s="45" t="n">
        <v>6000</v>
      </c>
      <c r="E123" s="44">
        <f>(INT($E$25*1/$D123)-INT($E$25*(1-1)/$D123))*$C123</f>
        <v>43.4832</v>
      </c>
      <c r="F123" s="44">
        <f>(INT($E$25*2/$D123)-INT($E$25*(2-1)/$D123))*$C123</f>
        <v>43.4832</v>
      </c>
      <c r="G123" s="44">
        <f>(INT($E$25*3/$D123)-INT($E$25*(3-1)/$D123))*$C123</f>
        <v>43.4832</v>
      </c>
      <c r="H123" s="44">
        <f>(INT($E$25*4/$D123)-INT($E$25*(4-1)/$D123))*$C123</f>
        <v>43.4832</v>
      </c>
      <c r="I123" s="44">
        <f>(INT($E$25*5/$D123)-INT($E$25*(5-1)/$D123))*$C123</f>
        <v>43.4832</v>
      </c>
      <c r="J123" s="44">
        <f>(INT($E$25*6/$D123)-INT($E$25*(6-1)/$D123))*$C123</f>
        <v>86.9664</v>
      </c>
      <c r="K123" s="44">
        <f>(INT($E$25*7/$D123)-INT($E$25*(7-1)/$D123))*$C123</f>
        <v>43.4832</v>
      </c>
      <c r="L123" s="44">
        <f>(INT($E$25*8/$D123)-INT($E$25*(8-1)/$D123))*$C123</f>
        <v>43.4832</v>
      </c>
      <c r="M123" s="44">
        <f>(INT($E$25*9/$D123)-INT($E$25*(9-1)/$D123))*$C123</f>
        <v>43.4832</v>
      </c>
      <c r="N123" s="44">
        <f>(INT($E$25*10/$D123)-INT($E$25*(10-1)/$D123))*$C123</f>
        <v>43.4832</v>
      </c>
    </row>
    <row r="124">
      <c r="B124" s="22" t="inlineStr">
        <is>
          <t>ПАЛЬЦЫ И ВТУЛКИ РАБ. ОБОРУДОВАНИЯ (СТРЕЛА, РУКОЯТЬ)</t>
        </is>
      </c>
      <c r="C124" s="43" t="n">
        <v>90.6853</v>
      </c>
      <c r="D124" s="45" t="n">
        <v>18000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90.6853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90.6853</v>
      </c>
      <c r="K124" s="44">
        <f>(INT($E$25*7/$D124)-INT($E$25*(7-1)/$D124))*$C124</f>
        <v>0.0</v>
      </c>
      <c r="L124" s="44">
        <f>(INT($E$25*8/$D124)-INT($E$25*(8-1)/$D124))*$C124</f>
        <v>90.6853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ЭЛЕКТРОПРОВОДКА MCV</t>
        </is>
      </c>
      <c r="C125" s="43" t="n">
        <v>3.76</v>
      </c>
      <c r="D125" s="45" t="n">
        <v>18000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3.76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3.76</v>
      </c>
      <c r="K125" s="44">
        <f>(INT($E$25*7/$D125)-INT($E$25*(7-1)/$D125))*$C125</f>
        <v>0.0</v>
      </c>
      <c r="L125" s="44">
        <f>(INT($E$25*8/$D125)-INT($E$25*(8-1)/$D125))*$C125</f>
        <v>3.76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46" t="inlineStr">
        <is>
          <t>ИТОГО</t>
        </is>
      </c>
      <c r="E126" s="44">
        <f>SUM(E95:E125)</f>
        <v>43.4832</v>
      </c>
      <c r="F126" s="44">
        <f>SUM(F95:F125)</f>
        <v>1092.9194</v>
      </c>
      <c r="G126" s="44">
        <f>SUM(G95:G125)</f>
        <v>7491.5262999999995</v>
      </c>
      <c r="H126" s="44">
        <f>SUM(H95:H125)</f>
        <v>3128.3212</v>
      </c>
      <c r="I126" s="44">
        <f>SUM(I95:I125)</f>
        <v>2381.5915</v>
      </c>
      <c r="J126" s="44">
        <f>SUM(J95:J125)</f>
        <v>8584.4457</v>
      </c>
      <c r="K126" s="44">
        <f>SUM(K95:K125)</f>
        <v>3128.3212</v>
      </c>
      <c r="L126" s="44">
        <f>SUM(L95:L125)</f>
        <v>7491.5262999999995</v>
      </c>
      <c r="M126" s="44">
        <f>SUM(M95:M125)</f>
        <v>3431.0277</v>
      </c>
      <c r="N126" s="44">
        <f>SUM(N95:N125)</f>
        <v>43.4832</v>
      </c>
    </row>
    <row r="128">
      <c r="B128" s="5" t="inlineStr">
        <is>
          <t>КАПИТАЛЬНЫЕ РЕМОНТЫ (ЦЕХ) — ТРУДОЗАТРАТЫ (по ресурсу до замены узла)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B129" s="15" t="inlineStr">
        <is>
          <t>Наименование</t>
        </is>
      </c>
      <c r="C129" s="15" t="inlineStr">
        <is>
          <t>нормо-час/событие</t>
        </is>
      </c>
      <c r="D129" s="15" t="inlineStr">
        <is>
          <t>ресурс, м/ч</t>
        </is>
      </c>
      <c r="E129" s="15" t="inlineStr">
        <is>
          <t>год 1</t>
        </is>
      </c>
      <c r="F129" s="15" t="inlineStr">
        <is>
          <t>год 2</t>
        </is>
      </c>
      <c r="G129" s="15" t="inlineStr">
        <is>
          <t>год 3</t>
        </is>
      </c>
      <c r="H129" s="15" t="inlineStr">
        <is>
          <t>год 4</t>
        </is>
      </c>
      <c r="I129" s="15" t="inlineStr">
        <is>
          <t>год 5</t>
        </is>
      </c>
      <c r="J129" s="15" t="inlineStr">
        <is>
          <t>год 6</t>
        </is>
      </c>
      <c r="K129" s="15" t="inlineStr">
        <is>
          <t>год 7</t>
        </is>
      </c>
      <c r="L129" s="15" t="inlineStr">
        <is>
          <t>год 8</t>
        </is>
      </c>
      <c r="M129" s="15" t="inlineStr">
        <is>
          <t>год 9</t>
        </is>
      </c>
      <c r="N129" s="15" t="inlineStr">
        <is>
          <t>год 10</t>
        </is>
      </c>
    </row>
    <row r="130">
      <c r="B130" s="22" t="inlineStr">
        <is>
          <t>Замена ходовой части (группа)</t>
        </is>
      </c>
      <c r="C130" s="43" t="n">
        <v>84</v>
      </c>
      <c r="D130" s="45" t="n">
        <v>18000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84.0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84.0</v>
      </c>
      <c r="K130" s="44">
        <f>(INT($E$25*7/$D130)-INT($E$25*(7-1)/$D130))*$C130</f>
        <v>0.0</v>
      </c>
      <c r="L130" s="44">
        <f>(INT($E$25*8/$D130)-INT($E$25*(8-1)/$D130))*$C130</f>
        <v>84.0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Замена ДВС</t>
        </is>
      </c>
      <c r="C131" s="43" t="n">
        <v>48</v>
      </c>
      <c r="D131" s="45" t="n">
        <v>18000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48.0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48.0</v>
      </c>
      <c r="K131" s="44">
        <f>(INT($E$25*7/$D131)-INT($E$25*(7-1)/$D131))*$C131</f>
        <v>0.0</v>
      </c>
      <c r="L131" s="44">
        <f>(INT($E$25*8/$D131)-INT($E$25*(8-1)/$D131))*$C131</f>
        <v>48.0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Замена основного радиатора</t>
        </is>
      </c>
      <c r="C132" s="43" t="n">
        <v>16</v>
      </c>
      <c r="D132" s="45" t="n">
        <v>18000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16.0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16.0</v>
      </c>
      <c r="K132" s="44">
        <f>(INT($E$25*7/$D132)-INT($E$25*(7-1)/$D132))*$C132</f>
        <v>0.0</v>
      </c>
      <c r="L132" s="44">
        <f>(INT($E$25*8/$D132)-INT($E$25*(8-1)/$D132))*$C132</f>
        <v>16.0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Замена мотора хода</t>
        </is>
      </c>
      <c r="C133" s="43" t="n">
        <v>6</v>
      </c>
      <c r="D133" s="45" t="n">
        <v>30000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0.0</v>
      </c>
      <c r="H133" s="44">
        <f>(INT($E$25*4/$D133)-INT($E$25*(4-1)/$D133))*$C133</f>
        <v>0.0</v>
      </c>
      <c r="I133" s="44">
        <f>(INT($E$25*5/$D133)-INT($E$25*(5-1)/$D133))*$C133</f>
        <v>6.0</v>
      </c>
      <c r="J133" s="44">
        <f>(INT($E$25*6/$D133)-INT($E$25*(6-1)/$D133))*$C133</f>
        <v>0.0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6.0</v>
      </c>
      <c r="N133" s="44">
        <f>(INT($E$25*10/$D133)-INT($E$25*(10-1)/$D133))*$C133</f>
        <v>0.0</v>
      </c>
    </row>
    <row r="134">
      <c r="B134" s="22" t="inlineStr">
        <is>
          <t>Замена редуктора поворота</t>
        </is>
      </c>
      <c r="C134" s="43" t="n">
        <v>8</v>
      </c>
      <c r="D134" s="45" t="n">
        <v>30000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0.0</v>
      </c>
      <c r="H134" s="44">
        <f>(INT($E$25*4/$D134)-INT($E$25*(4-1)/$D134))*$C134</f>
        <v>0.0</v>
      </c>
      <c r="I134" s="44">
        <f>(INT($E$25*5/$D134)-INT($E$25*(5-1)/$D134))*$C134</f>
        <v>8.0</v>
      </c>
      <c r="J134" s="44">
        <f>(INT($E$25*6/$D134)-INT($E$25*(6-1)/$D134))*$C134</f>
        <v>0.0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8.0</v>
      </c>
      <c r="N134" s="44">
        <f>(INT($E$25*10/$D134)-INT($E$25*(10-1)/$D134))*$C134</f>
        <v>0.0</v>
      </c>
    </row>
    <row r="135">
      <c r="B135" s="22" t="inlineStr">
        <is>
          <t>Замена цилиндра стрелы (группа)</t>
        </is>
      </c>
      <c r="C135" s="43" t="n">
        <v>12</v>
      </c>
      <c r="D135" s="45" t="n">
        <v>12000</v>
      </c>
      <c r="E135" s="44">
        <f>(INT($E$25*1/$D135)-INT($E$25*(1-1)/$D135))*$C135</f>
        <v>0.0</v>
      </c>
      <c r="F135" s="44">
        <f>(INT($E$25*2/$D135)-INT($E$25*(2-1)/$D135))*$C135</f>
        <v>12.0</v>
      </c>
      <c r="G135" s="44">
        <f>(INT($E$25*3/$D135)-INT($E$25*(3-1)/$D135))*$C135</f>
        <v>0.0</v>
      </c>
      <c r="H135" s="44">
        <f>(INT($E$25*4/$D135)-INT($E$25*(4-1)/$D135))*$C135</f>
        <v>12.0</v>
      </c>
      <c r="I135" s="44">
        <f>(INT($E$25*5/$D135)-INT($E$25*(5-1)/$D135))*$C135</f>
        <v>0.0</v>
      </c>
      <c r="J135" s="44">
        <f>(INT($E$25*6/$D135)-INT($E$25*(6-1)/$D135))*$C135</f>
        <v>12.0</v>
      </c>
      <c r="K135" s="44">
        <f>(INT($E$25*7/$D135)-INT($E$25*(7-1)/$D135))*$C135</f>
        <v>12.0</v>
      </c>
      <c r="L135" s="44">
        <f>(INT($E$25*8/$D135)-INT($E$25*(8-1)/$D135))*$C135</f>
        <v>0.0</v>
      </c>
      <c r="M135" s="44">
        <f>(INT($E$25*9/$D135)-INT($E$25*(9-1)/$D135))*$C135</f>
        <v>12.0</v>
      </c>
      <c r="N135" s="44">
        <f>(INT($E$25*10/$D135)-INT($E$25*(10-1)/$D135))*$C135</f>
        <v>0.0</v>
      </c>
    </row>
    <row r="136">
      <c r="B136" s="46" t="inlineStr">
        <is>
          <t>ИТОГО</t>
        </is>
      </c>
      <c r="E136" s="44">
        <f>SUM(E130:E135)</f>
        <v>0.0</v>
      </c>
      <c r="F136" s="44">
        <f>SUM(F130:F135)</f>
        <v>12.0</v>
      </c>
      <c r="G136" s="44">
        <f>SUM(G130:G135)</f>
        <v>148.0</v>
      </c>
      <c r="H136" s="44">
        <f>SUM(H130:H135)</f>
        <v>12.0</v>
      </c>
      <c r="I136" s="44">
        <f>SUM(I130:I135)</f>
        <v>14.0</v>
      </c>
      <c r="J136" s="44">
        <f>SUM(J130:J135)</f>
        <v>160.0</v>
      </c>
      <c r="K136" s="44">
        <f>SUM(K130:K135)</f>
        <v>12.0</v>
      </c>
      <c r="L136" s="44">
        <f>SUM(L130:L135)</f>
        <v>148.0</v>
      </c>
      <c r="M136" s="44">
        <f>SUM(M130:M135)</f>
        <v>26.0</v>
      </c>
      <c r="N136" s="44">
        <f>SUM(N130:N135)</f>
        <v>0.0</v>
      </c>
    </row>
    <row r="138">
      <c r="B138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28:N128"/>
    <mergeCell ref="B45:N45"/>
    <mergeCell ref="B79:N79"/>
    <mergeCell ref="B1:N1"/>
    <mergeCell ref="B93:N93"/>
    <mergeCell ref="B83:N83"/>
    <mergeCell ref="E4:N4"/>
    <mergeCell ref="B88:N88"/>
    <mergeCell ref="B7:N7"/>
    <mergeCell ref="B24:N24"/>
    <mergeCell ref="B2:N2"/>
    <mergeCell ref="B138:P138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112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данных'!I7</f>
        <v>TZCO TZ2000
Дзикай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7.5</v>
      </c>
      <c r="F13" s="38">
        <f>F90*$E$81</f>
        <v>7.5</v>
      </c>
      <c r="G13" s="38">
        <f>G90*$E$81</f>
        <v>7.5</v>
      </c>
      <c r="H13" s="38">
        <f>H90*$E$81</f>
        <v>7.5</v>
      </c>
      <c r="I13" s="38">
        <f>I90*$E$81</f>
        <v>7.5</v>
      </c>
      <c r="J13" s="38">
        <f>J90*$E$81</f>
        <v>7.5</v>
      </c>
      <c r="K13" s="38">
        <f>K90*$E$81</f>
        <v>7.5</v>
      </c>
      <c r="L13" s="38">
        <f>L90*$E$81</f>
        <v>7.5</v>
      </c>
      <c r="M13" s="38">
        <f>M90*$E$81</f>
        <v>7.5</v>
      </c>
      <c r="N13" s="38">
        <f>N90*$E$81</f>
        <v>7.5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E104*$E$81</f>
        <v>0.0</v>
      </c>
      <c r="F14" s="38">
        <f>F104*$E$81</f>
        <v>0.0</v>
      </c>
      <c r="G14" s="38">
        <f>G104*$E$81</f>
        <v>0.0</v>
      </c>
      <c r="H14" s="38">
        <f>H104*$E$81</f>
        <v>0.0</v>
      </c>
      <c r="I14" s="38">
        <f>I104*$E$81</f>
        <v>30.0</v>
      </c>
      <c r="J14" s="38">
        <f>J104*$E$81</f>
        <v>0.0</v>
      </c>
      <c r="K14" s="38">
        <f>K104*$E$81</f>
        <v>580.0</v>
      </c>
      <c r="L14" s="38">
        <f>L104*$E$81</f>
        <v>0.0</v>
      </c>
      <c r="M14" s="38">
        <f>M104*$E$81</f>
        <v>0.0</v>
      </c>
      <c r="N14" s="38">
        <f>N104*$E$81</f>
        <v>640.0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200.0</v>
      </c>
      <c r="F16" s="38">
        <f>F95*$E$81</f>
        <v>200.0</v>
      </c>
      <c r="G16" s="38">
        <f>G95*$E$81</f>
        <v>200.0</v>
      </c>
      <c r="H16" s="38">
        <f>H95*$E$81</f>
        <v>200.0</v>
      </c>
      <c r="I16" s="38">
        <f>I95*$E$81</f>
        <v>200.0</v>
      </c>
      <c r="J16" s="38">
        <f>J95*$E$81</f>
        <v>200.0</v>
      </c>
      <c r="K16" s="38">
        <f>K95*$E$81</f>
        <v>200.0</v>
      </c>
      <c r="L16" s="38">
        <f>L95*$E$81</f>
        <v>200.0</v>
      </c>
      <c r="M16" s="38">
        <f>M95*$E$81</f>
        <v>200.0</v>
      </c>
      <c r="N16" s="38">
        <f>N95*$E$81</f>
        <v>200.0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E110*$E$81</f>
        <v>0.0</v>
      </c>
      <c r="F17" s="38">
        <f>F110*$E$81</f>
        <v>200.0</v>
      </c>
      <c r="G17" s="38">
        <f>G110*$E$81</f>
        <v>0.0</v>
      </c>
      <c r="H17" s="38">
        <f>H110*$E$81</f>
        <v>200.0</v>
      </c>
      <c r="I17" s="38">
        <f>I110*$E$81</f>
        <v>600.0</v>
      </c>
      <c r="J17" s="38">
        <f>J110*$E$81</f>
        <v>200.0</v>
      </c>
      <c r="K17" s="38">
        <f>K110*$E$81</f>
        <v>0.0</v>
      </c>
      <c r="L17" s="38">
        <f>L110*$E$81</f>
        <v>200.0</v>
      </c>
      <c r="M17" s="38">
        <f>M110*$E$81</f>
        <v>0.0</v>
      </c>
      <c r="N17" s="38">
        <f>N110*$E$81</f>
        <v>800.0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10.0</v>
      </c>
      <c r="G19" s="38">
        <f>G16*$E$77/1000</f>
        <v>10.0</v>
      </c>
      <c r="H19" s="38">
        <f>H16*$E$77/1000</f>
        <v>10.0</v>
      </c>
      <c r="I19" s="38">
        <f>I16*$E$77/1000</f>
        <v>10.0</v>
      </c>
      <c r="J19" s="38">
        <f>J16*$E$77/1000</f>
        <v>10.0</v>
      </c>
      <c r="K19" s="38">
        <f>K16*$E$77/1000</f>
        <v>10.0</v>
      </c>
      <c r="L19" s="38">
        <f>L16*$E$77/1000</f>
        <v>10.0</v>
      </c>
      <c r="M19" s="38">
        <f>M16*$E$77/1000</f>
        <v>10.0</v>
      </c>
      <c r="N19" s="38">
        <f>N16*$E$77/1000</f>
        <v>10.0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10.0</v>
      </c>
      <c r="G20" s="38">
        <f>G17*$E$77/1000</f>
        <v>0.0</v>
      </c>
      <c r="H20" s="38">
        <f>H17*$E$77/1000</f>
        <v>10.0</v>
      </c>
      <c r="I20" s="38">
        <f>I17*$E$77/1000</f>
        <v>30.0</v>
      </c>
      <c r="J20" s="38">
        <f>J17*$E$77/1000</f>
        <v>10.0</v>
      </c>
      <c r="K20" s="38">
        <f>K17*$E$77/1000</f>
        <v>0.0</v>
      </c>
      <c r="L20" s="38">
        <f>L17*$E$77/1000</f>
        <v>10.0</v>
      </c>
      <c r="M20" s="38">
        <f>M17*$E$77/1000</f>
        <v>0.0</v>
      </c>
      <c r="N20" s="38">
        <f>N17*$E$77/1000</f>
        <v>40.0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152.34071999999998</v>
      </c>
      <c r="F21" s="38">
        <f>F12+F13+F14+F18+F19+F20</f>
        <v>162.34071999999998</v>
      </c>
      <c r="G21" s="38">
        <f>G12+G13+G14+G18+G19+G20</f>
        <v>152.34071999999998</v>
      </c>
      <c r="H21" s="38">
        <f>H12+H13+H14+H18+H19+H20</f>
        <v>162.34071999999998</v>
      </c>
      <c r="I21" s="38">
        <f>I12+I13+I14+I18+I19+I20</f>
        <v>212.34072</v>
      </c>
      <c r="J21" s="38">
        <f>J12+J13+J14+J18+J19+J20</f>
        <v>162.34071999999998</v>
      </c>
      <c r="K21" s="38">
        <f>K12+K13+K14+K18+K19+K20</f>
        <v>732.34072</v>
      </c>
      <c r="L21" s="38">
        <f>L12+L13+L14+L18+L19+L20</f>
        <v>162.34071999999998</v>
      </c>
      <c r="M21" s="38">
        <f>M12+M13+M14+M18+M19+M20</f>
        <v>152.34071999999998</v>
      </c>
      <c r="N21" s="38">
        <f>N12+N13+N14+N18+N19+N20</f>
        <v>832.34072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120</v>
      </c>
      <c r="F22" s="33" t="n">
        <v>120</v>
      </c>
      <c r="G22" s="33" t="n">
        <v>120</v>
      </c>
      <c r="H22" s="33" t="n">
        <v>120</v>
      </c>
      <c r="I22" s="33" t="n">
        <v>120</v>
      </c>
      <c r="J22" s="33" t="n">
        <v>120</v>
      </c>
      <c r="K22" s="33" t="n">
        <v>120</v>
      </c>
      <c r="L22" s="33" t="n">
        <v>120</v>
      </c>
      <c r="M22" s="33" t="n">
        <v>120</v>
      </c>
      <c r="N22" s="33" t="n">
        <v>120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текущий ремонт (ходовая часть), флэт-годовой</t>
        </is>
      </c>
      <c r="C85" s="43" t="n">
        <v>2.5</v>
      </c>
      <c r="D85" s="45" t="n">
        <v>7000</v>
      </c>
      <c r="E85" s="44">
        <f>(INT($E$25*1/$D85)-INT($E$25*(1-1)/$D85))*$C85</f>
        <v>2.5</v>
      </c>
      <c r="F85" s="44">
        <f>(INT($E$25*2/$D85)-INT($E$25*(2-1)/$D85))*$C85</f>
        <v>2.5</v>
      </c>
      <c r="G85" s="44">
        <f>(INT($E$25*3/$D85)-INT($E$25*(3-1)/$D85))*$C85</f>
        <v>2.5</v>
      </c>
      <c r="H85" s="44">
        <f>(INT($E$25*4/$D85)-INT($E$25*(4-1)/$D85))*$C85</f>
        <v>2.5</v>
      </c>
      <c r="I85" s="44">
        <f>(INT($E$25*5/$D85)-INT($E$25*(5-1)/$D85))*$C85</f>
        <v>2.5</v>
      </c>
      <c r="J85" s="44">
        <f>(INT($E$25*6/$D85)-INT($E$25*(6-1)/$D85))*$C85</f>
        <v>2.5</v>
      </c>
      <c r="K85" s="44">
        <f>(INT($E$25*7/$D85)-INT($E$25*(7-1)/$D85))*$C85</f>
        <v>2.5</v>
      </c>
      <c r="L85" s="44">
        <f>(INT($E$25*8/$D85)-INT($E$25*(8-1)/$D85))*$C85</f>
        <v>2.5</v>
      </c>
      <c r="M85" s="44">
        <f>(INT($E$25*9/$D85)-INT($E$25*(9-1)/$D85))*$C85</f>
        <v>2.5</v>
      </c>
      <c r="N85" s="44">
        <f>(INT($E$25*10/$D85)-INT($E$25*(10-1)/$D85))*$C85</f>
        <v>2.5</v>
      </c>
    </row>
    <row r="86">
      <c r="B86" s="22" t="inlineStr">
        <is>
          <t>текущий ремонт (рабочее оборудование), флэт-годовой</t>
        </is>
      </c>
      <c r="C86" s="43" t="n">
        <v>2</v>
      </c>
      <c r="D86" s="45" t="n">
        <v>7000</v>
      </c>
      <c r="E86" s="44">
        <f>(INT($E$25*1/$D86)-INT($E$25*(1-1)/$D86))*$C86</f>
        <v>2.0</v>
      </c>
      <c r="F86" s="44">
        <f>(INT($E$25*2/$D86)-INT($E$25*(2-1)/$D86))*$C86</f>
        <v>2.0</v>
      </c>
      <c r="G86" s="44">
        <f>(INT($E$25*3/$D86)-INT($E$25*(3-1)/$D86))*$C86</f>
        <v>2.0</v>
      </c>
      <c r="H86" s="44">
        <f>(INT($E$25*4/$D86)-INT($E$25*(4-1)/$D86))*$C86</f>
        <v>2.0</v>
      </c>
      <c r="I86" s="44">
        <f>(INT($E$25*5/$D86)-INT($E$25*(5-1)/$D86))*$C86</f>
        <v>2.0</v>
      </c>
      <c r="J86" s="44">
        <f>(INT($E$25*6/$D86)-INT($E$25*(6-1)/$D86))*$C86</f>
        <v>2.0</v>
      </c>
      <c r="K86" s="44">
        <f>(INT($E$25*7/$D86)-INT($E$25*(7-1)/$D86))*$C86</f>
        <v>2.0</v>
      </c>
      <c r="L86" s="44">
        <f>(INT($E$25*8/$D86)-INT($E$25*(8-1)/$D86))*$C86</f>
        <v>2.0</v>
      </c>
      <c r="M86" s="44">
        <f>(INT($E$25*9/$D86)-INT($E$25*(9-1)/$D86))*$C86</f>
        <v>2.0</v>
      </c>
      <c r="N86" s="44">
        <f>(INT($E$25*10/$D86)-INT($E$25*(10-1)/$D86))*$C86</f>
        <v>2.0</v>
      </c>
    </row>
    <row r="87">
      <c r="B87" s="22" t="inlineStr">
        <is>
          <t>другое-1, флэт-годовой</t>
        </is>
      </c>
      <c r="C87" s="43" t="n">
        <v>1.5</v>
      </c>
      <c r="D87" s="45" t="n">
        <v>7000</v>
      </c>
      <c r="E87" s="44">
        <f>(INT($E$25*1/$D87)-INT($E$25*(1-1)/$D87))*$C87</f>
        <v>1.5</v>
      </c>
      <c r="F87" s="44">
        <f>(INT($E$25*2/$D87)-INT($E$25*(2-1)/$D87))*$C87</f>
        <v>1.5</v>
      </c>
      <c r="G87" s="44">
        <f>(INT($E$25*3/$D87)-INT($E$25*(3-1)/$D87))*$C87</f>
        <v>1.5</v>
      </c>
      <c r="H87" s="44">
        <f>(INT($E$25*4/$D87)-INT($E$25*(4-1)/$D87))*$C87</f>
        <v>1.5</v>
      </c>
      <c r="I87" s="44">
        <f>(INT($E$25*5/$D87)-INT($E$25*(5-1)/$D87))*$C87</f>
        <v>1.5</v>
      </c>
      <c r="J87" s="44">
        <f>(INT($E$25*6/$D87)-INT($E$25*(6-1)/$D87))*$C87</f>
        <v>1.5</v>
      </c>
      <c r="K87" s="44">
        <f>(INT($E$25*7/$D87)-INT($E$25*(7-1)/$D87))*$C87</f>
        <v>1.5</v>
      </c>
      <c r="L87" s="44">
        <f>(INT($E$25*8/$D87)-INT($E$25*(8-1)/$D87))*$C87</f>
        <v>1.5</v>
      </c>
      <c r="M87" s="44">
        <f>(INT($E$25*9/$D87)-INT($E$25*(9-1)/$D87))*$C87</f>
        <v>1.5</v>
      </c>
      <c r="N87" s="44">
        <f>(INT($E$25*10/$D87)-INT($E$25*(10-1)/$D87))*$C87</f>
        <v>1.5</v>
      </c>
    </row>
    <row r="88">
      <c r="B88" s="22" t="inlineStr">
        <is>
          <t>другое-2, флэт-годовой</t>
        </is>
      </c>
      <c r="C88" s="43" t="n">
        <v>1</v>
      </c>
      <c r="D88" s="45" t="n">
        <v>7000</v>
      </c>
      <c r="E88" s="44">
        <f>(INT($E$25*1/$D88)-INT($E$25*(1-1)/$D88))*$C88</f>
        <v>1.0</v>
      </c>
      <c r="F88" s="44">
        <f>(INT($E$25*2/$D88)-INT($E$25*(2-1)/$D88))*$C88</f>
        <v>1.0</v>
      </c>
      <c r="G88" s="44">
        <f>(INT($E$25*3/$D88)-INT($E$25*(3-1)/$D88))*$C88</f>
        <v>1.0</v>
      </c>
      <c r="H88" s="44">
        <f>(INT($E$25*4/$D88)-INT($E$25*(4-1)/$D88))*$C88</f>
        <v>1.0</v>
      </c>
      <c r="I88" s="44">
        <f>(INT($E$25*5/$D88)-INT($E$25*(5-1)/$D88))*$C88</f>
        <v>1.0</v>
      </c>
      <c r="J88" s="44">
        <f>(INT($E$25*6/$D88)-INT($E$25*(6-1)/$D88))*$C88</f>
        <v>1.0</v>
      </c>
      <c r="K88" s="44">
        <f>(INT($E$25*7/$D88)-INT($E$25*(7-1)/$D88))*$C88</f>
        <v>1.0</v>
      </c>
      <c r="L88" s="44">
        <f>(INT($E$25*8/$D88)-INT($E$25*(8-1)/$D88))*$C88</f>
        <v>1.0</v>
      </c>
      <c r="M88" s="44">
        <f>(INT($E$25*9/$D88)-INT($E$25*(9-1)/$D88))*$C88</f>
        <v>1.0</v>
      </c>
      <c r="N88" s="44">
        <f>(INT($E$25*10/$D88)-INT($E$25*(10-1)/$D88))*$C88</f>
        <v>1.0</v>
      </c>
    </row>
    <row r="89">
      <c r="B89" s="22" t="inlineStr">
        <is>
          <t>другое-3, флэт-годовой</t>
        </is>
      </c>
      <c r="C89" s="43" t="n">
        <v>0.5</v>
      </c>
      <c r="D89" s="45" t="n">
        <v>7000</v>
      </c>
      <c r="E89" s="44">
        <f>(INT($E$25*1/$D89)-INT($E$25*(1-1)/$D89))*$C89</f>
        <v>0.5</v>
      </c>
      <c r="F89" s="44">
        <f>(INT($E$25*2/$D89)-INT($E$25*(2-1)/$D89))*$C89</f>
        <v>0.5</v>
      </c>
      <c r="G89" s="44">
        <f>(INT($E$25*3/$D89)-INT($E$25*(3-1)/$D89))*$C89</f>
        <v>0.5</v>
      </c>
      <c r="H89" s="44">
        <f>(INT($E$25*4/$D89)-INT($E$25*(4-1)/$D89))*$C89</f>
        <v>0.5</v>
      </c>
      <c r="I89" s="44">
        <f>(INT($E$25*5/$D89)-INT($E$25*(5-1)/$D89))*$C89</f>
        <v>0.5</v>
      </c>
      <c r="J89" s="44">
        <f>(INT($E$25*6/$D89)-INT($E$25*(6-1)/$D89))*$C89</f>
        <v>0.5</v>
      </c>
      <c r="K89" s="44">
        <f>(INT($E$25*7/$D89)-INT($E$25*(7-1)/$D89))*$C89</f>
        <v>0.5</v>
      </c>
      <c r="L89" s="44">
        <f>(INT($E$25*8/$D89)-INT($E$25*(8-1)/$D89))*$C89</f>
        <v>0.5</v>
      </c>
      <c r="M89" s="44">
        <f>(INT($E$25*9/$D89)-INT($E$25*(9-1)/$D89))*$C89</f>
        <v>0.5</v>
      </c>
      <c r="N89" s="44">
        <f>(INT($E$25*10/$D89)-INT($E$25*(10-1)/$D89))*$C89</f>
        <v>0.5</v>
      </c>
    </row>
    <row r="90">
      <c r="B90" s="46" t="inlineStr">
        <is>
          <t>ИТОГО</t>
        </is>
      </c>
      <c r="E90" s="44">
        <f>SUM(E85:E89)</f>
        <v>7.5</v>
      </c>
      <c r="F90" s="44">
        <f>SUM(F85:F89)</f>
        <v>7.5</v>
      </c>
      <c r="G90" s="44">
        <f>SUM(G85:G89)</f>
        <v>7.5</v>
      </c>
      <c r="H90" s="44">
        <f>SUM(H85:H89)</f>
        <v>7.5</v>
      </c>
      <c r="I90" s="44">
        <f>SUM(I85:I89)</f>
        <v>7.5</v>
      </c>
      <c r="J90" s="44">
        <f>SUM(J85:J89)</f>
        <v>7.5</v>
      </c>
      <c r="K90" s="44">
        <f>SUM(K85:K89)</f>
        <v>7.5</v>
      </c>
      <c r="L90" s="44">
        <f>SUM(L85:L89)</f>
        <v>7.5</v>
      </c>
      <c r="M90" s="44">
        <f>SUM(M85:M89)</f>
        <v>7.5</v>
      </c>
      <c r="N90" s="44">
        <f>SUM(N85:N89)</f>
        <v>7.5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Текущие ремонты (сводно, по данным поставщика)</t>
        </is>
      </c>
      <c r="C94" s="43" t="n">
        <v>200</v>
      </c>
      <c r="D94" s="45" t="n">
        <v>7000</v>
      </c>
      <c r="E94" s="44">
        <f>(INT($E$25*1/$D94)-INT($E$25*(1-1)/$D94))*$C94</f>
        <v>200.0</v>
      </c>
      <c r="F94" s="44">
        <f>(INT($E$25*2/$D94)-INT($E$25*(2-1)/$D94))*$C94</f>
        <v>200.0</v>
      </c>
      <c r="G94" s="44">
        <f>(INT($E$25*3/$D94)-INT($E$25*(3-1)/$D94))*$C94</f>
        <v>200.0</v>
      </c>
      <c r="H94" s="44">
        <f>(INT($E$25*4/$D94)-INT($E$25*(4-1)/$D94))*$C94</f>
        <v>200.0</v>
      </c>
      <c r="I94" s="44">
        <f>(INT($E$25*5/$D94)-INT($E$25*(5-1)/$D94))*$C94</f>
        <v>200.0</v>
      </c>
      <c r="J94" s="44">
        <f>(INT($E$25*6/$D94)-INT($E$25*(6-1)/$D94))*$C94</f>
        <v>200.0</v>
      </c>
      <c r="K94" s="44">
        <f>(INT($E$25*7/$D94)-INT($E$25*(7-1)/$D94))*$C94</f>
        <v>200.0</v>
      </c>
      <c r="L94" s="44">
        <f>(INT($E$25*8/$D94)-INT($E$25*(8-1)/$D94))*$C94</f>
        <v>200.0</v>
      </c>
      <c r="M94" s="44">
        <f>(INT($E$25*9/$D94)-INT($E$25*(9-1)/$D94))*$C94</f>
        <v>200.0</v>
      </c>
      <c r="N94" s="44">
        <f>(INT($E$25*10/$D94)-INT($E$25*(10-1)/$D94))*$C94</f>
        <v>200.0</v>
      </c>
    </row>
    <row r="95">
      <c r="B95" s="46" t="inlineStr">
        <is>
          <t>ИТОГО</t>
        </is>
      </c>
      <c r="E95" s="44">
        <f>SUM(E94:E94)</f>
        <v>200.0</v>
      </c>
      <c r="F95" s="44">
        <f>SUM(F94:F94)</f>
        <v>200.0</v>
      </c>
      <c r="G95" s="44">
        <f>SUM(G94:G94)</f>
        <v>200.0</v>
      </c>
      <c r="H95" s="44">
        <f>SUM(H94:H94)</f>
        <v>200.0</v>
      </c>
      <c r="I95" s="44">
        <f>SUM(I94:I94)</f>
        <v>200.0</v>
      </c>
      <c r="J95" s="44">
        <f>SUM(J94:J94)</f>
        <v>200.0</v>
      </c>
      <c r="K95" s="44">
        <f>SUM(K94:K94)</f>
        <v>200.0</v>
      </c>
      <c r="L95" s="44">
        <f>SUM(L94:L94)</f>
        <v>200.0</v>
      </c>
      <c r="M95" s="44">
        <f>SUM(M94:M94)</f>
        <v>200.0</v>
      </c>
      <c r="N95" s="44">
        <f>SUM(N94:N94)</f>
        <v>200.0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Ходовой двигатель</t>
        </is>
      </c>
      <c r="C99" s="43" t="n">
        <v>150</v>
      </c>
      <c r="D99" s="45" t="n">
        <v>70000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0.0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0.0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0.0</v>
      </c>
      <c r="N99" s="44">
        <f>(INT($E$25*10/$D99)-INT($E$25*(10-1)/$D99))*$C99</f>
        <v>150.0</v>
      </c>
    </row>
    <row r="100">
      <c r="B100" s="22" t="inlineStr">
        <is>
          <t>Редуктор хода</t>
        </is>
      </c>
      <c r="C100" s="43" t="n">
        <v>460</v>
      </c>
      <c r="D100" s="45" t="n">
        <v>70000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0.0</v>
      </c>
      <c r="N100" s="44">
        <f>(INT($E$25*10/$D100)-INT($E$25*(10-1)/$D100))*$C100</f>
        <v>460.0</v>
      </c>
    </row>
    <row r="101">
      <c r="B101" s="22" t="inlineStr">
        <is>
          <t>Тормоз хода</t>
        </is>
      </c>
      <c r="C101" s="43" t="n">
        <v>30</v>
      </c>
      <c r="D101" s="45" t="n">
        <v>35000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0.0</v>
      </c>
      <c r="H101" s="44">
        <f>(INT($E$25*4/$D101)-INT($E$25*(4-1)/$D101))*$C101</f>
        <v>0.0</v>
      </c>
      <c r="I101" s="44">
        <f>(INT($E$25*5/$D101)-INT($E$25*(5-1)/$D101))*$C101</f>
        <v>30.0</v>
      </c>
      <c r="J101" s="44">
        <f>(INT($E$25*6/$D101)-INT($E$25*(6-1)/$D101))*$C101</f>
        <v>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0.0</v>
      </c>
      <c r="N101" s="44">
        <f>(INT($E$25*10/$D101)-INT($E$25*(10-1)/$D101))*$C101</f>
        <v>30.0</v>
      </c>
    </row>
    <row r="102">
      <c r="B102" s="22" t="inlineStr">
        <is>
          <t>Гусеничная лента</t>
        </is>
      </c>
      <c r="C102" s="43" t="n">
        <v>500</v>
      </c>
      <c r="D102" s="45" t="n">
        <v>49000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500.0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Натяжное колесо</t>
        </is>
      </c>
      <c r="C103" s="43" t="n">
        <v>80</v>
      </c>
      <c r="D103" s="45" t="n">
        <v>49000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0.0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0.0</v>
      </c>
      <c r="K103" s="44">
        <f>(INT($E$25*7/$D103)-INT($E$25*(7-1)/$D103))*$C103</f>
        <v>80.0</v>
      </c>
      <c r="L103" s="44">
        <f>(INT($E$25*8/$D103)-INT($E$25*(8-1)/$D103))*$C103</f>
        <v>0.0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46" t="inlineStr">
        <is>
          <t>ИТОГО</t>
        </is>
      </c>
      <c r="E104" s="44">
        <f>SUM(E99:E103)</f>
        <v>0.0</v>
      </c>
      <c r="F104" s="44">
        <f>SUM(F99:F103)</f>
        <v>0.0</v>
      </c>
      <c r="G104" s="44">
        <f>SUM(G99:G103)</f>
        <v>0.0</v>
      </c>
      <c r="H104" s="44">
        <f>SUM(H99:H103)</f>
        <v>0.0</v>
      </c>
      <c r="I104" s="44">
        <f>SUM(I99:I103)</f>
        <v>30.0</v>
      </c>
      <c r="J104" s="44">
        <f>SUM(J99:J103)</f>
        <v>0.0</v>
      </c>
      <c r="K104" s="44">
        <f>SUM(K99:K103)</f>
        <v>580.0</v>
      </c>
      <c r="L104" s="44">
        <f>SUM(L99:L103)</f>
        <v>0.0</v>
      </c>
      <c r="M104" s="44">
        <f>SUM(M99:M103)</f>
        <v>0.0</v>
      </c>
      <c r="N104" s="44">
        <f>SUM(N99:N103)</f>
        <v>640.0</v>
      </c>
    </row>
    <row r="106">
      <c r="B106" s="5" t="inlineStr">
        <is>
          <t>КАПИТАЛЬНЫЕ РЕМОНТЫ (ЦЕХ) — ТРУДОЗАТРАТЫ (по ресурсу до замены узла)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B107" s="15" t="inlineStr">
        <is>
          <t>Наименование</t>
        </is>
      </c>
      <c r="C107" s="15" t="inlineStr">
        <is>
          <t>нормо-час/событие</t>
        </is>
      </c>
      <c r="D107" s="15" t="inlineStr">
        <is>
          <t>ресурс, м/ч</t>
        </is>
      </c>
      <c r="E107" s="15" t="inlineStr">
        <is>
          <t>год 1</t>
        </is>
      </c>
      <c r="F107" s="15" t="inlineStr">
        <is>
          <t>год 2</t>
        </is>
      </c>
      <c r="G107" s="15" t="inlineStr">
        <is>
          <t>год 3</t>
        </is>
      </c>
      <c r="H107" s="15" t="inlineStr">
        <is>
          <t>год 4</t>
        </is>
      </c>
      <c r="I107" s="15" t="inlineStr">
        <is>
          <t>год 5</t>
        </is>
      </c>
      <c r="J107" s="15" t="inlineStr">
        <is>
          <t>год 6</t>
        </is>
      </c>
      <c r="K107" s="15" t="inlineStr">
        <is>
          <t>год 7</t>
        </is>
      </c>
      <c r="L107" s="15" t="inlineStr">
        <is>
          <t>год 8</t>
        </is>
      </c>
      <c r="M107" s="15" t="inlineStr">
        <is>
          <t>год 9</t>
        </is>
      </c>
      <c r="N107" s="15" t="inlineStr">
        <is>
          <t>год 10</t>
        </is>
      </c>
    </row>
    <row r="108">
      <c r="B108" s="22" t="inlineStr">
        <is>
          <t>Капитальный ремонт (тормоз хода)</t>
        </is>
      </c>
      <c r="C108" s="43" t="n">
        <v>600</v>
      </c>
      <c r="D108" s="45" t="n">
        <v>35000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0.0</v>
      </c>
      <c r="H108" s="44">
        <f>(INT($E$25*4/$D108)-INT($E$25*(4-1)/$D108))*$C108</f>
        <v>0.0</v>
      </c>
      <c r="I108" s="44">
        <f>(INT($E$25*5/$D108)-INT($E$25*(5-1)/$D108))*$C108</f>
        <v>600.0</v>
      </c>
      <c r="J108" s="44">
        <f>(INT($E$25*6/$D108)-INT($E$25*(6-1)/$D108))*$C108</f>
        <v>0.0</v>
      </c>
      <c r="K108" s="44">
        <f>(INT($E$25*7/$D108)-INT($E$25*(7-1)/$D108))*$C108</f>
        <v>0.0</v>
      </c>
      <c r="L108" s="44">
        <f>(INT($E$25*8/$D108)-INT($E$25*(8-1)/$D108))*$C108</f>
        <v>0.0</v>
      </c>
      <c r="M108" s="44">
        <f>(INT($E$25*9/$D108)-INT($E$25*(9-1)/$D108))*$C108</f>
        <v>0.0</v>
      </c>
      <c r="N108" s="44">
        <f>(INT($E$25*10/$D108)-INT($E$25*(10-1)/$D108))*$C108</f>
        <v>600.0</v>
      </c>
    </row>
    <row r="109">
      <c r="B109" s="22" t="inlineStr">
        <is>
          <t>Прочие капитальные работы (сводно)</t>
        </is>
      </c>
      <c r="C109" s="43" t="n">
        <v>200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200.0</v>
      </c>
      <c r="G109" s="44">
        <f>(INT($E$25*3/$D109)-INT($E$25*(3-1)/$D109))*$C109</f>
        <v>0.0</v>
      </c>
      <c r="H109" s="44">
        <f>(INT($E$25*4/$D109)-INT($E$25*(4-1)/$D109))*$C109</f>
        <v>200.0</v>
      </c>
      <c r="I109" s="44">
        <f>(INT($E$25*5/$D109)-INT($E$25*(5-1)/$D109))*$C109</f>
        <v>0.0</v>
      </c>
      <c r="J109" s="44">
        <f>(INT($E$25*6/$D109)-INT($E$25*(6-1)/$D109))*$C109</f>
        <v>200.0</v>
      </c>
      <c r="K109" s="44">
        <f>(INT($E$25*7/$D109)-INT($E$25*(7-1)/$D109))*$C109</f>
        <v>0.0</v>
      </c>
      <c r="L109" s="44">
        <f>(INT($E$25*8/$D109)-INT($E$25*(8-1)/$D109))*$C109</f>
        <v>200.0</v>
      </c>
      <c r="M109" s="44">
        <f>(INT($E$25*9/$D109)-INT($E$25*(9-1)/$D109))*$C109</f>
        <v>0.0</v>
      </c>
      <c r="N109" s="44">
        <f>(INT($E$25*10/$D109)-INT($E$25*(10-1)/$D109))*$C109</f>
        <v>200.0</v>
      </c>
    </row>
    <row r="110">
      <c r="B110" s="46" t="inlineStr">
        <is>
          <t>ИТОГО</t>
        </is>
      </c>
      <c r="E110" s="44">
        <f>SUM(E108:E109)</f>
        <v>0.0</v>
      </c>
      <c r="F110" s="44">
        <f>SUM(F108:F109)</f>
        <v>200.0</v>
      </c>
      <c r="G110" s="44">
        <f>SUM(G108:G109)</f>
        <v>0.0</v>
      </c>
      <c r="H110" s="44">
        <f>SUM(H108:H109)</f>
        <v>200.0</v>
      </c>
      <c r="I110" s="44">
        <f>SUM(I108:I109)</f>
        <v>600.0</v>
      </c>
      <c r="J110" s="44">
        <f>SUM(J108:J109)</f>
        <v>200.0</v>
      </c>
      <c r="K110" s="44">
        <f>SUM(K108:K109)</f>
        <v>0.0</v>
      </c>
      <c r="L110" s="44">
        <f>SUM(L108:L109)</f>
        <v>200.0</v>
      </c>
      <c r="M110" s="44">
        <f>SUM(M108:M109)</f>
        <v>0.0</v>
      </c>
      <c r="N110" s="44">
        <f>SUM(N108:N109)</f>
        <v>800.0</v>
      </c>
    </row>
    <row r="112">
      <c r="B112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79:N79"/>
    <mergeCell ref="B1:N1"/>
    <mergeCell ref="B112:P112"/>
    <mergeCell ref="B83:N83"/>
    <mergeCell ref="E4:N4"/>
    <mergeCell ref="B106:N106"/>
    <mergeCell ref="B97:N97"/>
    <mergeCell ref="B92:N92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27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7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данных'!J7</f>
        <v>XCMG ESTAR ESE2000
(поставщик не указан)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242.79</v>
      </c>
      <c r="F9" s="38">
        <f>F80</f>
        <v>283.79</v>
      </c>
      <c r="G9" s="38">
        <f>G80</f>
        <v>1065.79</v>
      </c>
      <c r="H9" s="38">
        <f>H80</f>
        <v>291.29</v>
      </c>
      <c r="I9" s="38">
        <f>I80</f>
        <v>337.79</v>
      </c>
      <c r="J9" s="38">
        <f>J80</f>
        <v>1211.79</v>
      </c>
      <c r="K9" s="38">
        <f>K80</f>
        <v>437.79</v>
      </c>
      <c r="L9" s="38">
        <f>L80</f>
        <v>1151.29</v>
      </c>
      <c r="M9" s="38">
        <f>M80</f>
        <v>1005.79</v>
      </c>
      <c r="N9" s="38">
        <f>N80</f>
        <v>1187.79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229.0</v>
      </c>
      <c r="F10" s="38">
        <f>('Параметры'!C26-F8-F9)/'Параметры'!C33*20/60</f>
        <v>227.86111111111114</v>
      </c>
      <c r="G10" s="38">
        <f>('Параметры'!C26-G8-G9)/'Параметры'!C33*20/60</f>
        <v>206.13888888888894</v>
      </c>
      <c r="H10" s="38">
        <f>('Параметры'!C26-H8-H9)/'Параметры'!C33*20/60</f>
        <v>227.6527777777778</v>
      </c>
      <c r="I10" s="38">
        <f>('Параметры'!C26-I8-I9)/'Параметры'!C33*20/60</f>
        <v>226.36111111111114</v>
      </c>
      <c r="J10" s="38">
        <f>('Параметры'!C26-J8-J9)/'Параметры'!C33*20/60</f>
        <v>202.08333333333337</v>
      </c>
      <c r="K10" s="38">
        <f>('Параметры'!C26-K8-K9)/'Параметры'!C33*20/60</f>
        <v>223.58333333333337</v>
      </c>
      <c r="L10" s="38">
        <f>('Параметры'!C26-L8-L9)/'Параметры'!C33*20/60</f>
        <v>203.76388888888894</v>
      </c>
      <c r="M10" s="38">
        <f>('Параметры'!C26-M8-M9)/'Параметры'!C33*20/60</f>
        <v>207.8055555555556</v>
      </c>
      <c r="N10" s="38">
        <f>('Параметры'!C26-N8-N9)/'Параметры'!C33*20/60</f>
        <v>202.75000000000003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0.9149543378995434</v>
      </c>
      <c r="F11" s="39">
        <f>('Параметры'!C26-F8-F9-F10)/'Параметры'!C26</f>
        <v>0.9104039827498731</v>
      </c>
      <c r="G11" s="39">
        <f>('Параметры'!C26-G8-G9-G10)/'Параметры'!C26</f>
        <v>0.8236142820903096</v>
      </c>
      <c r="H11" s="39">
        <f>('Параметры'!C26-H8-H9-H10)/'Параметры'!C26</f>
        <v>0.9095716007102994</v>
      </c>
      <c r="I11" s="39">
        <f>('Параметры'!C26-I8-I9-I10)/'Параметры'!C26</f>
        <v>0.9044108320649418</v>
      </c>
      <c r="J11" s="39">
        <f>('Параметры'!C26-J8-J9-J10)/'Параметры'!C26</f>
        <v>0.8074105783866059</v>
      </c>
      <c r="K11" s="39">
        <f>('Параметры'!C26-K8-K9-K10)/'Параметры'!C26</f>
        <v>0.8933124048706241</v>
      </c>
      <c r="L11" s="39">
        <f>('Параметры'!C26-L8-L9-L10)/'Параметры'!C26</f>
        <v>0.814125126839168</v>
      </c>
      <c r="M11" s="39">
        <f>('Параметры'!C26-M8-M9-M10)/'Параметры'!C26</f>
        <v>0.8302733384069001</v>
      </c>
      <c r="N11" s="39">
        <f>('Параметры'!C26-N8-N9-N10)/'Параметры'!C26</f>
        <v>0.8100742009132421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E180*$E$81</f>
        <v>140.13049999999998</v>
      </c>
      <c r="F13" s="38">
        <f>F180*$E$81</f>
        <v>558.1233</v>
      </c>
      <c r="G13" s="38">
        <f>G180*$E$81</f>
        <v>232.80889999999997</v>
      </c>
      <c r="H13" s="38">
        <f>H180*$E$81</f>
        <v>558.1233</v>
      </c>
      <c r="I13" s="38">
        <f>I180*$E$81</f>
        <v>140.13049999999998</v>
      </c>
      <c r="J13" s="38">
        <f>J180*$E$81</f>
        <v>650.8017</v>
      </c>
      <c r="K13" s="38">
        <f>K180*$E$81</f>
        <v>140.13049999999998</v>
      </c>
      <c r="L13" s="38">
        <f>L180*$E$81</f>
        <v>558.1233</v>
      </c>
      <c r="M13" s="38">
        <f>M180*$E$81</f>
        <v>232.80889999999997</v>
      </c>
      <c r="N13" s="38">
        <f>N180*$E$81</f>
        <v>558.1233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E244*$E$81</f>
        <v>0.0</v>
      </c>
      <c r="F14" s="38">
        <f>F244*$E$81</f>
        <v>0.0</v>
      </c>
      <c r="G14" s="38">
        <f>G244*$E$81</f>
        <v>1181.9091999999998</v>
      </c>
      <c r="H14" s="38">
        <f>H244*$E$81</f>
        <v>2.9912</v>
      </c>
      <c r="I14" s="38">
        <f>I244*$E$81</f>
        <v>0.0</v>
      </c>
      <c r="J14" s="38">
        <f>J244*$E$81</f>
        <v>1181.9091999999998</v>
      </c>
      <c r="K14" s="38">
        <f>K244*$E$81</f>
        <v>0.0</v>
      </c>
      <c r="L14" s="38">
        <f>L244*$E$81</f>
        <v>2.9912</v>
      </c>
      <c r="M14" s="38">
        <f>M244*$E$81</f>
        <v>1181.9091999999998</v>
      </c>
      <c r="N14" s="38">
        <f>N244*$E$81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E199*$E$81</f>
        <v>200.0</v>
      </c>
      <c r="F16" s="38">
        <f>F199*$E$81</f>
        <v>522.0</v>
      </c>
      <c r="G16" s="38">
        <f>G199*$E$81</f>
        <v>200.0</v>
      </c>
      <c r="H16" s="38">
        <f>H199*$E$81</f>
        <v>522.0</v>
      </c>
      <c r="I16" s="38">
        <f>I199*$E$81</f>
        <v>200.0</v>
      </c>
      <c r="J16" s="38">
        <f>J199*$E$81</f>
        <v>522.0</v>
      </c>
      <c r="K16" s="38">
        <f>K199*$E$81</f>
        <v>200.0</v>
      </c>
      <c r="L16" s="38">
        <f>L199*$E$81</f>
        <v>522.0</v>
      </c>
      <c r="M16" s="38">
        <f>M199*$E$81</f>
        <v>200.0</v>
      </c>
      <c r="N16" s="38">
        <f>N199*$E$81</f>
        <v>522.0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E273*$E$81</f>
        <v>0.0</v>
      </c>
      <c r="F17" s="38">
        <f>F273*$E$81</f>
        <v>0.0</v>
      </c>
      <c r="G17" s="38">
        <f>G273*$E$81</f>
        <v>1439.0</v>
      </c>
      <c r="H17" s="38">
        <f>H273*$E$81</f>
        <v>2.0</v>
      </c>
      <c r="I17" s="38">
        <f>I273*$E$81</f>
        <v>0.0</v>
      </c>
      <c r="J17" s="38">
        <f>J273*$E$81</f>
        <v>1439.0</v>
      </c>
      <c r="K17" s="38">
        <f>K273*$E$81</f>
        <v>0.0</v>
      </c>
      <c r="L17" s="38">
        <f>L273*$E$81</f>
        <v>2.0</v>
      </c>
      <c r="M17" s="38">
        <f>M273*$E$81</f>
        <v>1439.0</v>
      </c>
      <c r="N17" s="38">
        <f>N273*$E$81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26.1</v>
      </c>
      <c r="G19" s="38">
        <f>G16*$E$77/1000</f>
        <v>10.0</v>
      </c>
      <c r="H19" s="38">
        <f>H16*$E$77/1000</f>
        <v>26.1</v>
      </c>
      <c r="I19" s="38">
        <f>I16*$E$77/1000</f>
        <v>10.0</v>
      </c>
      <c r="J19" s="38">
        <f>J16*$E$77/1000</f>
        <v>26.1</v>
      </c>
      <c r="K19" s="38">
        <f>K16*$E$77/1000</f>
        <v>10.0</v>
      </c>
      <c r="L19" s="38">
        <f>L16*$E$77/1000</f>
        <v>26.1</v>
      </c>
      <c r="M19" s="38">
        <f>M16*$E$77/1000</f>
        <v>10.0</v>
      </c>
      <c r="N19" s="38">
        <f>N16*$E$77/1000</f>
        <v>26.1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0.0</v>
      </c>
      <c r="G20" s="38">
        <f>G17*$E$77/1000</f>
        <v>71.95</v>
      </c>
      <c r="H20" s="38">
        <f>H17*$E$77/1000</f>
        <v>0.1</v>
      </c>
      <c r="I20" s="38">
        <f>I17*$E$77/1000</f>
        <v>0.0</v>
      </c>
      <c r="J20" s="38">
        <f>J17*$E$77/1000</f>
        <v>71.95</v>
      </c>
      <c r="K20" s="38">
        <f>K17*$E$77/1000</f>
        <v>0.0</v>
      </c>
      <c r="L20" s="38">
        <f>L17*$E$77/1000</f>
        <v>0.1</v>
      </c>
      <c r="M20" s="38">
        <f>M17*$E$77/1000</f>
        <v>71.95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E12+E13+E14+E18+E19+E20</f>
        <v>284.97122</v>
      </c>
      <c r="F21" s="38">
        <f>F12+F13+F14+F18+F19+F20</f>
        <v>719.06402</v>
      </c>
      <c r="G21" s="38">
        <f>G12+G13+G14+G18+G19+G20</f>
        <v>1631.5088199999998</v>
      </c>
      <c r="H21" s="38">
        <f>H12+H13+H14+H18+H19+H20</f>
        <v>722.1552200000001</v>
      </c>
      <c r="I21" s="38">
        <f>I12+I13+I14+I18+I19+I20</f>
        <v>284.97122</v>
      </c>
      <c r="J21" s="38">
        <f>J12+J13+J14+J18+J19+J20</f>
        <v>2065.6016199999995</v>
      </c>
      <c r="K21" s="38">
        <f>K12+K13+K14+K18+K19+K20</f>
        <v>284.97122</v>
      </c>
      <c r="L21" s="38">
        <f>L12+L13+L14+L18+L19+L20</f>
        <v>722.1552200000001</v>
      </c>
      <c r="M21" s="38">
        <f>M12+M13+M14+M18+M19+M20</f>
        <v>1631.5088199999998</v>
      </c>
      <c r="N21" s="38">
        <f>N12+N13+N14+N18+N19+N20</f>
        <v>719.06402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105</v>
      </c>
      <c r="F22" s="33" t="n">
        <v>105</v>
      </c>
      <c r="G22" s="33" t="n">
        <v>105</v>
      </c>
      <c r="H22" s="33" t="n">
        <v>105</v>
      </c>
      <c r="I22" s="33" t="n">
        <v>105</v>
      </c>
      <c r="J22" s="33" t="n">
        <v>105</v>
      </c>
      <c r="K22" s="33" t="n">
        <v>105</v>
      </c>
      <c r="L22" s="33" t="n">
        <v>105</v>
      </c>
      <c r="M22" s="33" t="n">
        <v>105</v>
      </c>
      <c r="N22" s="33" t="n">
        <v>105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242.79</v>
      </c>
      <c r="F80" s="31" t="n">
        <v>283.79</v>
      </c>
      <c r="G80" s="31" t="n">
        <v>1065.79</v>
      </c>
      <c r="H80" s="31" t="n">
        <v>291.29</v>
      </c>
      <c r="I80" s="31" t="n">
        <v>337.79</v>
      </c>
      <c r="J80" s="31" t="n">
        <v>1211.79</v>
      </c>
      <c r="K80" s="31" t="n">
        <v>437.79</v>
      </c>
      <c r="L80" s="31" t="n">
        <v>1151.29</v>
      </c>
      <c r="M80" s="31" t="n">
        <v>1005.79</v>
      </c>
      <c r="N80" s="31" t="n">
        <v>1187.79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Опорный каток</t>
        </is>
      </c>
      <c r="C85" s="43" t="n">
        <v>45.309</v>
      </c>
      <c r="D85" s="45" t="n">
        <v>14000</v>
      </c>
      <c r="E85" s="44">
        <f>(INT($E$25*1/$D85)-INT($E$25*(1-1)/$D85))*$C85</f>
        <v>0.0</v>
      </c>
      <c r="F85" s="44">
        <f>(INT($E$25*2/$D85)-INT($E$25*(2-1)/$D85))*$C85</f>
        <v>45.309</v>
      </c>
      <c r="G85" s="44">
        <f>(INT($E$25*3/$D85)-INT($E$25*(3-1)/$D85))*$C85</f>
        <v>0.0</v>
      </c>
      <c r="H85" s="44">
        <f>(INT($E$25*4/$D85)-INT($E$25*(4-1)/$D85))*$C85</f>
        <v>45.309</v>
      </c>
      <c r="I85" s="44">
        <f>(INT($E$25*5/$D85)-INT($E$25*(5-1)/$D85))*$C85</f>
        <v>0.0</v>
      </c>
      <c r="J85" s="44">
        <f>(INT($E$25*6/$D85)-INT($E$25*(6-1)/$D85))*$C85</f>
        <v>45.309</v>
      </c>
      <c r="K85" s="44">
        <f>(INT($E$25*7/$D85)-INT($E$25*(7-1)/$D85))*$C85</f>
        <v>0.0</v>
      </c>
      <c r="L85" s="44">
        <f>(INT($E$25*8/$D85)-INT($E$25*(8-1)/$D85))*$C85</f>
        <v>45.309</v>
      </c>
      <c r="M85" s="44">
        <f>(INT($E$25*9/$D85)-INT($E$25*(9-1)/$D85))*$C85</f>
        <v>0.0</v>
      </c>
      <c r="N85" s="44">
        <f>(INT($E$25*10/$D85)-INT($E$25*(10-1)/$D85))*$C85</f>
        <v>45.309</v>
      </c>
    </row>
    <row r="86">
      <c r="B86" s="22" t="inlineStr">
        <is>
          <t>Направляющее колесо</t>
        </is>
      </c>
      <c r="C86" s="43" t="n">
        <v>38.5411</v>
      </c>
      <c r="D86" s="45" t="n">
        <v>14000</v>
      </c>
      <c r="E86" s="44">
        <f>(INT($E$25*1/$D86)-INT($E$25*(1-1)/$D86))*$C86</f>
        <v>0.0</v>
      </c>
      <c r="F86" s="44">
        <f>(INT($E$25*2/$D86)-INT($E$25*(2-1)/$D86))*$C86</f>
        <v>38.5411</v>
      </c>
      <c r="G86" s="44">
        <f>(INT($E$25*3/$D86)-INT($E$25*(3-1)/$D86))*$C86</f>
        <v>0.0</v>
      </c>
      <c r="H86" s="44">
        <f>(INT($E$25*4/$D86)-INT($E$25*(4-1)/$D86))*$C86</f>
        <v>38.5411</v>
      </c>
      <c r="I86" s="44">
        <f>(INT($E$25*5/$D86)-INT($E$25*(5-1)/$D86))*$C86</f>
        <v>0.0</v>
      </c>
      <c r="J86" s="44">
        <f>(INT($E$25*6/$D86)-INT($E$25*(6-1)/$D86))*$C86</f>
        <v>38.5411</v>
      </c>
      <c r="K86" s="44">
        <f>(INT($E$25*7/$D86)-INT($E$25*(7-1)/$D86))*$C86</f>
        <v>0.0</v>
      </c>
      <c r="L86" s="44">
        <f>(INT($E$25*8/$D86)-INT($E$25*(8-1)/$D86))*$C86</f>
        <v>38.5411</v>
      </c>
      <c r="M86" s="44">
        <f>(INT($E$25*9/$D86)-INT($E$25*(9-1)/$D86))*$C86</f>
        <v>0.0</v>
      </c>
      <c r="N86" s="44">
        <f>(INT($E$25*10/$D86)-INT($E$25*(10-1)/$D86))*$C86</f>
        <v>38.5411</v>
      </c>
    </row>
    <row r="87">
      <c r="B87" s="22" t="inlineStr">
        <is>
          <t>Ведущее колесо</t>
        </is>
      </c>
      <c r="C87" s="43" t="n">
        <v>12.8836</v>
      </c>
      <c r="D87" s="45" t="n">
        <v>14000</v>
      </c>
      <c r="E87" s="44">
        <f>(INT($E$25*1/$D87)-INT($E$25*(1-1)/$D87))*$C87</f>
        <v>0.0</v>
      </c>
      <c r="F87" s="44">
        <f>(INT($E$25*2/$D87)-INT($E$25*(2-1)/$D87))*$C87</f>
        <v>12.8836</v>
      </c>
      <c r="G87" s="44">
        <f>(INT($E$25*3/$D87)-INT($E$25*(3-1)/$D87))*$C87</f>
        <v>0.0</v>
      </c>
      <c r="H87" s="44">
        <f>(INT($E$25*4/$D87)-INT($E$25*(4-1)/$D87))*$C87</f>
        <v>12.8836</v>
      </c>
      <c r="I87" s="44">
        <f>(INT($E$25*5/$D87)-INT($E$25*(5-1)/$D87))*$C87</f>
        <v>0.0</v>
      </c>
      <c r="J87" s="44">
        <f>(INT($E$25*6/$D87)-INT($E$25*(6-1)/$D87))*$C87</f>
        <v>12.8836</v>
      </c>
      <c r="K87" s="44">
        <f>(INT($E$25*7/$D87)-INT($E$25*(7-1)/$D87))*$C87</f>
        <v>0.0</v>
      </c>
      <c r="L87" s="44">
        <f>(INT($E$25*8/$D87)-INT($E$25*(8-1)/$D87))*$C87</f>
        <v>12.8836</v>
      </c>
      <c r="M87" s="44">
        <f>(INT($E$25*9/$D87)-INT($E$25*(9-1)/$D87))*$C87</f>
        <v>0.0</v>
      </c>
      <c r="N87" s="44">
        <f>(INT($E$25*10/$D87)-INT($E$25*(10-1)/$D87))*$C87</f>
        <v>12.8836</v>
      </c>
    </row>
    <row r="88">
      <c r="B88" s="22" t="inlineStr">
        <is>
          <t>Поддерживающий каток</t>
        </is>
      </c>
      <c r="C88" s="43" t="n">
        <v>3.5785</v>
      </c>
      <c r="D88" s="45" t="n">
        <v>14000</v>
      </c>
      <c r="E88" s="44">
        <f>(INT($E$25*1/$D88)-INT($E$25*(1-1)/$D88))*$C88</f>
        <v>0.0</v>
      </c>
      <c r="F88" s="44">
        <f>(INT($E$25*2/$D88)-INT($E$25*(2-1)/$D88))*$C88</f>
        <v>3.5785</v>
      </c>
      <c r="G88" s="44">
        <f>(INT($E$25*3/$D88)-INT($E$25*(3-1)/$D88))*$C88</f>
        <v>0.0</v>
      </c>
      <c r="H88" s="44">
        <f>(INT($E$25*4/$D88)-INT($E$25*(4-1)/$D88))*$C88</f>
        <v>3.5785</v>
      </c>
      <c r="I88" s="44">
        <f>(INT($E$25*5/$D88)-INT($E$25*(5-1)/$D88))*$C88</f>
        <v>0.0</v>
      </c>
      <c r="J88" s="44">
        <f>(INT($E$25*6/$D88)-INT($E$25*(6-1)/$D88))*$C88</f>
        <v>3.5785</v>
      </c>
      <c r="K88" s="44">
        <f>(INT($E$25*7/$D88)-INT($E$25*(7-1)/$D88))*$C88</f>
        <v>0.0</v>
      </c>
      <c r="L88" s="44">
        <f>(INT($E$25*8/$D88)-INT($E$25*(8-1)/$D88))*$C88</f>
        <v>3.5785</v>
      </c>
      <c r="M88" s="44">
        <f>(INT($E$25*9/$D88)-INT($E$25*(9-1)/$D88))*$C88</f>
        <v>0.0</v>
      </c>
      <c r="N88" s="44">
        <f>(INT($E$25*10/$D88)-INT($E$25*(10-1)/$D88))*$C88</f>
        <v>3.5785</v>
      </c>
    </row>
    <row r="89">
      <c r="B89" s="22" t="inlineStr">
        <is>
          <t>Натяжной гидроцилиндр левый</t>
        </is>
      </c>
      <c r="C89" s="43" t="n">
        <v>14.8539</v>
      </c>
      <c r="D89" s="45" t="n">
        <v>14000</v>
      </c>
      <c r="E89" s="44">
        <f>(INT($E$25*1/$D89)-INT($E$25*(1-1)/$D89))*$C89</f>
        <v>0.0</v>
      </c>
      <c r="F89" s="44">
        <f>(INT($E$25*2/$D89)-INT($E$25*(2-1)/$D89))*$C89</f>
        <v>14.8539</v>
      </c>
      <c r="G89" s="44">
        <f>(INT($E$25*3/$D89)-INT($E$25*(3-1)/$D89))*$C89</f>
        <v>0.0</v>
      </c>
      <c r="H89" s="44">
        <f>(INT($E$25*4/$D89)-INT($E$25*(4-1)/$D89))*$C89</f>
        <v>14.8539</v>
      </c>
      <c r="I89" s="44">
        <f>(INT($E$25*5/$D89)-INT($E$25*(5-1)/$D89))*$C89</f>
        <v>0.0</v>
      </c>
      <c r="J89" s="44">
        <f>(INT($E$25*6/$D89)-INT($E$25*(6-1)/$D89))*$C89</f>
        <v>14.8539</v>
      </c>
      <c r="K89" s="44">
        <f>(INT($E$25*7/$D89)-INT($E$25*(7-1)/$D89))*$C89</f>
        <v>0.0</v>
      </c>
      <c r="L89" s="44">
        <f>(INT($E$25*8/$D89)-INT($E$25*(8-1)/$D89))*$C89</f>
        <v>14.8539</v>
      </c>
      <c r="M89" s="44">
        <f>(INT($E$25*9/$D89)-INT($E$25*(9-1)/$D89))*$C89</f>
        <v>0.0</v>
      </c>
      <c r="N89" s="44">
        <f>(INT($E$25*10/$D89)-INT($E$25*(10-1)/$D89))*$C89</f>
        <v>14.8539</v>
      </c>
    </row>
    <row r="90">
      <c r="B90" s="22" t="inlineStr">
        <is>
          <t>Натяжной гидроцилиндр правый</t>
        </is>
      </c>
      <c r="C90" s="43" t="n">
        <v>14.8539</v>
      </c>
      <c r="D90" s="45" t="n">
        <v>14000</v>
      </c>
      <c r="E90" s="44">
        <f>(INT($E$25*1/$D90)-INT($E$25*(1-1)/$D90))*$C90</f>
        <v>0.0</v>
      </c>
      <c r="F90" s="44">
        <f>(INT($E$25*2/$D90)-INT($E$25*(2-1)/$D90))*$C90</f>
        <v>14.8539</v>
      </c>
      <c r="G90" s="44">
        <f>(INT($E$25*3/$D90)-INT($E$25*(3-1)/$D90))*$C90</f>
        <v>0.0</v>
      </c>
      <c r="H90" s="44">
        <f>(INT($E$25*4/$D90)-INT($E$25*(4-1)/$D90))*$C90</f>
        <v>14.8539</v>
      </c>
      <c r="I90" s="44">
        <f>(INT($E$25*5/$D90)-INT($E$25*(5-1)/$D90))*$C90</f>
        <v>0.0</v>
      </c>
      <c r="J90" s="44">
        <f>(INT($E$25*6/$D90)-INT($E$25*(6-1)/$D90))*$C90</f>
        <v>14.8539</v>
      </c>
      <c r="K90" s="44">
        <f>(INT($E$25*7/$D90)-INT($E$25*(7-1)/$D90))*$C90</f>
        <v>0.0</v>
      </c>
      <c r="L90" s="44">
        <f>(INT($E$25*8/$D90)-INT($E$25*(8-1)/$D90))*$C90</f>
        <v>14.8539</v>
      </c>
      <c r="M90" s="44">
        <f>(INT($E$25*9/$D90)-INT($E$25*(9-1)/$D90))*$C90</f>
        <v>0.0</v>
      </c>
      <c r="N90" s="44">
        <f>(INT($E$25*10/$D90)-INT($E$25*(10-1)/$D90))*$C90</f>
        <v>14.8539</v>
      </c>
    </row>
    <row r="91">
      <c r="B91" s="22" t="inlineStr">
        <is>
          <t>Гусеничная цепь</t>
        </is>
      </c>
      <c r="C91" s="43" t="n">
        <v>275.9749</v>
      </c>
      <c r="D91" s="45" t="n">
        <v>14000</v>
      </c>
      <c r="E91" s="44">
        <f>(INT($E$25*1/$D91)-INT($E$25*(1-1)/$D91))*$C91</f>
        <v>0.0</v>
      </c>
      <c r="F91" s="44">
        <f>(INT($E$25*2/$D91)-INT($E$25*(2-1)/$D91))*$C91</f>
        <v>275.9749</v>
      </c>
      <c r="G91" s="44">
        <f>(INT($E$25*3/$D91)-INT($E$25*(3-1)/$D91))*$C91</f>
        <v>0.0</v>
      </c>
      <c r="H91" s="44">
        <f>(INT($E$25*4/$D91)-INT($E$25*(4-1)/$D91))*$C91</f>
        <v>275.9749</v>
      </c>
      <c r="I91" s="44">
        <f>(INT($E$25*5/$D91)-INT($E$25*(5-1)/$D91))*$C91</f>
        <v>0.0</v>
      </c>
      <c r="J91" s="44">
        <f>(INT($E$25*6/$D91)-INT($E$25*(6-1)/$D91))*$C91</f>
        <v>275.9749</v>
      </c>
      <c r="K91" s="44">
        <f>(INT($E$25*7/$D91)-INT($E$25*(7-1)/$D91))*$C91</f>
        <v>0.0</v>
      </c>
      <c r="L91" s="44">
        <f>(INT($E$25*8/$D91)-INT($E$25*(8-1)/$D91))*$C91</f>
        <v>275.9749</v>
      </c>
      <c r="M91" s="44">
        <f>(INT($E$25*9/$D91)-INT($E$25*(9-1)/$D91))*$C91</f>
        <v>0.0</v>
      </c>
      <c r="N91" s="44">
        <f>(INT($E$25*10/$D91)-INT($E$25*(10-1)/$D91))*$C91</f>
        <v>275.9749</v>
      </c>
    </row>
    <row r="92">
      <c r="B92" s="22" t="inlineStr">
        <is>
          <t>Коронка (флэт-годовой расход)</t>
        </is>
      </c>
      <c r="C92" s="43" t="n">
        <v>58.632</v>
      </c>
      <c r="D92" s="45" t="n">
        <v>7000</v>
      </c>
      <c r="E92" s="44">
        <f>(INT($E$25*1/$D92)-INT($E$25*(1-1)/$D92))*$C92</f>
        <v>58.632</v>
      </c>
      <c r="F92" s="44">
        <f>(INT($E$25*2/$D92)-INT($E$25*(2-1)/$D92))*$C92</f>
        <v>58.632</v>
      </c>
      <c r="G92" s="44">
        <f>(INT($E$25*3/$D92)-INT($E$25*(3-1)/$D92))*$C92</f>
        <v>58.632</v>
      </c>
      <c r="H92" s="44">
        <f>(INT($E$25*4/$D92)-INT($E$25*(4-1)/$D92))*$C92</f>
        <v>58.632</v>
      </c>
      <c r="I92" s="44">
        <f>(INT($E$25*5/$D92)-INT($E$25*(5-1)/$D92))*$C92</f>
        <v>58.632</v>
      </c>
      <c r="J92" s="44">
        <f>(INT($E$25*6/$D92)-INT($E$25*(6-1)/$D92))*$C92</f>
        <v>58.632</v>
      </c>
      <c r="K92" s="44">
        <f>(INT($E$25*7/$D92)-INT($E$25*(7-1)/$D92))*$C92</f>
        <v>58.632</v>
      </c>
      <c r="L92" s="44">
        <f>(INT($E$25*8/$D92)-INT($E$25*(8-1)/$D92))*$C92</f>
        <v>58.632</v>
      </c>
      <c r="M92" s="44">
        <f>(INT($E$25*9/$D92)-INT($E$25*(9-1)/$D92))*$C92</f>
        <v>58.632</v>
      </c>
      <c r="N92" s="44">
        <f>(INT($E$25*10/$D92)-INT($E$25*(10-1)/$D92))*$C92</f>
        <v>58.632</v>
      </c>
    </row>
    <row r="93">
      <c r="B93" s="22" t="inlineStr">
        <is>
          <t>Адаптер зуба</t>
        </is>
      </c>
      <c r="C93" s="43" t="n">
        <v>6.3985</v>
      </c>
      <c r="D93" s="45" t="n">
        <v>7000</v>
      </c>
      <c r="E93" s="44">
        <f>(INT($E$25*1/$D93)-INT($E$25*(1-1)/$D93))*$C93</f>
        <v>6.3985</v>
      </c>
      <c r="F93" s="44">
        <f>(INT($E$25*2/$D93)-INT($E$25*(2-1)/$D93))*$C93</f>
        <v>6.3985</v>
      </c>
      <c r="G93" s="44">
        <f>(INT($E$25*3/$D93)-INT($E$25*(3-1)/$D93))*$C93</f>
        <v>6.3985</v>
      </c>
      <c r="H93" s="44">
        <f>(INT($E$25*4/$D93)-INT($E$25*(4-1)/$D93))*$C93</f>
        <v>6.3985</v>
      </c>
      <c r="I93" s="44">
        <f>(INT($E$25*5/$D93)-INT($E$25*(5-1)/$D93))*$C93</f>
        <v>6.3985</v>
      </c>
      <c r="J93" s="44">
        <f>(INT($E$25*6/$D93)-INT($E$25*(6-1)/$D93))*$C93</f>
        <v>6.3985</v>
      </c>
      <c r="K93" s="44">
        <f>(INT($E$25*7/$D93)-INT($E$25*(7-1)/$D93))*$C93</f>
        <v>6.3985</v>
      </c>
      <c r="L93" s="44">
        <f>(INT($E$25*8/$D93)-INT($E$25*(8-1)/$D93))*$C93</f>
        <v>6.3985</v>
      </c>
      <c r="M93" s="44">
        <f>(INT($E$25*9/$D93)-INT($E$25*(9-1)/$D93))*$C93</f>
        <v>6.3985</v>
      </c>
      <c r="N93" s="44">
        <f>(INT($E$25*10/$D93)-INT($E$25*(10-1)/$D93))*$C93</f>
        <v>6.3985</v>
      </c>
    </row>
    <row r="94">
      <c r="B94" s="22" t="inlineStr">
        <is>
          <t>Адаптер зуба (2)</t>
        </is>
      </c>
      <c r="C94" s="43" t="n">
        <v>6.3985</v>
      </c>
      <c r="D94" s="45" t="n">
        <v>7000</v>
      </c>
      <c r="E94" s="44">
        <f>(INT($E$25*1/$D94)-INT($E$25*(1-1)/$D94))*$C94</f>
        <v>6.3985</v>
      </c>
      <c r="F94" s="44">
        <f>(INT($E$25*2/$D94)-INT($E$25*(2-1)/$D94))*$C94</f>
        <v>6.3985</v>
      </c>
      <c r="G94" s="44">
        <f>(INT($E$25*3/$D94)-INT($E$25*(3-1)/$D94))*$C94</f>
        <v>6.3985</v>
      </c>
      <c r="H94" s="44">
        <f>(INT($E$25*4/$D94)-INT($E$25*(4-1)/$D94))*$C94</f>
        <v>6.3985</v>
      </c>
      <c r="I94" s="44">
        <f>(INT($E$25*5/$D94)-INT($E$25*(5-1)/$D94))*$C94</f>
        <v>6.3985</v>
      </c>
      <c r="J94" s="44">
        <f>(INT($E$25*6/$D94)-INT($E$25*(6-1)/$D94))*$C94</f>
        <v>6.3985</v>
      </c>
      <c r="K94" s="44">
        <f>(INT($E$25*7/$D94)-INT($E$25*(7-1)/$D94))*$C94</f>
        <v>6.3985</v>
      </c>
      <c r="L94" s="44">
        <f>(INT($E$25*8/$D94)-INT($E$25*(8-1)/$D94))*$C94</f>
        <v>6.3985</v>
      </c>
      <c r="M94" s="44">
        <f>(INT($E$25*9/$D94)-INT($E$25*(9-1)/$D94))*$C94</f>
        <v>6.3985</v>
      </c>
      <c r="N94" s="44">
        <f>(INT($E$25*10/$D94)-INT($E$25*(10-1)/$D94))*$C94</f>
        <v>6.3985</v>
      </c>
    </row>
    <row r="95">
      <c r="B95" s="22" t="inlineStr">
        <is>
          <t>Адаптер зуба (3)</t>
        </is>
      </c>
      <c r="C95" s="43" t="n">
        <v>22.9163</v>
      </c>
      <c r="D95" s="45" t="n">
        <v>7000</v>
      </c>
      <c r="E95" s="44">
        <f>(INT($E$25*1/$D95)-INT($E$25*(1-1)/$D95))*$C95</f>
        <v>22.9163</v>
      </c>
      <c r="F95" s="44">
        <f>(INT($E$25*2/$D95)-INT($E$25*(2-1)/$D95))*$C95</f>
        <v>22.9163</v>
      </c>
      <c r="G95" s="44">
        <f>(INT($E$25*3/$D95)-INT($E$25*(3-1)/$D95))*$C95</f>
        <v>22.9163</v>
      </c>
      <c r="H95" s="44">
        <f>(INT($E$25*4/$D95)-INT($E$25*(4-1)/$D95))*$C95</f>
        <v>22.9163</v>
      </c>
      <c r="I95" s="44">
        <f>(INT($E$25*5/$D95)-INT($E$25*(5-1)/$D95))*$C95</f>
        <v>22.9163</v>
      </c>
      <c r="J95" s="44">
        <f>(INT($E$25*6/$D95)-INT($E$25*(6-1)/$D95))*$C95</f>
        <v>22.9163</v>
      </c>
      <c r="K95" s="44">
        <f>(INT($E$25*7/$D95)-INT($E$25*(7-1)/$D95))*$C95</f>
        <v>22.9163</v>
      </c>
      <c r="L95" s="44">
        <f>(INT($E$25*8/$D95)-INT($E$25*(8-1)/$D95))*$C95</f>
        <v>22.9163</v>
      </c>
      <c r="M95" s="44">
        <f>(INT($E$25*9/$D95)-INT($E$25*(9-1)/$D95))*$C95</f>
        <v>22.9163</v>
      </c>
      <c r="N95" s="44">
        <f>(INT($E$25*10/$D95)-INT($E$25*(10-1)/$D95))*$C95</f>
        <v>22.9163</v>
      </c>
    </row>
    <row r="96">
      <c r="B96" s="22" t="inlineStr">
        <is>
          <t>Противоизносная пластина</t>
        </is>
      </c>
      <c r="C96" s="43" t="n">
        <v>0.1528</v>
      </c>
      <c r="D96" s="45" t="n">
        <v>7000</v>
      </c>
      <c r="E96" s="44">
        <f>(INT($E$25*1/$D96)-INT($E$25*(1-1)/$D96))*$C96</f>
        <v>0.1528</v>
      </c>
      <c r="F96" s="44">
        <f>(INT($E$25*2/$D96)-INT($E$25*(2-1)/$D96))*$C96</f>
        <v>0.1528</v>
      </c>
      <c r="G96" s="44">
        <f>(INT($E$25*3/$D96)-INT($E$25*(3-1)/$D96))*$C96</f>
        <v>0.1528</v>
      </c>
      <c r="H96" s="44">
        <f>(INT($E$25*4/$D96)-INT($E$25*(4-1)/$D96))*$C96</f>
        <v>0.1528</v>
      </c>
      <c r="I96" s="44">
        <f>(INT($E$25*5/$D96)-INT($E$25*(5-1)/$D96))*$C96</f>
        <v>0.1528</v>
      </c>
      <c r="J96" s="44">
        <f>(INT($E$25*6/$D96)-INT($E$25*(6-1)/$D96))*$C96</f>
        <v>0.1528</v>
      </c>
      <c r="K96" s="44">
        <f>(INT($E$25*7/$D96)-INT($E$25*(7-1)/$D96))*$C96</f>
        <v>0.1528</v>
      </c>
      <c r="L96" s="44">
        <f>(INT($E$25*8/$D96)-INT($E$25*(8-1)/$D96))*$C96</f>
        <v>0.1528</v>
      </c>
      <c r="M96" s="44">
        <f>(INT($E$25*9/$D96)-INT($E$25*(9-1)/$D96))*$C96</f>
        <v>0.1528</v>
      </c>
      <c r="N96" s="44">
        <f>(INT($E$25*10/$D96)-INT($E$25*(10-1)/$D96))*$C96</f>
        <v>0.1528</v>
      </c>
    </row>
    <row r="97">
      <c r="B97" s="22" t="inlineStr">
        <is>
          <t>Зубчатый штифт</t>
        </is>
      </c>
      <c r="C97" s="43" t="n">
        <v>0.9876</v>
      </c>
      <c r="D97" s="45" t="n">
        <v>7000</v>
      </c>
      <c r="E97" s="44">
        <f>(INT($E$25*1/$D97)-INT($E$25*(1-1)/$D97))*$C97</f>
        <v>0.9876</v>
      </c>
      <c r="F97" s="44">
        <f>(INT($E$25*2/$D97)-INT($E$25*(2-1)/$D97))*$C97</f>
        <v>0.9876</v>
      </c>
      <c r="G97" s="44">
        <f>(INT($E$25*3/$D97)-INT($E$25*(3-1)/$D97))*$C97</f>
        <v>0.9876</v>
      </c>
      <c r="H97" s="44">
        <f>(INT($E$25*4/$D97)-INT($E$25*(4-1)/$D97))*$C97</f>
        <v>0.9876</v>
      </c>
      <c r="I97" s="44">
        <f>(INT($E$25*5/$D97)-INT($E$25*(5-1)/$D97))*$C97</f>
        <v>0.9876</v>
      </c>
      <c r="J97" s="44">
        <f>(INT($E$25*6/$D97)-INT($E$25*(6-1)/$D97))*$C97</f>
        <v>0.9876</v>
      </c>
      <c r="K97" s="44">
        <f>(INT($E$25*7/$D97)-INT($E$25*(7-1)/$D97))*$C97</f>
        <v>0.9876</v>
      </c>
      <c r="L97" s="44">
        <f>(INT($E$25*8/$D97)-INT($E$25*(8-1)/$D97))*$C97</f>
        <v>0.9876</v>
      </c>
      <c r="M97" s="44">
        <f>(INT($E$25*9/$D97)-INT($E$25*(9-1)/$D97))*$C97</f>
        <v>0.9876</v>
      </c>
      <c r="N97" s="44">
        <f>(INT($E$25*10/$D97)-INT($E$25*(10-1)/$D97))*$C97</f>
        <v>0.9876</v>
      </c>
    </row>
    <row r="98">
      <c r="B98" s="22" t="inlineStr">
        <is>
          <t>Износостойкая накладка</t>
        </is>
      </c>
      <c r="C98" s="43" t="n">
        <v>1.9032</v>
      </c>
      <c r="D98" s="45" t="n">
        <v>7000</v>
      </c>
      <c r="E98" s="44">
        <f>(INT($E$25*1/$D98)-INT($E$25*(1-1)/$D98))*$C98</f>
        <v>1.9032</v>
      </c>
      <c r="F98" s="44">
        <f>(INT($E$25*2/$D98)-INT($E$25*(2-1)/$D98))*$C98</f>
        <v>1.9032</v>
      </c>
      <c r="G98" s="44">
        <f>(INT($E$25*3/$D98)-INT($E$25*(3-1)/$D98))*$C98</f>
        <v>1.9032</v>
      </c>
      <c r="H98" s="44">
        <f>(INT($E$25*4/$D98)-INT($E$25*(4-1)/$D98))*$C98</f>
        <v>1.9032</v>
      </c>
      <c r="I98" s="44">
        <f>(INT($E$25*5/$D98)-INT($E$25*(5-1)/$D98))*$C98</f>
        <v>1.9032</v>
      </c>
      <c r="J98" s="44">
        <f>(INT($E$25*6/$D98)-INT($E$25*(6-1)/$D98))*$C98</f>
        <v>1.9032</v>
      </c>
      <c r="K98" s="44">
        <f>(INT($E$25*7/$D98)-INT($E$25*(7-1)/$D98))*$C98</f>
        <v>1.9032</v>
      </c>
      <c r="L98" s="44">
        <f>(INT($E$25*8/$D98)-INT($E$25*(8-1)/$D98))*$C98</f>
        <v>1.9032</v>
      </c>
      <c r="M98" s="44">
        <f>(INT($E$25*9/$D98)-INT($E$25*(9-1)/$D98))*$C98</f>
        <v>1.9032</v>
      </c>
      <c r="N98" s="44">
        <f>(INT($E$25*10/$D98)-INT($E$25*(10-1)/$D98))*$C98</f>
        <v>1.9032</v>
      </c>
    </row>
    <row r="99">
      <c r="B99" s="22" t="inlineStr">
        <is>
          <t>Боковая защита ковша</t>
        </is>
      </c>
      <c r="C99" s="43" t="n">
        <v>5.9781</v>
      </c>
      <c r="D99" s="45" t="n">
        <v>7000</v>
      </c>
      <c r="E99" s="44">
        <f>(INT($E$25*1/$D99)-INT($E$25*(1-1)/$D99))*$C99</f>
        <v>5.9781</v>
      </c>
      <c r="F99" s="44">
        <f>(INT($E$25*2/$D99)-INT($E$25*(2-1)/$D99))*$C99</f>
        <v>5.9781</v>
      </c>
      <c r="G99" s="44">
        <f>(INT($E$25*3/$D99)-INT($E$25*(3-1)/$D99))*$C99</f>
        <v>5.9781</v>
      </c>
      <c r="H99" s="44">
        <f>(INT($E$25*4/$D99)-INT($E$25*(4-1)/$D99))*$C99</f>
        <v>5.9781</v>
      </c>
      <c r="I99" s="44">
        <f>(INT($E$25*5/$D99)-INT($E$25*(5-1)/$D99))*$C99</f>
        <v>5.9781</v>
      </c>
      <c r="J99" s="44">
        <f>(INT($E$25*6/$D99)-INT($E$25*(6-1)/$D99))*$C99</f>
        <v>5.9781</v>
      </c>
      <c r="K99" s="44">
        <f>(INT($E$25*7/$D99)-INT($E$25*(7-1)/$D99))*$C99</f>
        <v>5.9781</v>
      </c>
      <c r="L99" s="44">
        <f>(INT($E$25*8/$D99)-INT($E$25*(8-1)/$D99))*$C99</f>
        <v>5.9781</v>
      </c>
      <c r="M99" s="44">
        <f>(INT($E$25*9/$D99)-INT($E$25*(9-1)/$D99))*$C99</f>
        <v>5.9781</v>
      </c>
      <c r="N99" s="44">
        <f>(INT($E$25*10/$D99)-INT($E$25*(10-1)/$D99))*$C99</f>
        <v>5.9781</v>
      </c>
    </row>
    <row r="100">
      <c r="B100" s="22" t="inlineStr">
        <is>
          <t>Центральная износостойкая накладка</t>
        </is>
      </c>
      <c r="C100" s="43" t="n">
        <v>3.2027</v>
      </c>
      <c r="D100" s="45" t="n">
        <v>7000</v>
      </c>
      <c r="E100" s="44">
        <f>(INT($E$25*1/$D100)-INT($E$25*(1-1)/$D100))*$C100</f>
        <v>3.2027</v>
      </c>
      <c r="F100" s="44">
        <f>(INT($E$25*2/$D100)-INT($E$25*(2-1)/$D100))*$C100</f>
        <v>3.2027</v>
      </c>
      <c r="G100" s="44">
        <f>(INT($E$25*3/$D100)-INT($E$25*(3-1)/$D100))*$C100</f>
        <v>3.2027</v>
      </c>
      <c r="H100" s="44">
        <f>(INT($E$25*4/$D100)-INT($E$25*(4-1)/$D100))*$C100</f>
        <v>3.2027</v>
      </c>
      <c r="I100" s="44">
        <f>(INT($E$25*5/$D100)-INT($E$25*(5-1)/$D100))*$C100</f>
        <v>3.2027</v>
      </c>
      <c r="J100" s="44">
        <f>(INT($E$25*6/$D100)-INT($E$25*(6-1)/$D100))*$C100</f>
        <v>3.2027</v>
      </c>
      <c r="K100" s="44">
        <f>(INT($E$25*7/$D100)-INT($E$25*(7-1)/$D100))*$C100</f>
        <v>3.2027</v>
      </c>
      <c r="L100" s="44">
        <f>(INT($E$25*8/$D100)-INT($E$25*(8-1)/$D100))*$C100</f>
        <v>3.2027</v>
      </c>
      <c r="M100" s="44">
        <f>(INT($E$25*9/$D100)-INT($E$25*(9-1)/$D100))*$C100</f>
        <v>3.2027</v>
      </c>
      <c r="N100" s="44">
        <f>(INT($E$25*10/$D100)-INT($E$25*(10-1)/$D100))*$C100</f>
        <v>3.2027</v>
      </c>
    </row>
    <row r="101">
      <c r="B101" s="22" t="inlineStr">
        <is>
          <t>Левая износостойкая накладка</t>
        </is>
      </c>
      <c r="C101" s="43" t="n">
        <v>5.6172</v>
      </c>
      <c r="D101" s="45" t="n">
        <v>7000</v>
      </c>
      <c r="E101" s="44">
        <f>(INT($E$25*1/$D101)-INT($E$25*(1-1)/$D101))*$C101</f>
        <v>5.6172</v>
      </c>
      <c r="F101" s="44">
        <f>(INT($E$25*2/$D101)-INT($E$25*(2-1)/$D101))*$C101</f>
        <v>5.6172</v>
      </c>
      <c r="G101" s="44">
        <f>(INT($E$25*3/$D101)-INT($E$25*(3-1)/$D101))*$C101</f>
        <v>5.6172</v>
      </c>
      <c r="H101" s="44">
        <f>(INT($E$25*4/$D101)-INT($E$25*(4-1)/$D101))*$C101</f>
        <v>5.6172</v>
      </c>
      <c r="I101" s="44">
        <f>(INT($E$25*5/$D101)-INT($E$25*(5-1)/$D101))*$C101</f>
        <v>5.6172</v>
      </c>
      <c r="J101" s="44">
        <f>(INT($E$25*6/$D101)-INT($E$25*(6-1)/$D101))*$C101</f>
        <v>5.6172</v>
      </c>
      <c r="K101" s="44">
        <f>(INT($E$25*7/$D101)-INT($E$25*(7-1)/$D101))*$C101</f>
        <v>5.6172</v>
      </c>
      <c r="L101" s="44">
        <f>(INT($E$25*8/$D101)-INT($E$25*(8-1)/$D101))*$C101</f>
        <v>5.6172</v>
      </c>
      <c r="M101" s="44">
        <f>(INT($E$25*9/$D101)-INT($E$25*(9-1)/$D101))*$C101</f>
        <v>5.6172</v>
      </c>
      <c r="N101" s="44">
        <f>(INT($E$25*10/$D101)-INT($E$25*(10-1)/$D101))*$C101</f>
        <v>5.6172</v>
      </c>
    </row>
    <row r="102">
      <c r="B102" s="22" t="inlineStr">
        <is>
          <t>Правая износостойкая накладка</t>
        </is>
      </c>
      <c r="C102" s="43" t="n">
        <v>5.4084</v>
      </c>
      <c r="D102" s="45" t="n">
        <v>7000</v>
      </c>
      <c r="E102" s="44">
        <f>(INT($E$25*1/$D102)-INT($E$25*(1-1)/$D102))*$C102</f>
        <v>5.4084</v>
      </c>
      <c r="F102" s="44">
        <f>(INT($E$25*2/$D102)-INT($E$25*(2-1)/$D102))*$C102</f>
        <v>5.4084</v>
      </c>
      <c r="G102" s="44">
        <f>(INT($E$25*3/$D102)-INT($E$25*(3-1)/$D102))*$C102</f>
        <v>5.4084</v>
      </c>
      <c r="H102" s="44">
        <f>(INT($E$25*4/$D102)-INT($E$25*(4-1)/$D102))*$C102</f>
        <v>5.4084</v>
      </c>
      <c r="I102" s="44">
        <f>(INT($E$25*5/$D102)-INT($E$25*(5-1)/$D102))*$C102</f>
        <v>5.4084</v>
      </c>
      <c r="J102" s="44">
        <f>(INT($E$25*6/$D102)-INT($E$25*(6-1)/$D102))*$C102</f>
        <v>5.4084</v>
      </c>
      <c r="K102" s="44">
        <f>(INT($E$25*7/$D102)-INT($E$25*(7-1)/$D102))*$C102</f>
        <v>5.4084</v>
      </c>
      <c r="L102" s="44">
        <f>(INT($E$25*8/$D102)-INT($E$25*(8-1)/$D102))*$C102</f>
        <v>5.4084</v>
      </c>
      <c r="M102" s="44">
        <f>(INT($E$25*9/$D102)-INT($E$25*(9-1)/$D102))*$C102</f>
        <v>5.4084</v>
      </c>
      <c r="N102" s="44">
        <f>(INT($E$25*10/$D102)-INT($E$25*(10-1)/$D102))*$C102</f>
        <v>5.4084</v>
      </c>
    </row>
    <row r="103">
      <c r="B103" s="22" t="inlineStr">
        <is>
          <t>Палец</t>
        </is>
      </c>
      <c r="C103" s="43" t="n">
        <v>0.6711</v>
      </c>
      <c r="D103" s="45" t="n">
        <v>7000</v>
      </c>
      <c r="E103" s="44">
        <f>(INT($E$25*1/$D103)-INT($E$25*(1-1)/$D103))*$C103</f>
        <v>0.6711</v>
      </c>
      <c r="F103" s="44">
        <f>(INT($E$25*2/$D103)-INT($E$25*(2-1)/$D103))*$C103</f>
        <v>0.6711</v>
      </c>
      <c r="G103" s="44">
        <f>(INT($E$25*3/$D103)-INT($E$25*(3-1)/$D103))*$C103</f>
        <v>0.6711</v>
      </c>
      <c r="H103" s="44">
        <f>(INT($E$25*4/$D103)-INT($E$25*(4-1)/$D103))*$C103</f>
        <v>0.6711</v>
      </c>
      <c r="I103" s="44">
        <f>(INT($E$25*5/$D103)-INT($E$25*(5-1)/$D103))*$C103</f>
        <v>0.6711</v>
      </c>
      <c r="J103" s="44">
        <f>(INT($E$25*6/$D103)-INT($E$25*(6-1)/$D103))*$C103</f>
        <v>0.6711</v>
      </c>
      <c r="K103" s="44">
        <f>(INT($E$25*7/$D103)-INT($E$25*(7-1)/$D103))*$C103</f>
        <v>0.6711</v>
      </c>
      <c r="L103" s="44">
        <f>(INT($E$25*8/$D103)-INT($E$25*(8-1)/$D103))*$C103</f>
        <v>0.6711</v>
      </c>
      <c r="M103" s="44">
        <f>(INT($E$25*9/$D103)-INT($E$25*(9-1)/$D103))*$C103</f>
        <v>0.6711</v>
      </c>
      <c r="N103" s="44">
        <f>(INT($E$25*10/$D103)-INT($E$25*(10-1)/$D103))*$C103</f>
        <v>0.6711</v>
      </c>
    </row>
    <row r="104">
      <c r="B104" s="22" t="inlineStr">
        <is>
          <t>Стопор</t>
        </is>
      </c>
      <c r="C104" s="43" t="n">
        <v>0.8082</v>
      </c>
      <c r="D104" s="45" t="n">
        <v>7000</v>
      </c>
      <c r="E104" s="44">
        <f>(INT($E$25*1/$D104)-INT($E$25*(1-1)/$D104))*$C104</f>
        <v>0.8082</v>
      </c>
      <c r="F104" s="44">
        <f>(INT($E$25*2/$D104)-INT($E$25*(2-1)/$D104))*$C104</f>
        <v>0.8082</v>
      </c>
      <c r="G104" s="44">
        <f>(INT($E$25*3/$D104)-INT($E$25*(3-1)/$D104))*$C104</f>
        <v>0.8082</v>
      </c>
      <c r="H104" s="44">
        <f>(INT($E$25*4/$D104)-INT($E$25*(4-1)/$D104))*$C104</f>
        <v>0.8082</v>
      </c>
      <c r="I104" s="44">
        <f>(INT($E$25*5/$D104)-INT($E$25*(5-1)/$D104))*$C104</f>
        <v>0.8082</v>
      </c>
      <c r="J104" s="44">
        <f>(INT($E$25*6/$D104)-INT($E$25*(6-1)/$D104))*$C104</f>
        <v>0.8082</v>
      </c>
      <c r="K104" s="44">
        <f>(INT($E$25*7/$D104)-INT($E$25*(7-1)/$D104))*$C104</f>
        <v>0.8082</v>
      </c>
      <c r="L104" s="44">
        <f>(INT($E$25*8/$D104)-INT($E$25*(8-1)/$D104))*$C104</f>
        <v>0.8082</v>
      </c>
      <c r="M104" s="44">
        <f>(INT($E$25*9/$D104)-INT($E$25*(9-1)/$D104))*$C104</f>
        <v>0.8082</v>
      </c>
      <c r="N104" s="44">
        <f>(INT($E$25*10/$D104)-INT($E$25*(10-1)/$D104))*$C104</f>
        <v>0.8082</v>
      </c>
    </row>
    <row r="105">
      <c r="B105" s="22" t="inlineStr">
        <is>
          <t>Ремкомплект гидроцилиндра ковша</t>
        </is>
      </c>
      <c r="C105" s="43" t="n">
        <v>5.7148</v>
      </c>
      <c r="D105" s="45" t="n">
        <v>7000</v>
      </c>
      <c r="E105" s="44">
        <f>(INT($E$25*1/$D105)-INT($E$25*(1-1)/$D105))*$C105</f>
        <v>5.7148</v>
      </c>
      <c r="F105" s="44">
        <f>(INT($E$25*2/$D105)-INT($E$25*(2-1)/$D105))*$C105</f>
        <v>5.7148</v>
      </c>
      <c r="G105" s="44">
        <f>(INT($E$25*3/$D105)-INT($E$25*(3-1)/$D105))*$C105</f>
        <v>5.7148</v>
      </c>
      <c r="H105" s="44">
        <f>(INT($E$25*4/$D105)-INT($E$25*(4-1)/$D105))*$C105</f>
        <v>5.7148</v>
      </c>
      <c r="I105" s="44">
        <f>(INT($E$25*5/$D105)-INT($E$25*(5-1)/$D105))*$C105</f>
        <v>5.7148</v>
      </c>
      <c r="J105" s="44">
        <f>(INT($E$25*6/$D105)-INT($E$25*(6-1)/$D105))*$C105</f>
        <v>5.7148</v>
      </c>
      <c r="K105" s="44">
        <f>(INT($E$25*7/$D105)-INT($E$25*(7-1)/$D105))*$C105</f>
        <v>5.7148</v>
      </c>
      <c r="L105" s="44">
        <f>(INT($E$25*8/$D105)-INT($E$25*(8-1)/$D105))*$C105</f>
        <v>5.7148</v>
      </c>
      <c r="M105" s="44">
        <f>(INT($E$25*9/$D105)-INT($E$25*(9-1)/$D105))*$C105</f>
        <v>5.7148</v>
      </c>
      <c r="N105" s="44">
        <f>(INT($E$25*10/$D105)-INT($E$25*(10-1)/$D105))*$C105</f>
        <v>5.7148</v>
      </c>
    </row>
    <row r="106">
      <c r="B106" s="22" t="inlineStr">
        <is>
          <t>Ремкомплект гидроцилиндра рукояти</t>
        </is>
      </c>
      <c r="C106" s="43" t="n">
        <v>3.8099</v>
      </c>
      <c r="D106" s="45" t="n">
        <v>7000</v>
      </c>
      <c r="E106" s="44">
        <f>(INT($E$25*1/$D106)-INT($E$25*(1-1)/$D106))*$C106</f>
        <v>3.8099</v>
      </c>
      <c r="F106" s="44">
        <f>(INT($E$25*2/$D106)-INT($E$25*(2-1)/$D106))*$C106</f>
        <v>3.8099</v>
      </c>
      <c r="G106" s="44">
        <f>(INT($E$25*3/$D106)-INT($E$25*(3-1)/$D106))*$C106</f>
        <v>3.8099</v>
      </c>
      <c r="H106" s="44">
        <f>(INT($E$25*4/$D106)-INT($E$25*(4-1)/$D106))*$C106</f>
        <v>3.8099</v>
      </c>
      <c r="I106" s="44">
        <f>(INT($E$25*5/$D106)-INT($E$25*(5-1)/$D106))*$C106</f>
        <v>3.8099</v>
      </c>
      <c r="J106" s="44">
        <f>(INT($E$25*6/$D106)-INT($E$25*(6-1)/$D106))*$C106</f>
        <v>3.8099</v>
      </c>
      <c r="K106" s="44">
        <f>(INT($E$25*7/$D106)-INT($E$25*(7-1)/$D106))*$C106</f>
        <v>3.8099</v>
      </c>
      <c r="L106" s="44">
        <f>(INT($E$25*8/$D106)-INT($E$25*(8-1)/$D106))*$C106</f>
        <v>3.8099</v>
      </c>
      <c r="M106" s="44">
        <f>(INT($E$25*9/$D106)-INT($E$25*(9-1)/$D106))*$C106</f>
        <v>3.8099</v>
      </c>
      <c r="N106" s="44">
        <f>(INT($E$25*10/$D106)-INT($E$25*(10-1)/$D106))*$C106</f>
        <v>3.8099</v>
      </c>
    </row>
    <row r="107">
      <c r="B107" s="22" t="inlineStr">
        <is>
          <t>Ремкомплект гидроцилиндра стрелы</t>
        </is>
      </c>
      <c r="C107" s="43" t="n">
        <v>11.5312</v>
      </c>
      <c r="D107" s="45" t="n">
        <v>7000</v>
      </c>
      <c r="E107" s="44">
        <f>(INT($E$25*1/$D107)-INT($E$25*(1-1)/$D107))*$C107</f>
        <v>11.5312</v>
      </c>
      <c r="F107" s="44">
        <f>(INT($E$25*2/$D107)-INT($E$25*(2-1)/$D107))*$C107</f>
        <v>11.5312</v>
      </c>
      <c r="G107" s="44">
        <f>(INT($E$25*3/$D107)-INT($E$25*(3-1)/$D107))*$C107</f>
        <v>11.5312</v>
      </c>
      <c r="H107" s="44">
        <f>(INT($E$25*4/$D107)-INT($E$25*(4-1)/$D107))*$C107</f>
        <v>11.5312</v>
      </c>
      <c r="I107" s="44">
        <f>(INT($E$25*5/$D107)-INT($E$25*(5-1)/$D107))*$C107</f>
        <v>11.5312</v>
      </c>
      <c r="J107" s="44">
        <f>(INT($E$25*6/$D107)-INT($E$25*(6-1)/$D107))*$C107</f>
        <v>11.5312</v>
      </c>
      <c r="K107" s="44">
        <f>(INT($E$25*7/$D107)-INT($E$25*(7-1)/$D107))*$C107</f>
        <v>11.5312</v>
      </c>
      <c r="L107" s="44">
        <f>(INT($E$25*8/$D107)-INT($E$25*(8-1)/$D107))*$C107</f>
        <v>11.5312</v>
      </c>
      <c r="M107" s="44">
        <f>(INT($E$25*9/$D107)-INT($E$25*(9-1)/$D107))*$C107</f>
        <v>11.5312</v>
      </c>
      <c r="N107" s="44">
        <f>(INT($E$25*10/$D107)-INT($E$25*(10-1)/$D107))*$C107</f>
        <v>11.5312</v>
      </c>
    </row>
    <row r="108">
      <c r="B108" s="22" t="inlineStr">
        <is>
          <t>Подшипник шарнира</t>
        </is>
      </c>
      <c r="C108" s="43" t="n">
        <v>2.0879</v>
      </c>
      <c r="D108" s="45" t="n">
        <v>14000</v>
      </c>
      <c r="E108" s="44">
        <f>(INT($E$25*1/$D108)-INT($E$25*(1-1)/$D108))*$C108</f>
        <v>0.0</v>
      </c>
      <c r="F108" s="44">
        <f>(INT($E$25*2/$D108)-INT($E$25*(2-1)/$D108))*$C108</f>
        <v>2.0879</v>
      </c>
      <c r="G108" s="44">
        <f>(INT($E$25*3/$D108)-INT($E$25*(3-1)/$D108))*$C108</f>
        <v>0.0</v>
      </c>
      <c r="H108" s="44">
        <f>(INT($E$25*4/$D108)-INT($E$25*(4-1)/$D108))*$C108</f>
        <v>2.0879</v>
      </c>
      <c r="I108" s="44">
        <f>(INT($E$25*5/$D108)-INT($E$25*(5-1)/$D108))*$C108</f>
        <v>0.0</v>
      </c>
      <c r="J108" s="44">
        <f>(INT($E$25*6/$D108)-INT($E$25*(6-1)/$D108))*$C108</f>
        <v>2.0879</v>
      </c>
      <c r="K108" s="44">
        <f>(INT($E$25*7/$D108)-INT($E$25*(7-1)/$D108))*$C108</f>
        <v>0.0</v>
      </c>
      <c r="L108" s="44">
        <f>(INT($E$25*8/$D108)-INT($E$25*(8-1)/$D108))*$C108</f>
        <v>2.0879</v>
      </c>
      <c r="M108" s="44">
        <f>(INT($E$25*9/$D108)-INT($E$25*(9-1)/$D108))*$C108</f>
        <v>0.0</v>
      </c>
      <c r="N108" s="44">
        <f>(INT($E$25*10/$D108)-INT($E$25*(10-1)/$D108))*$C108</f>
        <v>2.0879</v>
      </c>
    </row>
    <row r="109">
      <c r="B109" s="22" t="inlineStr">
        <is>
          <t>Стопорное кольцо</t>
        </is>
      </c>
      <c r="C109" s="43" t="n">
        <v>0.0125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0.0125</v>
      </c>
      <c r="G109" s="44">
        <f>(INT($E$25*3/$D109)-INT($E$25*(3-1)/$D109))*$C109</f>
        <v>0.0</v>
      </c>
      <c r="H109" s="44">
        <f>(INT($E$25*4/$D109)-INT($E$25*(4-1)/$D109))*$C109</f>
        <v>0.0125</v>
      </c>
      <c r="I109" s="44">
        <f>(INT($E$25*5/$D109)-INT($E$25*(5-1)/$D109))*$C109</f>
        <v>0.0</v>
      </c>
      <c r="J109" s="44">
        <f>(INT($E$25*6/$D109)-INT($E$25*(6-1)/$D109))*$C109</f>
        <v>0.0125</v>
      </c>
      <c r="K109" s="44">
        <f>(INT($E$25*7/$D109)-INT($E$25*(7-1)/$D109))*$C109</f>
        <v>0.0</v>
      </c>
      <c r="L109" s="44">
        <f>(INT($E$25*8/$D109)-INT($E$25*(8-1)/$D109))*$C109</f>
        <v>0.0125</v>
      </c>
      <c r="M109" s="44">
        <f>(INT($E$25*9/$D109)-INT($E$25*(9-1)/$D109))*$C109</f>
        <v>0.0</v>
      </c>
      <c r="N109" s="44">
        <f>(INT($E$25*10/$D109)-INT($E$25*(10-1)/$D109))*$C109</f>
        <v>0.0125</v>
      </c>
    </row>
    <row r="110">
      <c r="B110" s="22" t="inlineStr">
        <is>
          <t>Втулка</t>
        </is>
      </c>
      <c r="C110" s="43" t="n">
        <v>1.1486</v>
      </c>
      <c r="D110" s="45" t="n">
        <v>14000</v>
      </c>
      <c r="E110" s="44">
        <f>(INT($E$25*1/$D110)-INT($E$25*(1-1)/$D110))*$C110</f>
        <v>0.0</v>
      </c>
      <c r="F110" s="44">
        <f>(INT($E$25*2/$D110)-INT($E$25*(2-1)/$D110))*$C110</f>
        <v>1.1486</v>
      </c>
      <c r="G110" s="44">
        <f>(INT($E$25*3/$D110)-INT($E$25*(3-1)/$D110))*$C110</f>
        <v>0.0</v>
      </c>
      <c r="H110" s="44">
        <f>(INT($E$25*4/$D110)-INT($E$25*(4-1)/$D110))*$C110</f>
        <v>1.1486</v>
      </c>
      <c r="I110" s="44">
        <f>(INT($E$25*5/$D110)-INT($E$25*(5-1)/$D110))*$C110</f>
        <v>0.0</v>
      </c>
      <c r="J110" s="44">
        <f>(INT($E$25*6/$D110)-INT($E$25*(6-1)/$D110))*$C110</f>
        <v>1.1486</v>
      </c>
      <c r="K110" s="44">
        <f>(INT($E$25*7/$D110)-INT($E$25*(7-1)/$D110))*$C110</f>
        <v>0.0</v>
      </c>
      <c r="L110" s="44">
        <f>(INT($E$25*8/$D110)-INT($E$25*(8-1)/$D110))*$C110</f>
        <v>1.1486</v>
      </c>
      <c r="M110" s="44">
        <f>(INT($E$25*9/$D110)-INT($E$25*(9-1)/$D110))*$C110</f>
        <v>0.0</v>
      </c>
      <c r="N110" s="44">
        <f>(INT($E$25*10/$D110)-INT($E$25*(10-1)/$D110))*$C110</f>
        <v>1.1486</v>
      </c>
    </row>
    <row r="111">
      <c r="B111" s="22" t="inlineStr">
        <is>
          <t>Сальник</t>
        </is>
      </c>
      <c r="C111" s="43" t="n">
        <v>0.09909999999999999</v>
      </c>
      <c r="D111" s="45" t="n">
        <v>14000</v>
      </c>
      <c r="E111" s="44">
        <f>(INT($E$25*1/$D111)-INT($E$25*(1-1)/$D111))*$C111</f>
        <v>0.0</v>
      </c>
      <c r="F111" s="44">
        <f>(INT($E$25*2/$D111)-INT($E$25*(2-1)/$D111))*$C111</f>
        <v>0.0991</v>
      </c>
      <c r="G111" s="44">
        <f>(INT($E$25*3/$D111)-INT($E$25*(3-1)/$D111))*$C111</f>
        <v>0.0</v>
      </c>
      <c r="H111" s="44">
        <f>(INT($E$25*4/$D111)-INT($E$25*(4-1)/$D111))*$C111</f>
        <v>0.0991</v>
      </c>
      <c r="I111" s="44">
        <f>(INT($E$25*5/$D111)-INT($E$25*(5-1)/$D111))*$C111</f>
        <v>0.0</v>
      </c>
      <c r="J111" s="44">
        <f>(INT($E$25*6/$D111)-INT($E$25*(6-1)/$D111))*$C111</f>
        <v>0.0991</v>
      </c>
      <c r="K111" s="44">
        <f>(INT($E$25*7/$D111)-INT($E$25*(7-1)/$D111))*$C111</f>
        <v>0.0</v>
      </c>
      <c r="L111" s="44">
        <f>(INT($E$25*8/$D111)-INT($E$25*(8-1)/$D111))*$C111</f>
        <v>0.0991</v>
      </c>
      <c r="M111" s="44">
        <f>(INT($E$25*9/$D111)-INT($E$25*(9-1)/$D111))*$C111</f>
        <v>0.0</v>
      </c>
      <c r="N111" s="44">
        <f>(INT($E$25*10/$D111)-INT($E$25*(10-1)/$D111))*$C111</f>
        <v>0.0991</v>
      </c>
    </row>
    <row r="112">
      <c r="B112" s="22" t="inlineStr">
        <is>
          <t>Втулка штока гидроцилиндра рукояти</t>
        </is>
      </c>
      <c r="C112" s="43" t="n">
        <v>1.848</v>
      </c>
      <c r="D112" s="45" t="n">
        <v>14000</v>
      </c>
      <c r="E112" s="44">
        <f>(INT($E$25*1/$D112)-INT($E$25*(1-1)/$D112))*$C112</f>
        <v>0.0</v>
      </c>
      <c r="F112" s="44">
        <f>(INT($E$25*2/$D112)-INT($E$25*(2-1)/$D112))*$C112</f>
        <v>1.848</v>
      </c>
      <c r="G112" s="44">
        <f>(INT($E$25*3/$D112)-INT($E$25*(3-1)/$D112))*$C112</f>
        <v>0.0</v>
      </c>
      <c r="H112" s="44">
        <f>(INT($E$25*4/$D112)-INT($E$25*(4-1)/$D112))*$C112</f>
        <v>1.848</v>
      </c>
      <c r="I112" s="44">
        <f>(INT($E$25*5/$D112)-INT($E$25*(5-1)/$D112))*$C112</f>
        <v>0.0</v>
      </c>
      <c r="J112" s="44">
        <f>(INT($E$25*6/$D112)-INT($E$25*(6-1)/$D112))*$C112</f>
        <v>1.848</v>
      </c>
      <c r="K112" s="44">
        <f>(INT($E$25*7/$D112)-INT($E$25*(7-1)/$D112))*$C112</f>
        <v>0.0</v>
      </c>
      <c r="L112" s="44">
        <f>(INT($E$25*8/$D112)-INT($E$25*(8-1)/$D112))*$C112</f>
        <v>1.848</v>
      </c>
      <c r="M112" s="44">
        <f>(INT($E$25*9/$D112)-INT($E$25*(9-1)/$D112))*$C112</f>
        <v>0.0</v>
      </c>
      <c r="N112" s="44">
        <f>(INT($E$25*10/$D112)-INT($E$25*(10-1)/$D112))*$C112</f>
        <v>1.848</v>
      </c>
    </row>
    <row r="113">
      <c r="B113" s="22" t="inlineStr">
        <is>
          <t>Сальник (2)</t>
        </is>
      </c>
      <c r="C113" s="43" t="n">
        <v>0.09909999999999999</v>
      </c>
      <c r="D113" s="45" t="n">
        <v>14000</v>
      </c>
      <c r="E113" s="44">
        <f>(INT($E$25*1/$D113)-INT($E$25*(1-1)/$D113))*$C113</f>
        <v>0.0</v>
      </c>
      <c r="F113" s="44">
        <f>(INT($E$25*2/$D113)-INT($E$25*(2-1)/$D113))*$C113</f>
        <v>0.0991</v>
      </c>
      <c r="G113" s="44">
        <f>(INT($E$25*3/$D113)-INT($E$25*(3-1)/$D113))*$C113</f>
        <v>0.0</v>
      </c>
      <c r="H113" s="44">
        <f>(INT($E$25*4/$D113)-INT($E$25*(4-1)/$D113))*$C113</f>
        <v>0.0991</v>
      </c>
      <c r="I113" s="44">
        <f>(INT($E$25*5/$D113)-INT($E$25*(5-1)/$D113))*$C113</f>
        <v>0.0</v>
      </c>
      <c r="J113" s="44">
        <f>(INT($E$25*6/$D113)-INT($E$25*(6-1)/$D113))*$C113</f>
        <v>0.0991</v>
      </c>
      <c r="K113" s="44">
        <f>(INT($E$25*7/$D113)-INT($E$25*(7-1)/$D113))*$C113</f>
        <v>0.0</v>
      </c>
      <c r="L113" s="44">
        <f>(INT($E$25*8/$D113)-INT($E$25*(8-1)/$D113))*$C113</f>
        <v>0.0991</v>
      </c>
      <c r="M113" s="44">
        <f>(INT($E$25*9/$D113)-INT($E$25*(9-1)/$D113))*$C113</f>
        <v>0.0</v>
      </c>
      <c r="N113" s="44">
        <f>(INT($E$25*10/$D113)-INT($E$25*(10-1)/$D113))*$C113</f>
        <v>0.0991</v>
      </c>
    </row>
    <row r="114">
      <c r="B114" s="22" t="inlineStr">
        <is>
          <t>Подшипник шарнира (2)</t>
        </is>
      </c>
      <c r="C114" s="43" t="n">
        <v>2.0879</v>
      </c>
      <c r="D114" s="45" t="n">
        <v>14000</v>
      </c>
      <c r="E114" s="44">
        <f>(INT($E$25*1/$D114)-INT($E$25*(1-1)/$D114))*$C114</f>
        <v>0.0</v>
      </c>
      <c r="F114" s="44">
        <f>(INT($E$25*2/$D114)-INT($E$25*(2-1)/$D114))*$C114</f>
        <v>2.0879</v>
      </c>
      <c r="G114" s="44">
        <f>(INT($E$25*3/$D114)-INT($E$25*(3-1)/$D114))*$C114</f>
        <v>0.0</v>
      </c>
      <c r="H114" s="44">
        <f>(INT($E$25*4/$D114)-INT($E$25*(4-1)/$D114))*$C114</f>
        <v>2.0879</v>
      </c>
      <c r="I114" s="44">
        <f>(INT($E$25*5/$D114)-INT($E$25*(5-1)/$D114))*$C114</f>
        <v>0.0</v>
      </c>
      <c r="J114" s="44">
        <f>(INT($E$25*6/$D114)-INT($E$25*(6-1)/$D114))*$C114</f>
        <v>2.0879</v>
      </c>
      <c r="K114" s="44">
        <f>(INT($E$25*7/$D114)-INT($E$25*(7-1)/$D114))*$C114</f>
        <v>0.0</v>
      </c>
      <c r="L114" s="44">
        <f>(INT($E$25*8/$D114)-INT($E$25*(8-1)/$D114))*$C114</f>
        <v>2.0879</v>
      </c>
      <c r="M114" s="44">
        <f>(INT($E$25*9/$D114)-INT($E$25*(9-1)/$D114))*$C114</f>
        <v>0.0</v>
      </c>
      <c r="N114" s="44">
        <f>(INT($E$25*10/$D114)-INT($E$25*(10-1)/$D114))*$C114</f>
        <v>2.0879</v>
      </c>
    </row>
    <row r="115">
      <c r="B115" s="22" t="inlineStr">
        <is>
          <t>Втулка сальника</t>
        </is>
      </c>
      <c r="C115" s="43" t="n">
        <v>0.294</v>
      </c>
      <c r="D115" s="45" t="n">
        <v>14000</v>
      </c>
      <c r="E115" s="44">
        <f>(INT($E$25*1/$D115)-INT($E$25*(1-1)/$D115))*$C115</f>
        <v>0.0</v>
      </c>
      <c r="F115" s="44">
        <f>(INT($E$25*2/$D115)-INT($E$25*(2-1)/$D115))*$C115</f>
        <v>0.294</v>
      </c>
      <c r="G115" s="44">
        <f>(INT($E$25*3/$D115)-INT($E$25*(3-1)/$D115))*$C115</f>
        <v>0.0</v>
      </c>
      <c r="H115" s="44">
        <f>(INT($E$25*4/$D115)-INT($E$25*(4-1)/$D115))*$C115</f>
        <v>0.294</v>
      </c>
      <c r="I115" s="44">
        <f>(INT($E$25*5/$D115)-INT($E$25*(5-1)/$D115))*$C115</f>
        <v>0.0</v>
      </c>
      <c r="J115" s="44">
        <f>(INT($E$25*6/$D115)-INT($E$25*(6-1)/$D115))*$C115</f>
        <v>0.294</v>
      </c>
      <c r="K115" s="44">
        <f>(INT($E$25*7/$D115)-INT($E$25*(7-1)/$D115))*$C115</f>
        <v>0.0</v>
      </c>
      <c r="L115" s="44">
        <f>(INT($E$25*8/$D115)-INT($E$25*(8-1)/$D115))*$C115</f>
        <v>0.294</v>
      </c>
      <c r="M115" s="44">
        <f>(INT($E$25*9/$D115)-INT($E$25*(9-1)/$D115))*$C115</f>
        <v>0.0</v>
      </c>
      <c r="N115" s="44">
        <f>(INT($E$25*10/$D115)-INT($E$25*(10-1)/$D115))*$C115</f>
        <v>0.294</v>
      </c>
    </row>
    <row r="116">
      <c r="B116" s="22" t="inlineStr">
        <is>
          <t>Втулка (2)</t>
        </is>
      </c>
      <c r="C116" s="43" t="n">
        <v>1.8398</v>
      </c>
      <c r="D116" s="45" t="n">
        <v>14000</v>
      </c>
      <c r="E116" s="44">
        <f>(INT($E$25*1/$D116)-INT($E$25*(1-1)/$D116))*$C116</f>
        <v>0.0</v>
      </c>
      <c r="F116" s="44">
        <f>(INT($E$25*2/$D116)-INT($E$25*(2-1)/$D116))*$C116</f>
        <v>1.8398</v>
      </c>
      <c r="G116" s="44">
        <f>(INT($E$25*3/$D116)-INT($E$25*(3-1)/$D116))*$C116</f>
        <v>0.0</v>
      </c>
      <c r="H116" s="44">
        <f>(INT($E$25*4/$D116)-INT($E$25*(4-1)/$D116))*$C116</f>
        <v>1.8398</v>
      </c>
      <c r="I116" s="44">
        <f>(INT($E$25*5/$D116)-INT($E$25*(5-1)/$D116))*$C116</f>
        <v>0.0</v>
      </c>
      <c r="J116" s="44">
        <f>(INT($E$25*6/$D116)-INT($E$25*(6-1)/$D116))*$C116</f>
        <v>1.8398</v>
      </c>
      <c r="K116" s="44">
        <f>(INT($E$25*7/$D116)-INT($E$25*(7-1)/$D116))*$C116</f>
        <v>0.0</v>
      </c>
      <c r="L116" s="44">
        <f>(INT($E$25*8/$D116)-INT($E$25*(8-1)/$D116))*$C116</f>
        <v>1.8398</v>
      </c>
      <c r="M116" s="44">
        <f>(INT($E$25*9/$D116)-INT($E$25*(9-1)/$D116))*$C116</f>
        <v>0.0</v>
      </c>
      <c r="N116" s="44">
        <f>(INT($E$25*10/$D116)-INT($E$25*(10-1)/$D116))*$C116</f>
        <v>1.8398</v>
      </c>
    </row>
    <row r="117">
      <c r="B117" s="22" t="inlineStr">
        <is>
          <t>Сальник (3)</t>
        </is>
      </c>
      <c r="C117" s="43" t="n">
        <v>0.09909999999999999</v>
      </c>
      <c r="D117" s="45" t="n">
        <v>14000</v>
      </c>
      <c r="E117" s="44">
        <f>(INT($E$25*1/$D117)-INT($E$25*(1-1)/$D117))*$C117</f>
        <v>0.0</v>
      </c>
      <c r="F117" s="44">
        <f>(INT($E$25*2/$D117)-INT($E$25*(2-1)/$D117))*$C117</f>
        <v>0.0991</v>
      </c>
      <c r="G117" s="44">
        <f>(INT($E$25*3/$D117)-INT($E$25*(3-1)/$D117))*$C117</f>
        <v>0.0</v>
      </c>
      <c r="H117" s="44">
        <f>(INT($E$25*4/$D117)-INT($E$25*(4-1)/$D117))*$C117</f>
        <v>0.0991</v>
      </c>
      <c r="I117" s="44">
        <f>(INT($E$25*5/$D117)-INT($E$25*(5-1)/$D117))*$C117</f>
        <v>0.0</v>
      </c>
      <c r="J117" s="44">
        <f>(INT($E$25*6/$D117)-INT($E$25*(6-1)/$D117))*$C117</f>
        <v>0.0991</v>
      </c>
      <c r="K117" s="44">
        <f>(INT($E$25*7/$D117)-INT($E$25*(7-1)/$D117))*$C117</f>
        <v>0.0</v>
      </c>
      <c r="L117" s="44">
        <f>(INT($E$25*8/$D117)-INT($E$25*(8-1)/$D117))*$C117</f>
        <v>0.0991</v>
      </c>
      <c r="M117" s="44">
        <f>(INT($E$25*9/$D117)-INT($E$25*(9-1)/$D117))*$C117</f>
        <v>0.0</v>
      </c>
      <c r="N117" s="44">
        <f>(INT($E$25*10/$D117)-INT($E$25*(10-1)/$D117))*$C117</f>
        <v>0.0991</v>
      </c>
    </row>
    <row r="118">
      <c r="B118" s="22" t="inlineStr">
        <is>
          <t>Подшипник шарнира (3)</t>
        </is>
      </c>
      <c r="C118" s="43" t="n">
        <v>2.0879</v>
      </c>
      <c r="D118" s="45" t="n">
        <v>14000</v>
      </c>
      <c r="E118" s="44">
        <f>(INT($E$25*1/$D118)-INT($E$25*(1-1)/$D118))*$C118</f>
        <v>0.0</v>
      </c>
      <c r="F118" s="44">
        <f>(INT($E$25*2/$D118)-INT($E$25*(2-1)/$D118))*$C118</f>
        <v>2.0879</v>
      </c>
      <c r="G118" s="44">
        <f>(INT($E$25*3/$D118)-INT($E$25*(3-1)/$D118))*$C118</f>
        <v>0.0</v>
      </c>
      <c r="H118" s="44">
        <f>(INT($E$25*4/$D118)-INT($E$25*(4-1)/$D118))*$C118</f>
        <v>2.0879</v>
      </c>
      <c r="I118" s="44">
        <f>(INT($E$25*5/$D118)-INT($E$25*(5-1)/$D118))*$C118</f>
        <v>0.0</v>
      </c>
      <c r="J118" s="44">
        <f>(INT($E$25*6/$D118)-INT($E$25*(6-1)/$D118))*$C118</f>
        <v>2.0879</v>
      </c>
      <c r="K118" s="44">
        <f>(INT($E$25*7/$D118)-INT($E$25*(7-1)/$D118))*$C118</f>
        <v>0.0</v>
      </c>
      <c r="L118" s="44">
        <f>(INT($E$25*8/$D118)-INT($E$25*(8-1)/$D118))*$C118</f>
        <v>2.0879</v>
      </c>
      <c r="M118" s="44">
        <f>(INT($E$25*9/$D118)-INT($E$25*(9-1)/$D118))*$C118</f>
        <v>0.0</v>
      </c>
      <c r="N118" s="44">
        <f>(INT($E$25*10/$D118)-INT($E$25*(10-1)/$D118))*$C118</f>
        <v>2.0879</v>
      </c>
    </row>
    <row r="119">
      <c r="B119" s="22" t="inlineStr">
        <is>
          <t>Втулка сальника (2)</t>
        </is>
      </c>
      <c r="C119" s="43" t="n">
        <v>0.294</v>
      </c>
      <c r="D119" s="45" t="n">
        <v>14000</v>
      </c>
      <c r="E119" s="44">
        <f>(INT($E$25*1/$D119)-INT($E$25*(1-1)/$D119))*$C119</f>
        <v>0.0</v>
      </c>
      <c r="F119" s="44">
        <f>(INT($E$25*2/$D119)-INT($E$25*(2-1)/$D119))*$C119</f>
        <v>0.294</v>
      </c>
      <c r="G119" s="44">
        <f>(INT($E$25*3/$D119)-INT($E$25*(3-1)/$D119))*$C119</f>
        <v>0.0</v>
      </c>
      <c r="H119" s="44">
        <f>(INT($E$25*4/$D119)-INT($E$25*(4-1)/$D119))*$C119</f>
        <v>0.294</v>
      </c>
      <c r="I119" s="44">
        <f>(INT($E$25*5/$D119)-INT($E$25*(5-1)/$D119))*$C119</f>
        <v>0.0</v>
      </c>
      <c r="J119" s="44">
        <f>(INT($E$25*6/$D119)-INT($E$25*(6-1)/$D119))*$C119</f>
        <v>0.294</v>
      </c>
      <c r="K119" s="44">
        <f>(INT($E$25*7/$D119)-INT($E$25*(7-1)/$D119))*$C119</f>
        <v>0.0</v>
      </c>
      <c r="L119" s="44">
        <f>(INT($E$25*8/$D119)-INT($E$25*(8-1)/$D119))*$C119</f>
        <v>0.294</v>
      </c>
      <c r="M119" s="44">
        <f>(INT($E$25*9/$D119)-INT($E$25*(9-1)/$D119))*$C119</f>
        <v>0.0</v>
      </c>
      <c r="N119" s="44">
        <f>(INT($E$25*10/$D119)-INT($E$25*(10-1)/$D119))*$C119</f>
        <v>0.294</v>
      </c>
    </row>
    <row r="120">
      <c r="B120" s="22" t="inlineStr">
        <is>
          <t>Втулка (3)</t>
        </is>
      </c>
      <c r="C120" s="43" t="n">
        <v>2.8352</v>
      </c>
      <c r="D120" s="45" t="n">
        <v>21000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2.8352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2.8352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2.8352</v>
      </c>
      <c r="N120" s="44">
        <f>(INT($E$25*10/$D120)-INT($E$25*(10-1)/$D120))*$C120</f>
        <v>0.0</v>
      </c>
    </row>
    <row r="121">
      <c r="B121" s="22" t="inlineStr">
        <is>
          <t>Втулка (4)</t>
        </is>
      </c>
      <c r="C121" s="43" t="n">
        <v>2.8352</v>
      </c>
      <c r="D121" s="45" t="n">
        <v>21000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2.8352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2.8352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2.8352</v>
      </c>
      <c r="N121" s="44">
        <f>(INT($E$25*10/$D121)-INT($E$25*(10-1)/$D121))*$C121</f>
        <v>0.0</v>
      </c>
    </row>
    <row r="122">
      <c r="B122" s="22" t="inlineStr">
        <is>
          <t>Регулировочная прокладка</t>
        </is>
      </c>
      <c r="C122" s="43" t="n">
        <v>0.1761</v>
      </c>
      <c r="D122" s="45" t="n">
        <v>21000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0.1761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0.1761</v>
      </c>
      <c r="K122" s="44">
        <f>(INT($E$25*7/$D122)-INT($E$25*(7-1)/$D122))*$C122</f>
        <v>0.0</v>
      </c>
      <c r="L122" s="44">
        <f>(INT($E$25*8/$D122)-INT($E$25*(8-1)/$D122))*$C122</f>
        <v>0.0</v>
      </c>
      <c r="M122" s="44">
        <f>(INT($E$25*9/$D122)-INT($E$25*(9-1)/$D122))*$C122</f>
        <v>0.1761</v>
      </c>
      <c r="N122" s="44">
        <f>(INT($E$25*10/$D122)-INT($E$25*(10-1)/$D122))*$C122</f>
        <v>0.0</v>
      </c>
    </row>
    <row r="123">
      <c r="B123" s="22" t="inlineStr">
        <is>
          <t>Пылезащитное кольцо</t>
        </is>
      </c>
      <c r="C123" s="43" t="n">
        <v>0.7822</v>
      </c>
      <c r="D123" s="45" t="n">
        <v>21000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0.7822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0.7822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0.7822</v>
      </c>
      <c r="N123" s="44">
        <f>(INT($E$25*10/$D123)-INT($E$25*(10-1)/$D123))*$C123</f>
        <v>0.0</v>
      </c>
    </row>
    <row r="124">
      <c r="B124" s="22" t="inlineStr">
        <is>
          <t>Регулировочная прокладка (2)</t>
        </is>
      </c>
      <c r="C124" s="43" t="n">
        <v>0.1761</v>
      </c>
      <c r="D124" s="45" t="n">
        <v>21000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0.1761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0.1761</v>
      </c>
      <c r="K124" s="44">
        <f>(INT($E$25*7/$D124)-INT($E$25*(7-1)/$D124))*$C124</f>
        <v>0.0</v>
      </c>
      <c r="L124" s="44">
        <f>(INT($E$25*8/$D124)-INT($E$25*(8-1)/$D124))*$C124</f>
        <v>0.0</v>
      </c>
      <c r="M124" s="44">
        <f>(INT($E$25*9/$D124)-INT($E$25*(9-1)/$D124))*$C124</f>
        <v>0.1761</v>
      </c>
      <c r="N124" s="44">
        <f>(INT($E$25*10/$D124)-INT($E$25*(10-1)/$D124))*$C124</f>
        <v>0.0</v>
      </c>
    </row>
    <row r="125">
      <c r="B125" s="22" t="inlineStr">
        <is>
          <t>Регулировочная прокладка (3)</t>
        </is>
      </c>
      <c r="C125" s="43" t="n">
        <v>0.1761</v>
      </c>
      <c r="D125" s="45" t="n">
        <v>21000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0.1761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0.1761</v>
      </c>
      <c r="K125" s="44">
        <f>(INT($E$25*7/$D125)-INT($E$25*(7-1)/$D125))*$C125</f>
        <v>0.0</v>
      </c>
      <c r="L125" s="44">
        <f>(INT($E$25*8/$D125)-INT($E$25*(8-1)/$D125))*$C125</f>
        <v>0.0</v>
      </c>
      <c r="M125" s="44">
        <f>(INT($E$25*9/$D125)-INT($E$25*(9-1)/$D125))*$C125</f>
        <v>0.1761</v>
      </c>
      <c r="N125" s="44">
        <f>(INT($E$25*10/$D125)-INT($E$25*(10-1)/$D125))*$C125</f>
        <v>0.0</v>
      </c>
    </row>
    <row r="126">
      <c r="B126" s="22" t="inlineStr">
        <is>
          <t>Штифт</t>
        </is>
      </c>
      <c r="C126" s="43" t="n">
        <v>2.959</v>
      </c>
      <c r="D126" s="45" t="n">
        <v>21000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2.959</v>
      </c>
      <c r="H126" s="44">
        <f>(INT($E$25*4/$D126)-INT($E$25*(4-1)/$D126))*$C126</f>
        <v>0.0</v>
      </c>
      <c r="I126" s="44">
        <f>(INT($E$25*5/$D126)-INT($E$25*(5-1)/$D126))*$C126</f>
        <v>0.0</v>
      </c>
      <c r="J126" s="44">
        <f>(INT($E$25*6/$D126)-INT($E$25*(6-1)/$D126))*$C126</f>
        <v>2.959</v>
      </c>
      <c r="K126" s="44">
        <f>(INT($E$25*7/$D126)-INT($E$25*(7-1)/$D126))*$C126</f>
        <v>0.0</v>
      </c>
      <c r="L126" s="44">
        <f>(INT($E$25*8/$D126)-INT($E$25*(8-1)/$D126))*$C126</f>
        <v>0.0</v>
      </c>
      <c r="M126" s="44">
        <f>(INT($E$25*9/$D126)-INT($E$25*(9-1)/$D126))*$C126</f>
        <v>2.959</v>
      </c>
      <c r="N126" s="44">
        <f>(INT($E$25*10/$D126)-INT($E$25*(10-1)/$D126))*$C126</f>
        <v>0.0</v>
      </c>
    </row>
    <row r="127">
      <c r="B127" s="22" t="inlineStr">
        <is>
          <t>Пластина</t>
        </is>
      </c>
      <c r="C127" s="43" t="n">
        <v>0.1375</v>
      </c>
      <c r="D127" s="45" t="n">
        <v>21000</v>
      </c>
      <c r="E127" s="44">
        <f>(INT($E$25*1/$D127)-INT($E$25*(1-1)/$D127))*$C127</f>
        <v>0.0</v>
      </c>
      <c r="F127" s="44">
        <f>(INT($E$25*2/$D127)-INT($E$25*(2-1)/$D127))*$C127</f>
        <v>0.0</v>
      </c>
      <c r="G127" s="44">
        <f>(INT($E$25*3/$D127)-INT($E$25*(3-1)/$D127))*$C127</f>
        <v>0.1375</v>
      </c>
      <c r="H127" s="44">
        <f>(INT($E$25*4/$D127)-INT($E$25*(4-1)/$D127))*$C127</f>
        <v>0.0</v>
      </c>
      <c r="I127" s="44">
        <f>(INT($E$25*5/$D127)-INT($E$25*(5-1)/$D127))*$C127</f>
        <v>0.0</v>
      </c>
      <c r="J127" s="44">
        <f>(INT($E$25*6/$D127)-INT($E$25*(6-1)/$D127))*$C127</f>
        <v>0.1375</v>
      </c>
      <c r="K127" s="44">
        <f>(INT($E$25*7/$D127)-INT($E$25*(7-1)/$D127))*$C127</f>
        <v>0.0</v>
      </c>
      <c r="L127" s="44">
        <f>(INT($E$25*8/$D127)-INT($E$25*(8-1)/$D127))*$C127</f>
        <v>0.0</v>
      </c>
      <c r="M127" s="44">
        <f>(INT($E$25*9/$D127)-INT($E$25*(9-1)/$D127))*$C127</f>
        <v>0.1375</v>
      </c>
      <c r="N127" s="44">
        <f>(INT($E$25*10/$D127)-INT($E$25*(10-1)/$D127))*$C127</f>
        <v>0.0</v>
      </c>
    </row>
    <row r="128">
      <c r="B128" s="22" t="inlineStr">
        <is>
          <t>Штифт (2)</t>
        </is>
      </c>
      <c r="C128" s="43" t="n">
        <v>2.959</v>
      </c>
      <c r="D128" s="45" t="n">
        <v>21000</v>
      </c>
      <c r="E128" s="44">
        <f>(INT($E$25*1/$D128)-INT($E$25*(1-1)/$D128))*$C128</f>
        <v>0.0</v>
      </c>
      <c r="F128" s="44">
        <f>(INT($E$25*2/$D128)-INT($E$25*(2-1)/$D128))*$C128</f>
        <v>0.0</v>
      </c>
      <c r="G128" s="44">
        <f>(INT($E$25*3/$D128)-INT($E$25*(3-1)/$D128))*$C128</f>
        <v>2.959</v>
      </c>
      <c r="H128" s="44">
        <f>(INT($E$25*4/$D128)-INT($E$25*(4-1)/$D128))*$C128</f>
        <v>0.0</v>
      </c>
      <c r="I128" s="44">
        <f>(INT($E$25*5/$D128)-INT($E$25*(5-1)/$D128))*$C128</f>
        <v>0.0</v>
      </c>
      <c r="J128" s="44">
        <f>(INT($E$25*6/$D128)-INT($E$25*(6-1)/$D128))*$C128</f>
        <v>2.959</v>
      </c>
      <c r="K128" s="44">
        <f>(INT($E$25*7/$D128)-INT($E$25*(7-1)/$D128))*$C128</f>
        <v>0.0</v>
      </c>
      <c r="L128" s="44">
        <f>(INT($E$25*8/$D128)-INT($E$25*(8-1)/$D128))*$C128</f>
        <v>0.0</v>
      </c>
      <c r="M128" s="44">
        <f>(INT($E$25*9/$D128)-INT($E$25*(9-1)/$D128))*$C128</f>
        <v>2.959</v>
      </c>
      <c r="N128" s="44">
        <f>(INT($E$25*10/$D128)-INT($E$25*(10-1)/$D128))*$C128</f>
        <v>0.0</v>
      </c>
    </row>
    <row r="129">
      <c r="B129" s="22" t="inlineStr">
        <is>
          <t>Втулка (5)</t>
        </is>
      </c>
      <c r="C129" s="43" t="n">
        <v>2.8352</v>
      </c>
      <c r="D129" s="45" t="n">
        <v>21000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2.8352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2.8352</v>
      </c>
      <c r="K129" s="44">
        <f>(INT($E$25*7/$D129)-INT($E$25*(7-1)/$D129))*$C129</f>
        <v>0.0</v>
      </c>
      <c r="L129" s="44">
        <f>(INT($E$25*8/$D129)-INT($E$25*(8-1)/$D129))*$C129</f>
        <v>0.0</v>
      </c>
      <c r="M129" s="44">
        <f>(INT($E$25*9/$D129)-INT($E$25*(9-1)/$D129))*$C129</f>
        <v>2.8352</v>
      </c>
      <c r="N129" s="44">
        <f>(INT($E$25*10/$D129)-INT($E$25*(10-1)/$D129))*$C129</f>
        <v>0.0</v>
      </c>
    </row>
    <row r="130">
      <c r="B130" s="22" t="inlineStr">
        <is>
          <t>Регулировочная прокладка (4)</t>
        </is>
      </c>
      <c r="C130" s="43" t="n">
        <v>0.1761</v>
      </c>
      <c r="D130" s="45" t="n">
        <v>21000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0.1761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0.1761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0.1761</v>
      </c>
      <c r="N130" s="44">
        <f>(INT($E$25*10/$D130)-INT($E$25*(10-1)/$D130))*$C130</f>
        <v>0.0</v>
      </c>
    </row>
    <row r="131">
      <c r="B131" s="22" t="inlineStr">
        <is>
          <t>Регулировочная прокладка (5)</t>
        </is>
      </c>
      <c r="C131" s="43" t="n">
        <v>0.1761</v>
      </c>
      <c r="D131" s="45" t="n">
        <v>21000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0.1761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0.1761</v>
      </c>
      <c r="K131" s="44">
        <f>(INT($E$25*7/$D131)-INT($E$25*(7-1)/$D131))*$C131</f>
        <v>0.0</v>
      </c>
      <c r="L131" s="44">
        <f>(INT($E$25*8/$D131)-INT($E$25*(8-1)/$D131))*$C131</f>
        <v>0.0</v>
      </c>
      <c r="M131" s="44">
        <f>(INT($E$25*9/$D131)-INT($E$25*(9-1)/$D131))*$C131</f>
        <v>0.1761</v>
      </c>
      <c r="N131" s="44">
        <f>(INT($E$25*10/$D131)-INT($E$25*(10-1)/$D131))*$C131</f>
        <v>0.0</v>
      </c>
    </row>
    <row r="132">
      <c r="B132" s="22" t="inlineStr">
        <is>
          <t>Втулка (6)</t>
        </is>
      </c>
      <c r="C132" s="43" t="n">
        <v>2.8352</v>
      </c>
      <c r="D132" s="45" t="n">
        <v>21000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2.8352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2.8352</v>
      </c>
      <c r="K132" s="44">
        <f>(INT($E$25*7/$D132)-INT($E$25*(7-1)/$D132))*$C132</f>
        <v>0.0</v>
      </c>
      <c r="L132" s="44">
        <f>(INT($E$25*8/$D132)-INT($E$25*(8-1)/$D132))*$C132</f>
        <v>0.0</v>
      </c>
      <c r="M132" s="44">
        <f>(INT($E$25*9/$D132)-INT($E$25*(9-1)/$D132))*$C132</f>
        <v>2.8352</v>
      </c>
      <c r="N132" s="44">
        <f>(INT($E$25*10/$D132)-INT($E$25*(10-1)/$D132))*$C132</f>
        <v>0.0</v>
      </c>
    </row>
    <row r="133">
      <c r="B133" s="22" t="inlineStr">
        <is>
          <t>Штифт (3)</t>
        </is>
      </c>
      <c r="C133" s="43" t="n">
        <v>2.959</v>
      </c>
      <c r="D133" s="45" t="n">
        <v>21000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2.959</v>
      </c>
      <c r="H133" s="44">
        <f>(INT($E$25*4/$D133)-INT($E$25*(4-1)/$D133))*$C133</f>
        <v>0.0</v>
      </c>
      <c r="I133" s="44">
        <f>(INT($E$25*5/$D133)-INT($E$25*(5-1)/$D133))*$C133</f>
        <v>0.0</v>
      </c>
      <c r="J133" s="44">
        <f>(INT($E$25*6/$D133)-INT($E$25*(6-1)/$D133))*$C133</f>
        <v>2.959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2.959</v>
      </c>
      <c r="N133" s="44">
        <f>(INT($E$25*10/$D133)-INT($E$25*(10-1)/$D133))*$C133</f>
        <v>0.0</v>
      </c>
    </row>
    <row r="134">
      <c r="B134" s="22" t="inlineStr">
        <is>
          <t>Стопорное кольцо (2)</t>
        </is>
      </c>
      <c r="C134" s="43" t="n">
        <v>0.6871</v>
      </c>
      <c r="D134" s="45" t="n">
        <v>21000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0.6871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0.6871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0.6871</v>
      </c>
      <c r="N134" s="44">
        <f>(INT($E$25*10/$D134)-INT($E$25*(10-1)/$D134))*$C134</f>
        <v>0.0</v>
      </c>
    </row>
    <row r="135">
      <c r="B135" s="22" t="inlineStr">
        <is>
          <t>Штифт (4)</t>
        </is>
      </c>
      <c r="C135" s="43" t="n">
        <v>2.959</v>
      </c>
      <c r="D135" s="45" t="n">
        <v>21000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2.959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2.959</v>
      </c>
      <c r="K135" s="44">
        <f>(INT($E$25*7/$D135)-INT($E$25*(7-1)/$D135))*$C135</f>
        <v>0.0</v>
      </c>
      <c r="L135" s="44">
        <f>(INT($E$25*8/$D135)-INT($E$25*(8-1)/$D135))*$C135</f>
        <v>0.0</v>
      </c>
      <c r="M135" s="44">
        <f>(INT($E$25*9/$D135)-INT($E$25*(9-1)/$D135))*$C135</f>
        <v>2.959</v>
      </c>
      <c r="N135" s="44">
        <f>(INT($E$25*10/$D135)-INT($E$25*(10-1)/$D135))*$C135</f>
        <v>0.0</v>
      </c>
    </row>
    <row r="136">
      <c r="B136" s="22" t="inlineStr">
        <is>
          <t>Регулировочная прокладка (6)</t>
        </is>
      </c>
      <c r="C136" s="43" t="n">
        <v>0.1761</v>
      </c>
      <c r="D136" s="45" t="n">
        <v>21000</v>
      </c>
      <c r="E136" s="44">
        <f>(INT($E$25*1/$D136)-INT($E$25*(1-1)/$D136))*$C136</f>
        <v>0.0</v>
      </c>
      <c r="F136" s="44">
        <f>(INT($E$25*2/$D136)-INT($E$25*(2-1)/$D136))*$C136</f>
        <v>0.0</v>
      </c>
      <c r="G136" s="44">
        <f>(INT($E$25*3/$D136)-INT($E$25*(3-1)/$D136))*$C136</f>
        <v>0.1761</v>
      </c>
      <c r="H136" s="44">
        <f>(INT($E$25*4/$D136)-INT($E$25*(4-1)/$D136))*$C136</f>
        <v>0.0</v>
      </c>
      <c r="I136" s="44">
        <f>(INT($E$25*5/$D136)-INT($E$25*(5-1)/$D136))*$C136</f>
        <v>0.0</v>
      </c>
      <c r="J136" s="44">
        <f>(INT($E$25*6/$D136)-INT($E$25*(6-1)/$D136))*$C136</f>
        <v>0.1761</v>
      </c>
      <c r="K136" s="44">
        <f>(INT($E$25*7/$D136)-INT($E$25*(7-1)/$D136))*$C136</f>
        <v>0.0</v>
      </c>
      <c r="L136" s="44">
        <f>(INT($E$25*8/$D136)-INT($E$25*(8-1)/$D136))*$C136</f>
        <v>0.0</v>
      </c>
      <c r="M136" s="44">
        <f>(INT($E$25*9/$D136)-INT($E$25*(9-1)/$D136))*$C136</f>
        <v>0.1761</v>
      </c>
      <c r="N136" s="44">
        <f>(INT($E$25*10/$D136)-INT($E$25*(10-1)/$D136))*$C136</f>
        <v>0.0</v>
      </c>
    </row>
    <row r="137">
      <c r="B137" s="22" t="inlineStr">
        <is>
          <t>Перегородка</t>
        </is>
      </c>
      <c r="C137" s="43" t="n">
        <v>0.014</v>
      </c>
      <c r="D137" s="45" t="n">
        <v>21000</v>
      </c>
      <c r="E137" s="44">
        <f>(INT($E$25*1/$D137)-INT($E$25*(1-1)/$D137))*$C137</f>
        <v>0.0</v>
      </c>
      <c r="F137" s="44">
        <f>(INT($E$25*2/$D137)-INT($E$25*(2-1)/$D137))*$C137</f>
        <v>0.0</v>
      </c>
      <c r="G137" s="44">
        <f>(INT($E$25*3/$D137)-INT($E$25*(3-1)/$D137))*$C137</f>
        <v>0.014</v>
      </c>
      <c r="H137" s="44">
        <f>(INT($E$25*4/$D137)-INT($E$25*(4-1)/$D137))*$C137</f>
        <v>0.0</v>
      </c>
      <c r="I137" s="44">
        <f>(INT($E$25*5/$D137)-INT($E$25*(5-1)/$D137))*$C137</f>
        <v>0.0</v>
      </c>
      <c r="J137" s="44">
        <f>(INT($E$25*6/$D137)-INT($E$25*(6-1)/$D137))*$C137</f>
        <v>0.014</v>
      </c>
      <c r="K137" s="44">
        <f>(INT($E$25*7/$D137)-INT($E$25*(7-1)/$D137))*$C137</f>
        <v>0.0</v>
      </c>
      <c r="L137" s="44">
        <f>(INT($E$25*8/$D137)-INT($E$25*(8-1)/$D137))*$C137</f>
        <v>0.0</v>
      </c>
      <c r="M137" s="44">
        <f>(INT($E$25*9/$D137)-INT($E$25*(9-1)/$D137))*$C137</f>
        <v>0.014</v>
      </c>
      <c r="N137" s="44">
        <f>(INT($E$25*10/$D137)-INT($E$25*(10-1)/$D137))*$C137</f>
        <v>0.0</v>
      </c>
    </row>
    <row r="138">
      <c r="B138" s="22" t="inlineStr">
        <is>
          <t>Штифт (5)</t>
        </is>
      </c>
      <c r="C138" s="43" t="n">
        <v>2.959</v>
      </c>
      <c r="D138" s="45" t="n">
        <v>21000</v>
      </c>
      <c r="E138" s="44">
        <f>(INT($E$25*1/$D138)-INT($E$25*(1-1)/$D138))*$C138</f>
        <v>0.0</v>
      </c>
      <c r="F138" s="44">
        <f>(INT($E$25*2/$D138)-INT($E$25*(2-1)/$D138))*$C138</f>
        <v>0.0</v>
      </c>
      <c r="G138" s="44">
        <f>(INT($E$25*3/$D138)-INT($E$25*(3-1)/$D138))*$C138</f>
        <v>2.959</v>
      </c>
      <c r="H138" s="44">
        <f>(INT($E$25*4/$D138)-INT($E$25*(4-1)/$D138))*$C138</f>
        <v>0.0</v>
      </c>
      <c r="I138" s="44">
        <f>(INT($E$25*5/$D138)-INT($E$25*(5-1)/$D138))*$C138</f>
        <v>0.0</v>
      </c>
      <c r="J138" s="44">
        <f>(INT($E$25*6/$D138)-INT($E$25*(6-1)/$D138))*$C138</f>
        <v>2.959</v>
      </c>
      <c r="K138" s="44">
        <f>(INT($E$25*7/$D138)-INT($E$25*(7-1)/$D138))*$C138</f>
        <v>0.0</v>
      </c>
      <c r="L138" s="44">
        <f>(INT($E$25*8/$D138)-INT($E$25*(8-1)/$D138))*$C138</f>
        <v>0.0</v>
      </c>
      <c r="M138" s="44">
        <f>(INT($E$25*9/$D138)-INT($E$25*(9-1)/$D138))*$C138</f>
        <v>2.959</v>
      </c>
      <c r="N138" s="44">
        <f>(INT($E$25*10/$D138)-INT($E$25*(10-1)/$D138))*$C138</f>
        <v>0.0</v>
      </c>
    </row>
    <row r="139">
      <c r="B139" s="22" t="inlineStr">
        <is>
          <t>Пластина (2)</t>
        </is>
      </c>
      <c r="C139" s="43" t="n">
        <v>0.1375</v>
      </c>
      <c r="D139" s="45" t="n">
        <v>21000</v>
      </c>
      <c r="E139" s="44">
        <f>(INT($E$25*1/$D139)-INT($E$25*(1-1)/$D139))*$C139</f>
        <v>0.0</v>
      </c>
      <c r="F139" s="44">
        <f>(INT($E$25*2/$D139)-INT($E$25*(2-1)/$D139))*$C139</f>
        <v>0.0</v>
      </c>
      <c r="G139" s="44">
        <f>(INT($E$25*3/$D139)-INT($E$25*(3-1)/$D139))*$C139</f>
        <v>0.1375</v>
      </c>
      <c r="H139" s="44">
        <f>(INT($E$25*4/$D139)-INT($E$25*(4-1)/$D139))*$C139</f>
        <v>0.0</v>
      </c>
      <c r="I139" s="44">
        <f>(INT($E$25*5/$D139)-INT($E$25*(5-1)/$D139))*$C139</f>
        <v>0.0</v>
      </c>
      <c r="J139" s="44">
        <f>(INT($E$25*6/$D139)-INT($E$25*(6-1)/$D139))*$C139</f>
        <v>0.1375</v>
      </c>
      <c r="K139" s="44">
        <f>(INT($E$25*7/$D139)-INT($E$25*(7-1)/$D139))*$C139</f>
        <v>0.0</v>
      </c>
      <c r="L139" s="44">
        <f>(INT($E$25*8/$D139)-INT($E$25*(8-1)/$D139))*$C139</f>
        <v>0.0</v>
      </c>
      <c r="M139" s="44">
        <f>(INT($E$25*9/$D139)-INT($E$25*(9-1)/$D139))*$C139</f>
        <v>0.1375</v>
      </c>
      <c r="N139" s="44">
        <f>(INT($E$25*10/$D139)-INT($E$25*(10-1)/$D139))*$C139</f>
        <v>0.0</v>
      </c>
    </row>
    <row r="140">
      <c r="B140" s="22" t="inlineStr">
        <is>
          <t>Втулка (7)</t>
        </is>
      </c>
      <c r="C140" s="43" t="n">
        <v>2.8352</v>
      </c>
      <c r="D140" s="45" t="n">
        <v>21000</v>
      </c>
      <c r="E140" s="44">
        <f>(INT($E$25*1/$D140)-INT($E$25*(1-1)/$D140))*$C140</f>
        <v>0.0</v>
      </c>
      <c r="F140" s="44">
        <f>(INT($E$25*2/$D140)-INT($E$25*(2-1)/$D140))*$C140</f>
        <v>0.0</v>
      </c>
      <c r="G140" s="44">
        <f>(INT($E$25*3/$D140)-INT($E$25*(3-1)/$D140))*$C140</f>
        <v>2.8352</v>
      </c>
      <c r="H140" s="44">
        <f>(INT($E$25*4/$D140)-INT($E$25*(4-1)/$D140))*$C140</f>
        <v>0.0</v>
      </c>
      <c r="I140" s="44">
        <f>(INT($E$25*5/$D140)-INT($E$25*(5-1)/$D140))*$C140</f>
        <v>0.0</v>
      </c>
      <c r="J140" s="44">
        <f>(INT($E$25*6/$D140)-INT($E$25*(6-1)/$D140))*$C140</f>
        <v>2.8352</v>
      </c>
      <c r="K140" s="44">
        <f>(INT($E$25*7/$D140)-INT($E$25*(7-1)/$D140))*$C140</f>
        <v>0.0</v>
      </c>
      <c r="L140" s="44">
        <f>(INT($E$25*8/$D140)-INT($E$25*(8-1)/$D140))*$C140</f>
        <v>0.0</v>
      </c>
      <c r="M140" s="44">
        <f>(INT($E$25*9/$D140)-INT($E$25*(9-1)/$D140))*$C140</f>
        <v>2.8352</v>
      </c>
      <c r="N140" s="44">
        <f>(INT($E$25*10/$D140)-INT($E$25*(10-1)/$D140))*$C140</f>
        <v>0.0</v>
      </c>
    </row>
    <row r="141">
      <c r="B141" s="22" t="inlineStr">
        <is>
          <t>Регулировочная прокладка (7)</t>
        </is>
      </c>
      <c r="C141" s="43" t="n">
        <v>0.1761</v>
      </c>
      <c r="D141" s="45" t="n">
        <v>21000</v>
      </c>
      <c r="E141" s="44">
        <f>(INT($E$25*1/$D141)-INT($E$25*(1-1)/$D141))*$C141</f>
        <v>0.0</v>
      </c>
      <c r="F141" s="44">
        <f>(INT($E$25*2/$D141)-INT($E$25*(2-1)/$D141))*$C141</f>
        <v>0.0</v>
      </c>
      <c r="G141" s="44">
        <f>(INT($E$25*3/$D141)-INT($E$25*(3-1)/$D141))*$C141</f>
        <v>0.1761</v>
      </c>
      <c r="H141" s="44">
        <f>(INT($E$25*4/$D141)-INT($E$25*(4-1)/$D141))*$C141</f>
        <v>0.0</v>
      </c>
      <c r="I141" s="44">
        <f>(INT($E$25*5/$D141)-INT($E$25*(5-1)/$D141))*$C141</f>
        <v>0.0</v>
      </c>
      <c r="J141" s="44">
        <f>(INT($E$25*6/$D141)-INT($E$25*(6-1)/$D141))*$C141</f>
        <v>0.1761</v>
      </c>
      <c r="K141" s="44">
        <f>(INT($E$25*7/$D141)-INT($E$25*(7-1)/$D141))*$C141</f>
        <v>0.0</v>
      </c>
      <c r="L141" s="44">
        <f>(INT($E$25*8/$D141)-INT($E$25*(8-1)/$D141))*$C141</f>
        <v>0.0</v>
      </c>
      <c r="M141" s="44">
        <f>(INT($E$25*9/$D141)-INT($E$25*(9-1)/$D141))*$C141</f>
        <v>0.1761</v>
      </c>
      <c r="N141" s="44">
        <f>(INT($E$25*10/$D141)-INT($E$25*(10-1)/$D141))*$C141</f>
        <v>0.0</v>
      </c>
    </row>
    <row r="142">
      <c r="B142" s="22" t="inlineStr">
        <is>
          <t>Пылезащитное кольцо (2)</t>
        </is>
      </c>
      <c r="C142" s="43" t="n">
        <v>0.7822</v>
      </c>
      <c r="D142" s="45" t="n">
        <v>21000</v>
      </c>
      <c r="E142" s="44">
        <f>(INT($E$25*1/$D142)-INT($E$25*(1-1)/$D142))*$C142</f>
        <v>0.0</v>
      </c>
      <c r="F142" s="44">
        <f>(INT($E$25*2/$D142)-INT($E$25*(2-1)/$D142))*$C142</f>
        <v>0.0</v>
      </c>
      <c r="G142" s="44">
        <f>(INT($E$25*3/$D142)-INT($E$25*(3-1)/$D142))*$C142</f>
        <v>0.7822</v>
      </c>
      <c r="H142" s="44">
        <f>(INT($E$25*4/$D142)-INT($E$25*(4-1)/$D142))*$C142</f>
        <v>0.0</v>
      </c>
      <c r="I142" s="44">
        <f>(INT($E$25*5/$D142)-INT($E$25*(5-1)/$D142))*$C142</f>
        <v>0.0</v>
      </c>
      <c r="J142" s="44">
        <f>(INT($E$25*6/$D142)-INT($E$25*(6-1)/$D142))*$C142</f>
        <v>0.7822</v>
      </c>
      <c r="K142" s="44">
        <f>(INT($E$25*7/$D142)-INT($E$25*(7-1)/$D142))*$C142</f>
        <v>0.0</v>
      </c>
      <c r="L142" s="44">
        <f>(INT($E$25*8/$D142)-INT($E$25*(8-1)/$D142))*$C142</f>
        <v>0.0</v>
      </c>
      <c r="M142" s="44">
        <f>(INT($E$25*9/$D142)-INT($E$25*(9-1)/$D142))*$C142</f>
        <v>0.7822</v>
      </c>
      <c r="N142" s="44">
        <f>(INT($E$25*10/$D142)-INT($E$25*(10-1)/$D142))*$C142</f>
        <v>0.0</v>
      </c>
    </row>
    <row r="143">
      <c r="B143" s="22" t="inlineStr">
        <is>
          <t>Втулка (8)</t>
        </is>
      </c>
      <c r="C143" s="43" t="n">
        <v>2.8352</v>
      </c>
      <c r="D143" s="45" t="n">
        <v>21000</v>
      </c>
      <c r="E143" s="44">
        <f>(INT($E$25*1/$D143)-INT($E$25*(1-1)/$D143))*$C143</f>
        <v>0.0</v>
      </c>
      <c r="F143" s="44">
        <f>(INT($E$25*2/$D143)-INT($E$25*(2-1)/$D143))*$C143</f>
        <v>0.0</v>
      </c>
      <c r="G143" s="44">
        <f>(INT($E$25*3/$D143)-INT($E$25*(3-1)/$D143))*$C143</f>
        <v>2.8352</v>
      </c>
      <c r="H143" s="44">
        <f>(INT($E$25*4/$D143)-INT($E$25*(4-1)/$D143))*$C143</f>
        <v>0.0</v>
      </c>
      <c r="I143" s="44">
        <f>(INT($E$25*5/$D143)-INT($E$25*(5-1)/$D143))*$C143</f>
        <v>0.0</v>
      </c>
      <c r="J143" s="44">
        <f>(INT($E$25*6/$D143)-INT($E$25*(6-1)/$D143))*$C143</f>
        <v>2.8352</v>
      </c>
      <c r="K143" s="44">
        <f>(INT($E$25*7/$D143)-INT($E$25*(7-1)/$D143))*$C143</f>
        <v>0.0</v>
      </c>
      <c r="L143" s="44">
        <f>(INT($E$25*8/$D143)-INT($E$25*(8-1)/$D143))*$C143</f>
        <v>0.0</v>
      </c>
      <c r="M143" s="44">
        <f>(INT($E$25*9/$D143)-INT($E$25*(9-1)/$D143))*$C143</f>
        <v>2.8352</v>
      </c>
      <c r="N143" s="44">
        <f>(INT($E$25*10/$D143)-INT($E$25*(10-1)/$D143))*$C143</f>
        <v>0.0</v>
      </c>
    </row>
    <row r="144">
      <c r="B144" s="22" t="inlineStr">
        <is>
          <t>Распорка</t>
        </is>
      </c>
      <c r="C144" s="43" t="n">
        <v>0.4477</v>
      </c>
      <c r="D144" s="45" t="n">
        <v>21000</v>
      </c>
      <c r="E144" s="44">
        <f>(INT($E$25*1/$D144)-INT($E$25*(1-1)/$D144))*$C144</f>
        <v>0.0</v>
      </c>
      <c r="F144" s="44">
        <f>(INT($E$25*2/$D144)-INT($E$25*(2-1)/$D144))*$C144</f>
        <v>0.0</v>
      </c>
      <c r="G144" s="44">
        <f>(INT($E$25*3/$D144)-INT($E$25*(3-1)/$D144))*$C144</f>
        <v>0.4477</v>
      </c>
      <c r="H144" s="44">
        <f>(INT($E$25*4/$D144)-INT($E$25*(4-1)/$D144))*$C144</f>
        <v>0.0</v>
      </c>
      <c r="I144" s="44">
        <f>(INT($E$25*5/$D144)-INT($E$25*(5-1)/$D144))*$C144</f>
        <v>0.0</v>
      </c>
      <c r="J144" s="44">
        <f>(INT($E$25*6/$D144)-INT($E$25*(6-1)/$D144))*$C144</f>
        <v>0.4477</v>
      </c>
      <c r="K144" s="44">
        <f>(INT($E$25*7/$D144)-INT($E$25*(7-1)/$D144))*$C144</f>
        <v>0.0</v>
      </c>
      <c r="L144" s="44">
        <f>(INT($E$25*8/$D144)-INT($E$25*(8-1)/$D144))*$C144</f>
        <v>0.0</v>
      </c>
      <c r="M144" s="44">
        <f>(INT($E$25*9/$D144)-INT($E$25*(9-1)/$D144))*$C144</f>
        <v>0.4477</v>
      </c>
      <c r="N144" s="44">
        <f>(INT($E$25*10/$D144)-INT($E$25*(10-1)/$D144))*$C144</f>
        <v>0.0</v>
      </c>
    </row>
    <row r="145">
      <c r="B145" s="22" t="inlineStr">
        <is>
          <t>Втулка (9)</t>
        </is>
      </c>
      <c r="C145" s="43" t="n">
        <v>2.8352</v>
      </c>
      <c r="D145" s="45" t="n">
        <v>21000</v>
      </c>
      <c r="E145" s="44">
        <f>(INT($E$25*1/$D145)-INT($E$25*(1-1)/$D145))*$C145</f>
        <v>0.0</v>
      </c>
      <c r="F145" s="44">
        <f>(INT($E$25*2/$D145)-INT($E$25*(2-1)/$D145))*$C145</f>
        <v>0.0</v>
      </c>
      <c r="G145" s="44">
        <f>(INT($E$25*3/$D145)-INT($E$25*(3-1)/$D145))*$C145</f>
        <v>2.8352</v>
      </c>
      <c r="H145" s="44">
        <f>(INT($E$25*4/$D145)-INT($E$25*(4-1)/$D145))*$C145</f>
        <v>0.0</v>
      </c>
      <c r="I145" s="44">
        <f>(INT($E$25*5/$D145)-INT($E$25*(5-1)/$D145))*$C145</f>
        <v>0.0</v>
      </c>
      <c r="J145" s="44">
        <f>(INT($E$25*6/$D145)-INT($E$25*(6-1)/$D145))*$C145</f>
        <v>2.8352</v>
      </c>
      <c r="K145" s="44">
        <f>(INT($E$25*7/$D145)-INT($E$25*(7-1)/$D145))*$C145</f>
        <v>0.0</v>
      </c>
      <c r="L145" s="44">
        <f>(INT($E$25*8/$D145)-INT($E$25*(8-1)/$D145))*$C145</f>
        <v>0.0</v>
      </c>
      <c r="M145" s="44">
        <f>(INT($E$25*9/$D145)-INT($E$25*(9-1)/$D145))*$C145</f>
        <v>2.8352</v>
      </c>
      <c r="N145" s="44">
        <f>(INT($E$25*10/$D145)-INT($E$25*(10-1)/$D145))*$C145</f>
        <v>0.0</v>
      </c>
    </row>
    <row r="146">
      <c r="B146" s="22" t="inlineStr">
        <is>
          <t>Регулировочная прокладка (8)</t>
        </is>
      </c>
      <c r="C146" s="43" t="n">
        <v>0.1761</v>
      </c>
      <c r="D146" s="45" t="n">
        <v>21000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0.1761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0.1761</v>
      </c>
      <c r="K146" s="44">
        <f>(INT($E$25*7/$D146)-INT($E$25*(7-1)/$D146))*$C146</f>
        <v>0.0</v>
      </c>
      <c r="L146" s="44">
        <f>(INT($E$25*8/$D146)-INT($E$25*(8-1)/$D146))*$C146</f>
        <v>0.0</v>
      </c>
      <c r="M146" s="44">
        <f>(INT($E$25*9/$D146)-INT($E$25*(9-1)/$D146))*$C146</f>
        <v>0.1761</v>
      </c>
      <c r="N146" s="44">
        <f>(INT($E$25*10/$D146)-INT($E$25*(10-1)/$D146))*$C146</f>
        <v>0.0</v>
      </c>
    </row>
    <row r="147">
      <c r="B147" s="22" t="inlineStr">
        <is>
          <t>Штифт (6)</t>
        </is>
      </c>
      <c r="C147" s="43" t="n">
        <v>2.959</v>
      </c>
      <c r="D147" s="45" t="n">
        <v>21000</v>
      </c>
      <c r="E147" s="44">
        <f>(INT($E$25*1/$D147)-INT($E$25*(1-1)/$D147))*$C147</f>
        <v>0.0</v>
      </c>
      <c r="F147" s="44">
        <f>(INT($E$25*2/$D147)-INT($E$25*(2-1)/$D147))*$C147</f>
        <v>0.0</v>
      </c>
      <c r="G147" s="44">
        <f>(INT($E$25*3/$D147)-INT($E$25*(3-1)/$D147))*$C147</f>
        <v>2.959</v>
      </c>
      <c r="H147" s="44">
        <f>(INT($E$25*4/$D147)-INT($E$25*(4-1)/$D147))*$C147</f>
        <v>0.0</v>
      </c>
      <c r="I147" s="44">
        <f>(INT($E$25*5/$D147)-INT($E$25*(5-1)/$D147))*$C147</f>
        <v>0.0</v>
      </c>
      <c r="J147" s="44">
        <f>(INT($E$25*6/$D147)-INT($E$25*(6-1)/$D147))*$C147</f>
        <v>2.959</v>
      </c>
      <c r="K147" s="44">
        <f>(INT($E$25*7/$D147)-INT($E$25*(7-1)/$D147))*$C147</f>
        <v>0.0</v>
      </c>
      <c r="L147" s="44">
        <f>(INT($E$25*8/$D147)-INT($E$25*(8-1)/$D147))*$C147</f>
        <v>0.0</v>
      </c>
      <c r="M147" s="44">
        <f>(INT($E$25*9/$D147)-INT($E$25*(9-1)/$D147))*$C147</f>
        <v>2.959</v>
      </c>
      <c r="N147" s="44">
        <f>(INT($E$25*10/$D147)-INT($E$25*(10-1)/$D147))*$C147</f>
        <v>0.0</v>
      </c>
    </row>
    <row r="148">
      <c r="B148" s="22" t="inlineStr">
        <is>
          <t>Штифт (7)</t>
        </is>
      </c>
      <c r="C148" s="43" t="n">
        <v>2.959</v>
      </c>
      <c r="D148" s="45" t="n">
        <v>21000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2.959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2.959</v>
      </c>
      <c r="K148" s="44">
        <f>(INT($E$25*7/$D148)-INT($E$25*(7-1)/$D148))*$C148</f>
        <v>0.0</v>
      </c>
      <c r="L148" s="44">
        <f>(INT($E$25*8/$D148)-INT($E$25*(8-1)/$D148))*$C148</f>
        <v>0.0</v>
      </c>
      <c r="M148" s="44">
        <f>(INT($E$25*9/$D148)-INT($E$25*(9-1)/$D148))*$C148</f>
        <v>2.959</v>
      </c>
      <c r="N148" s="44">
        <f>(INT($E$25*10/$D148)-INT($E$25*(10-1)/$D148))*$C148</f>
        <v>0.0</v>
      </c>
    </row>
    <row r="149">
      <c r="B149" s="22" t="inlineStr">
        <is>
          <t>Штифт (8)</t>
        </is>
      </c>
      <c r="C149" s="43" t="n">
        <v>2.959</v>
      </c>
      <c r="D149" s="45" t="n">
        <v>21000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2.959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2.959</v>
      </c>
      <c r="K149" s="44">
        <f>(INT($E$25*7/$D149)-INT($E$25*(7-1)/$D149))*$C149</f>
        <v>0.0</v>
      </c>
      <c r="L149" s="44">
        <f>(INT($E$25*8/$D149)-INT($E$25*(8-1)/$D149))*$C149</f>
        <v>0.0</v>
      </c>
      <c r="M149" s="44">
        <f>(INT($E$25*9/$D149)-INT($E$25*(9-1)/$D149))*$C149</f>
        <v>2.959</v>
      </c>
      <c r="N149" s="44">
        <f>(INT($E$25*10/$D149)-INT($E$25*(10-1)/$D149))*$C149</f>
        <v>0.0</v>
      </c>
    </row>
    <row r="150">
      <c r="B150" s="22" t="inlineStr">
        <is>
          <t>Регулировочная прокладка (9)</t>
        </is>
      </c>
      <c r="C150" s="43" t="n">
        <v>0.1761</v>
      </c>
      <c r="D150" s="45" t="n">
        <v>21000</v>
      </c>
      <c r="E150" s="44">
        <f>(INT($E$25*1/$D150)-INT($E$25*(1-1)/$D150))*$C150</f>
        <v>0.0</v>
      </c>
      <c r="F150" s="44">
        <f>(INT($E$25*2/$D150)-INT($E$25*(2-1)/$D150))*$C150</f>
        <v>0.0</v>
      </c>
      <c r="G150" s="44">
        <f>(INT($E$25*3/$D150)-INT($E$25*(3-1)/$D150))*$C150</f>
        <v>0.1761</v>
      </c>
      <c r="H150" s="44">
        <f>(INT($E$25*4/$D150)-INT($E$25*(4-1)/$D150))*$C150</f>
        <v>0.0</v>
      </c>
      <c r="I150" s="44">
        <f>(INT($E$25*5/$D150)-INT($E$25*(5-1)/$D150))*$C150</f>
        <v>0.0</v>
      </c>
      <c r="J150" s="44">
        <f>(INT($E$25*6/$D150)-INT($E$25*(6-1)/$D150))*$C150</f>
        <v>0.1761</v>
      </c>
      <c r="K150" s="44">
        <f>(INT($E$25*7/$D150)-INT($E$25*(7-1)/$D150))*$C150</f>
        <v>0.0</v>
      </c>
      <c r="L150" s="44">
        <f>(INT($E$25*8/$D150)-INT($E$25*(8-1)/$D150))*$C150</f>
        <v>0.0</v>
      </c>
      <c r="M150" s="44">
        <f>(INT($E$25*9/$D150)-INT($E$25*(9-1)/$D150))*$C150</f>
        <v>0.1761</v>
      </c>
      <c r="N150" s="44">
        <f>(INT($E$25*10/$D150)-INT($E$25*(10-1)/$D150))*$C150</f>
        <v>0.0</v>
      </c>
    </row>
    <row r="151">
      <c r="B151" s="22" t="inlineStr">
        <is>
          <t>Регулировочная прокладка (10)</t>
        </is>
      </c>
      <c r="C151" s="43" t="n">
        <v>0.1761</v>
      </c>
      <c r="D151" s="45" t="n">
        <v>21000</v>
      </c>
      <c r="E151" s="44">
        <f>(INT($E$25*1/$D151)-INT($E$25*(1-1)/$D151))*$C151</f>
        <v>0.0</v>
      </c>
      <c r="F151" s="44">
        <f>(INT($E$25*2/$D151)-INT($E$25*(2-1)/$D151))*$C151</f>
        <v>0.0</v>
      </c>
      <c r="G151" s="44">
        <f>(INT($E$25*3/$D151)-INT($E$25*(3-1)/$D151))*$C151</f>
        <v>0.1761</v>
      </c>
      <c r="H151" s="44">
        <f>(INT($E$25*4/$D151)-INT($E$25*(4-1)/$D151))*$C151</f>
        <v>0.0</v>
      </c>
      <c r="I151" s="44">
        <f>(INT($E$25*5/$D151)-INT($E$25*(5-1)/$D151))*$C151</f>
        <v>0.0</v>
      </c>
      <c r="J151" s="44">
        <f>(INT($E$25*6/$D151)-INT($E$25*(6-1)/$D151))*$C151</f>
        <v>0.1761</v>
      </c>
      <c r="K151" s="44">
        <f>(INT($E$25*7/$D151)-INT($E$25*(7-1)/$D151))*$C151</f>
        <v>0.0</v>
      </c>
      <c r="L151" s="44">
        <f>(INT($E$25*8/$D151)-INT($E$25*(8-1)/$D151))*$C151</f>
        <v>0.0</v>
      </c>
      <c r="M151" s="44">
        <f>(INT($E$25*9/$D151)-INT($E$25*(9-1)/$D151))*$C151</f>
        <v>0.1761</v>
      </c>
      <c r="N151" s="44">
        <f>(INT($E$25*10/$D151)-INT($E$25*(10-1)/$D151))*$C151</f>
        <v>0.0</v>
      </c>
    </row>
    <row r="152">
      <c r="B152" s="22" t="inlineStr">
        <is>
          <t>Втулка (10)</t>
        </is>
      </c>
      <c r="C152" s="43" t="n">
        <v>2.8352</v>
      </c>
      <c r="D152" s="45" t="n">
        <v>21000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2.8352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2.8352</v>
      </c>
      <c r="K152" s="44">
        <f>(INT($E$25*7/$D152)-INT($E$25*(7-1)/$D152))*$C152</f>
        <v>0.0</v>
      </c>
      <c r="L152" s="44">
        <f>(INT($E$25*8/$D152)-INT($E$25*(8-1)/$D152))*$C152</f>
        <v>0.0</v>
      </c>
      <c r="M152" s="44">
        <f>(INT($E$25*9/$D152)-INT($E$25*(9-1)/$D152))*$C152</f>
        <v>2.8352</v>
      </c>
      <c r="N152" s="44">
        <f>(INT($E$25*10/$D152)-INT($E$25*(10-1)/$D152))*$C152</f>
        <v>0.0</v>
      </c>
    </row>
    <row r="153">
      <c r="B153" s="22" t="inlineStr">
        <is>
          <t>Регулировочная прокладка (11)</t>
        </is>
      </c>
      <c r="C153" s="43" t="n">
        <v>0.1761</v>
      </c>
      <c r="D153" s="45" t="n">
        <v>21000</v>
      </c>
      <c r="E153" s="44">
        <f>(INT($E$25*1/$D153)-INT($E$25*(1-1)/$D153))*$C153</f>
        <v>0.0</v>
      </c>
      <c r="F153" s="44">
        <f>(INT($E$25*2/$D153)-INT($E$25*(2-1)/$D153))*$C153</f>
        <v>0.0</v>
      </c>
      <c r="G153" s="44">
        <f>(INT($E$25*3/$D153)-INT($E$25*(3-1)/$D153))*$C153</f>
        <v>0.1761</v>
      </c>
      <c r="H153" s="44">
        <f>(INT($E$25*4/$D153)-INT($E$25*(4-1)/$D153))*$C153</f>
        <v>0.0</v>
      </c>
      <c r="I153" s="44">
        <f>(INT($E$25*5/$D153)-INT($E$25*(5-1)/$D153))*$C153</f>
        <v>0.0</v>
      </c>
      <c r="J153" s="44">
        <f>(INT($E$25*6/$D153)-INT($E$25*(6-1)/$D153))*$C153</f>
        <v>0.1761</v>
      </c>
      <c r="K153" s="44">
        <f>(INT($E$25*7/$D153)-INT($E$25*(7-1)/$D153))*$C153</f>
        <v>0.0</v>
      </c>
      <c r="L153" s="44">
        <f>(INT($E$25*8/$D153)-INT($E$25*(8-1)/$D153))*$C153</f>
        <v>0.0</v>
      </c>
      <c r="M153" s="44">
        <f>(INT($E$25*9/$D153)-INT($E$25*(9-1)/$D153))*$C153</f>
        <v>0.1761</v>
      </c>
      <c r="N153" s="44">
        <f>(INT($E$25*10/$D153)-INT($E$25*(10-1)/$D153))*$C153</f>
        <v>0.0</v>
      </c>
    </row>
    <row r="154">
      <c r="B154" s="22" t="inlineStr">
        <is>
          <t>Крышка</t>
        </is>
      </c>
      <c r="C154" s="43" t="n">
        <v>0.7786</v>
      </c>
      <c r="D154" s="45" t="n">
        <v>21000</v>
      </c>
      <c r="E154" s="44">
        <f>(INT($E$25*1/$D154)-INT($E$25*(1-1)/$D154))*$C154</f>
        <v>0.0</v>
      </c>
      <c r="F154" s="44">
        <f>(INT($E$25*2/$D154)-INT($E$25*(2-1)/$D154))*$C154</f>
        <v>0.0</v>
      </c>
      <c r="G154" s="44">
        <f>(INT($E$25*3/$D154)-INT($E$25*(3-1)/$D154))*$C154</f>
        <v>0.7786</v>
      </c>
      <c r="H154" s="44">
        <f>(INT($E$25*4/$D154)-INT($E$25*(4-1)/$D154))*$C154</f>
        <v>0.0</v>
      </c>
      <c r="I154" s="44">
        <f>(INT($E$25*5/$D154)-INT($E$25*(5-1)/$D154))*$C154</f>
        <v>0.0</v>
      </c>
      <c r="J154" s="44">
        <f>(INT($E$25*6/$D154)-INT($E$25*(6-1)/$D154))*$C154</f>
        <v>0.7786</v>
      </c>
      <c r="K154" s="44">
        <f>(INT($E$25*7/$D154)-INT($E$25*(7-1)/$D154))*$C154</f>
        <v>0.0</v>
      </c>
      <c r="L154" s="44">
        <f>(INT($E$25*8/$D154)-INT($E$25*(8-1)/$D154))*$C154</f>
        <v>0.0</v>
      </c>
      <c r="M154" s="44">
        <f>(INT($E$25*9/$D154)-INT($E$25*(9-1)/$D154))*$C154</f>
        <v>0.7786</v>
      </c>
      <c r="N154" s="44">
        <f>(INT($E$25*10/$D154)-INT($E$25*(10-1)/$D154))*$C154</f>
        <v>0.0</v>
      </c>
    </row>
    <row r="155">
      <c r="B155" s="22" t="inlineStr">
        <is>
          <t>O-Образное кольцо</t>
        </is>
      </c>
      <c r="C155" s="43" t="n">
        <v>0.0201</v>
      </c>
      <c r="D155" s="45" t="n">
        <v>21000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0.0201</v>
      </c>
      <c r="H155" s="44">
        <f>(INT($E$25*4/$D155)-INT($E$25*(4-1)/$D155))*$C155</f>
        <v>0.0</v>
      </c>
      <c r="I155" s="44">
        <f>(INT($E$25*5/$D155)-INT($E$25*(5-1)/$D155))*$C155</f>
        <v>0.0</v>
      </c>
      <c r="J155" s="44">
        <f>(INT($E$25*6/$D155)-INT($E$25*(6-1)/$D155))*$C155</f>
        <v>0.0201</v>
      </c>
      <c r="K155" s="44">
        <f>(INT($E$25*7/$D155)-INT($E$25*(7-1)/$D155))*$C155</f>
        <v>0.0</v>
      </c>
      <c r="L155" s="44">
        <f>(INT($E$25*8/$D155)-INT($E$25*(8-1)/$D155))*$C155</f>
        <v>0.0</v>
      </c>
      <c r="M155" s="44">
        <f>(INT($E$25*9/$D155)-INT($E$25*(9-1)/$D155))*$C155</f>
        <v>0.0201</v>
      </c>
      <c r="N155" s="44">
        <f>(INT($E$25*10/$D155)-INT($E$25*(10-1)/$D155))*$C155</f>
        <v>0.0</v>
      </c>
    </row>
    <row r="156">
      <c r="B156" s="22" t="inlineStr">
        <is>
          <t>Втулка (11)</t>
        </is>
      </c>
      <c r="C156" s="43" t="n">
        <v>2.8352</v>
      </c>
      <c r="D156" s="45" t="n">
        <v>21000</v>
      </c>
      <c r="E156" s="44">
        <f>(INT($E$25*1/$D156)-INT($E$25*(1-1)/$D156))*$C156</f>
        <v>0.0</v>
      </c>
      <c r="F156" s="44">
        <f>(INT($E$25*2/$D156)-INT($E$25*(2-1)/$D156))*$C156</f>
        <v>0.0</v>
      </c>
      <c r="G156" s="44">
        <f>(INT($E$25*3/$D156)-INT($E$25*(3-1)/$D156))*$C156</f>
        <v>2.8352</v>
      </c>
      <c r="H156" s="44">
        <f>(INT($E$25*4/$D156)-INT($E$25*(4-1)/$D156))*$C156</f>
        <v>0.0</v>
      </c>
      <c r="I156" s="44">
        <f>(INT($E$25*5/$D156)-INT($E$25*(5-1)/$D156))*$C156</f>
        <v>0.0</v>
      </c>
      <c r="J156" s="44">
        <f>(INT($E$25*6/$D156)-INT($E$25*(6-1)/$D156))*$C156</f>
        <v>2.8352</v>
      </c>
      <c r="K156" s="44">
        <f>(INT($E$25*7/$D156)-INT($E$25*(7-1)/$D156))*$C156</f>
        <v>0.0</v>
      </c>
      <c r="L156" s="44">
        <f>(INT($E$25*8/$D156)-INT($E$25*(8-1)/$D156))*$C156</f>
        <v>0.0</v>
      </c>
      <c r="M156" s="44">
        <f>(INT($E$25*9/$D156)-INT($E$25*(9-1)/$D156))*$C156</f>
        <v>2.8352</v>
      </c>
      <c r="N156" s="44">
        <f>(INT($E$25*10/$D156)-INT($E$25*(10-1)/$D156))*$C156</f>
        <v>0.0</v>
      </c>
    </row>
    <row r="157">
      <c r="B157" s="22" t="inlineStr">
        <is>
          <t>Пылезащитное кольцо (3)</t>
        </is>
      </c>
      <c r="C157" s="43" t="n">
        <v>0.7822</v>
      </c>
      <c r="D157" s="45" t="n">
        <v>21000</v>
      </c>
      <c r="E157" s="44">
        <f>(INT($E$25*1/$D157)-INT($E$25*(1-1)/$D157))*$C157</f>
        <v>0.0</v>
      </c>
      <c r="F157" s="44">
        <f>(INT($E$25*2/$D157)-INT($E$25*(2-1)/$D157))*$C157</f>
        <v>0.0</v>
      </c>
      <c r="G157" s="44">
        <f>(INT($E$25*3/$D157)-INT($E$25*(3-1)/$D157))*$C157</f>
        <v>0.7822</v>
      </c>
      <c r="H157" s="44">
        <f>(INT($E$25*4/$D157)-INT($E$25*(4-1)/$D157))*$C157</f>
        <v>0.0</v>
      </c>
      <c r="I157" s="44">
        <f>(INT($E$25*5/$D157)-INT($E$25*(5-1)/$D157))*$C157</f>
        <v>0.0</v>
      </c>
      <c r="J157" s="44">
        <f>(INT($E$25*6/$D157)-INT($E$25*(6-1)/$D157))*$C157</f>
        <v>0.7822</v>
      </c>
      <c r="K157" s="44">
        <f>(INT($E$25*7/$D157)-INT($E$25*(7-1)/$D157))*$C157</f>
        <v>0.0</v>
      </c>
      <c r="L157" s="44">
        <f>(INT($E$25*8/$D157)-INT($E$25*(8-1)/$D157))*$C157</f>
        <v>0.0</v>
      </c>
      <c r="M157" s="44">
        <f>(INT($E$25*9/$D157)-INT($E$25*(9-1)/$D157))*$C157</f>
        <v>0.7822</v>
      </c>
      <c r="N157" s="44">
        <f>(INT($E$25*10/$D157)-INT($E$25*(10-1)/$D157))*$C157</f>
        <v>0.0</v>
      </c>
    </row>
    <row r="158">
      <c r="B158" s="22" t="inlineStr">
        <is>
          <t>Фланец</t>
        </is>
      </c>
      <c r="C158" s="43" t="n">
        <v>0.9105</v>
      </c>
      <c r="D158" s="45" t="n">
        <v>21000</v>
      </c>
      <c r="E158" s="44">
        <f>(INT($E$25*1/$D158)-INT($E$25*(1-1)/$D158))*$C158</f>
        <v>0.0</v>
      </c>
      <c r="F158" s="44">
        <f>(INT($E$25*2/$D158)-INT($E$25*(2-1)/$D158))*$C158</f>
        <v>0.0</v>
      </c>
      <c r="G158" s="44">
        <f>(INT($E$25*3/$D158)-INT($E$25*(3-1)/$D158))*$C158</f>
        <v>0.9105</v>
      </c>
      <c r="H158" s="44">
        <f>(INT($E$25*4/$D158)-INT($E$25*(4-1)/$D158))*$C158</f>
        <v>0.0</v>
      </c>
      <c r="I158" s="44">
        <f>(INT($E$25*5/$D158)-INT($E$25*(5-1)/$D158))*$C158</f>
        <v>0.0</v>
      </c>
      <c r="J158" s="44">
        <f>(INT($E$25*6/$D158)-INT($E$25*(6-1)/$D158))*$C158</f>
        <v>0.9105</v>
      </c>
      <c r="K158" s="44">
        <f>(INT($E$25*7/$D158)-INT($E$25*(7-1)/$D158))*$C158</f>
        <v>0.0</v>
      </c>
      <c r="L158" s="44">
        <f>(INT($E$25*8/$D158)-INT($E$25*(8-1)/$D158))*$C158</f>
        <v>0.0</v>
      </c>
      <c r="M158" s="44">
        <f>(INT($E$25*9/$D158)-INT($E$25*(9-1)/$D158))*$C158</f>
        <v>0.9105</v>
      </c>
      <c r="N158" s="44">
        <f>(INT($E$25*10/$D158)-INT($E$25*(10-1)/$D158))*$C158</f>
        <v>0.0</v>
      </c>
    </row>
    <row r="159">
      <c r="B159" s="22" t="inlineStr">
        <is>
          <t>Втулка (12)</t>
        </is>
      </c>
      <c r="C159" s="43" t="n">
        <v>2.8352</v>
      </c>
      <c r="D159" s="45" t="n">
        <v>21000</v>
      </c>
      <c r="E159" s="44">
        <f>(INT($E$25*1/$D159)-INT($E$25*(1-1)/$D159))*$C159</f>
        <v>0.0</v>
      </c>
      <c r="F159" s="44">
        <f>(INT($E$25*2/$D159)-INT($E$25*(2-1)/$D159))*$C159</f>
        <v>0.0</v>
      </c>
      <c r="G159" s="44">
        <f>(INT($E$25*3/$D159)-INT($E$25*(3-1)/$D159))*$C159</f>
        <v>2.8352</v>
      </c>
      <c r="H159" s="44">
        <f>(INT($E$25*4/$D159)-INT($E$25*(4-1)/$D159))*$C159</f>
        <v>0.0</v>
      </c>
      <c r="I159" s="44">
        <f>(INT($E$25*5/$D159)-INT($E$25*(5-1)/$D159))*$C159</f>
        <v>0.0</v>
      </c>
      <c r="J159" s="44">
        <f>(INT($E$25*6/$D159)-INT($E$25*(6-1)/$D159))*$C159</f>
        <v>2.8352</v>
      </c>
      <c r="K159" s="44">
        <f>(INT($E$25*7/$D159)-INT($E$25*(7-1)/$D159))*$C159</f>
        <v>0.0</v>
      </c>
      <c r="L159" s="44">
        <f>(INT($E$25*8/$D159)-INT($E$25*(8-1)/$D159))*$C159</f>
        <v>0.0</v>
      </c>
      <c r="M159" s="44">
        <f>(INT($E$25*9/$D159)-INT($E$25*(9-1)/$D159))*$C159</f>
        <v>2.8352</v>
      </c>
      <c r="N159" s="44">
        <f>(INT($E$25*10/$D159)-INT($E$25*(10-1)/$D159))*$C159</f>
        <v>0.0</v>
      </c>
    </row>
    <row r="160">
      <c r="B160" s="22" t="inlineStr">
        <is>
          <t>Распорка (2)</t>
        </is>
      </c>
      <c r="C160" s="43" t="n">
        <v>0.4477</v>
      </c>
      <c r="D160" s="45" t="n">
        <v>21000</v>
      </c>
      <c r="E160" s="44">
        <f>(INT($E$25*1/$D160)-INT($E$25*(1-1)/$D160))*$C160</f>
        <v>0.0</v>
      </c>
      <c r="F160" s="44">
        <f>(INT($E$25*2/$D160)-INT($E$25*(2-1)/$D160))*$C160</f>
        <v>0.0</v>
      </c>
      <c r="G160" s="44">
        <f>(INT($E$25*3/$D160)-INT($E$25*(3-1)/$D160))*$C160</f>
        <v>0.4477</v>
      </c>
      <c r="H160" s="44">
        <f>(INT($E$25*4/$D160)-INT($E$25*(4-1)/$D160))*$C160</f>
        <v>0.0</v>
      </c>
      <c r="I160" s="44">
        <f>(INT($E$25*5/$D160)-INT($E$25*(5-1)/$D160))*$C160</f>
        <v>0.0</v>
      </c>
      <c r="J160" s="44">
        <f>(INT($E$25*6/$D160)-INT($E$25*(6-1)/$D160))*$C160</f>
        <v>0.4477</v>
      </c>
      <c r="K160" s="44">
        <f>(INT($E$25*7/$D160)-INT($E$25*(7-1)/$D160))*$C160</f>
        <v>0.0</v>
      </c>
      <c r="L160" s="44">
        <f>(INT($E$25*8/$D160)-INT($E$25*(8-1)/$D160))*$C160</f>
        <v>0.0</v>
      </c>
      <c r="M160" s="44">
        <f>(INT($E$25*9/$D160)-INT($E$25*(9-1)/$D160))*$C160</f>
        <v>0.4477</v>
      </c>
      <c r="N160" s="44">
        <f>(INT($E$25*10/$D160)-INT($E$25*(10-1)/$D160))*$C160</f>
        <v>0.0</v>
      </c>
    </row>
    <row r="161">
      <c r="B161" s="22" t="inlineStr">
        <is>
          <t>Штифт (9)</t>
        </is>
      </c>
      <c r="C161" s="43" t="n">
        <v>2.959</v>
      </c>
      <c r="D161" s="45" t="n">
        <v>21000</v>
      </c>
      <c r="E161" s="44">
        <f>(INT($E$25*1/$D161)-INT($E$25*(1-1)/$D161))*$C161</f>
        <v>0.0</v>
      </c>
      <c r="F161" s="44">
        <f>(INT($E$25*2/$D161)-INT($E$25*(2-1)/$D161))*$C161</f>
        <v>0.0</v>
      </c>
      <c r="G161" s="44">
        <f>(INT($E$25*3/$D161)-INT($E$25*(3-1)/$D161))*$C161</f>
        <v>2.959</v>
      </c>
      <c r="H161" s="44">
        <f>(INT($E$25*4/$D161)-INT($E$25*(4-1)/$D161))*$C161</f>
        <v>0.0</v>
      </c>
      <c r="I161" s="44">
        <f>(INT($E$25*5/$D161)-INT($E$25*(5-1)/$D161))*$C161</f>
        <v>0.0</v>
      </c>
      <c r="J161" s="44">
        <f>(INT($E$25*6/$D161)-INT($E$25*(6-1)/$D161))*$C161</f>
        <v>2.959</v>
      </c>
      <c r="K161" s="44">
        <f>(INT($E$25*7/$D161)-INT($E$25*(7-1)/$D161))*$C161</f>
        <v>0.0</v>
      </c>
      <c r="L161" s="44">
        <f>(INT($E$25*8/$D161)-INT($E$25*(8-1)/$D161))*$C161</f>
        <v>0.0</v>
      </c>
      <c r="M161" s="44">
        <f>(INT($E$25*9/$D161)-INT($E$25*(9-1)/$D161))*$C161</f>
        <v>2.959</v>
      </c>
      <c r="N161" s="44">
        <f>(INT($E$25*10/$D161)-INT($E$25*(10-1)/$D161))*$C161</f>
        <v>0.0</v>
      </c>
    </row>
    <row r="162">
      <c r="B162" s="22" t="inlineStr">
        <is>
          <t>Крышка (2)</t>
        </is>
      </c>
      <c r="C162" s="43" t="n">
        <v>0.7786</v>
      </c>
      <c r="D162" s="45" t="n">
        <v>21000</v>
      </c>
      <c r="E162" s="44">
        <f>(INT($E$25*1/$D162)-INT($E$25*(1-1)/$D162))*$C162</f>
        <v>0.0</v>
      </c>
      <c r="F162" s="44">
        <f>(INT($E$25*2/$D162)-INT($E$25*(2-1)/$D162))*$C162</f>
        <v>0.0</v>
      </c>
      <c r="G162" s="44">
        <f>(INT($E$25*3/$D162)-INT($E$25*(3-1)/$D162))*$C162</f>
        <v>0.7786</v>
      </c>
      <c r="H162" s="44">
        <f>(INT($E$25*4/$D162)-INT($E$25*(4-1)/$D162))*$C162</f>
        <v>0.0</v>
      </c>
      <c r="I162" s="44">
        <f>(INT($E$25*5/$D162)-INT($E$25*(5-1)/$D162))*$C162</f>
        <v>0.0</v>
      </c>
      <c r="J162" s="44">
        <f>(INT($E$25*6/$D162)-INT($E$25*(6-1)/$D162))*$C162</f>
        <v>0.7786</v>
      </c>
      <c r="K162" s="44">
        <f>(INT($E$25*7/$D162)-INT($E$25*(7-1)/$D162))*$C162</f>
        <v>0.0</v>
      </c>
      <c r="L162" s="44">
        <f>(INT($E$25*8/$D162)-INT($E$25*(8-1)/$D162))*$C162</f>
        <v>0.0</v>
      </c>
      <c r="M162" s="44">
        <f>(INT($E$25*9/$D162)-INT($E$25*(9-1)/$D162))*$C162</f>
        <v>0.7786</v>
      </c>
      <c r="N162" s="44">
        <f>(INT($E$25*10/$D162)-INT($E$25*(10-1)/$D162))*$C162</f>
        <v>0.0</v>
      </c>
    </row>
    <row r="163">
      <c r="B163" s="22" t="inlineStr">
        <is>
          <t>Штифт (10)</t>
        </is>
      </c>
      <c r="C163" s="43" t="n">
        <v>2.959</v>
      </c>
      <c r="D163" s="45" t="n">
        <v>21000</v>
      </c>
      <c r="E163" s="44">
        <f>(INT($E$25*1/$D163)-INT($E$25*(1-1)/$D163))*$C163</f>
        <v>0.0</v>
      </c>
      <c r="F163" s="44">
        <f>(INT($E$25*2/$D163)-INT($E$25*(2-1)/$D163))*$C163</f>
        <v>0.0</v>
      </c>
      <c r="G163" s="44">
        <f>(INT($E$25*3/$D163)-INT($E$25*(3-1)/$D163))*$C163</f>
        <v>2.959</v>
      </c>
      <c r="H163" s="44">
        <f>(INT($E$25*4/$D163)-INT($E$25*(4-1)/$D163))*$C163</f>
        <v>0.0</v>
      </c>
      <c r="I163" s="44">
        <f>(INT($E$25*5/$D163)-INT($E$25*(5-1)/$D163))*$C163</f>
        <v>0.0</v>
      </c>
      <c r="J163" s="44">
        <f>(INT($E$25*6/$D163)-INT($E$25*(6-1)/$D163))*$C163</f>
        <v>2.959</v>
      </c>
      <c r="K163" s="44">
        <f>(INT($E$25*7/$D163)-INT($E$25*(7-1)/$D163))*$C163</f>
        <v>0.0</v>
      </c>
      <c r="L163" s="44">
        <f>(INT($E$25*8/$D163)-INT($E$25*(8-1)/$D163))*$C163</f>
        <v>0.0</v>
      </c>
      <c r="M163" s="44">
        <f>(INT($E$25*9/$D163)-INT($E$25*(9-1)/$D163))*$C163</f>
        <v>2.959</v>
      </c>
      <c r="N163" s="44">
        <f>(INT($E$25*10/$D163)-INT($E$25*(10-1)/$D163))*$C163</f>
        <v>0.0</v>
      </c>
    </row>
    <row r="164">
      <c r="B164" s="22" t="inlineStr">
        <is>
          <t>Втулка (13)</t>
        </is>
      </c>
      <c r="C164" s="43" t="n">
        <v>2.8352</v>
      </c>
      <c r="D164" s="45" t="n">
        <v>21000</v>
      </c>
      <c r="E164" s="44">
        <f>(INT($E$25*1/$D164)-INT($E$25*(1-1)/$D164))*$C164</f>
        <v>0.0</v>
      </c>
      <c r="F164" s="44">
        <f>(INT($E$25*2/$D164)-INT($E$25*(2-1)/$D164))*$C164</f>
        <v>0.0</v>
      </c>
      <c r="G164" s="44">
        <f>(INT($E$25*3/$D164)-INT($E$25*(3-1)/$D164))*$C164</f>
        <v>2.8352</v>
      </c>
      <c r="H164" s="44">
        <f>(INT($E$25*4/$D164)-INT($E$25*(4-1)/$D164))*$C164</f>
        <v>0.0</v>
      </c>
      <c r="I164" s="44">
        <f>(INT($E$25*5/$D164)-INT($E$25*(5-1)/$D164))*$C164</f>
        <v>0.0</v>
      </c>
      <c r="J164" s="44">
        <f>(INT($E$25*6/$D164)-INT($E$25*(6-1)/$D164))*$C164</f>
        <v>2.8352</v>
      </c>
      <c r="K164" s="44">
        <f>(INT($E$25*7/$D164)-INT($E$25*(7-1)/$D164))*$C164</f>
        <v>0.0</v>
      </c>
      <c r="L164" s="44">
        <f>(INT($E$25*8/$D164)-INT($E$25*(8-1)/$D164))*$C164</f>
        <v>0.0</v>
      </c>
      <c r="M164" s="44">
        <f>(INT($E$25*9/$D164)-INT($E$25*(9-1)/$D164))*$C164</f>
        <v>2.8352</v>
      </c>
      <c r="N164" s="44">
        <f>(INT($E$25*10/$D164)-INT($E$25*(10-1)/$D164))*$C164</f>
        <v>0.0</v>
      </c>
    </row>
    <row r="165">
      <c r="B165" s="22" t="inlineStr">
        <is>
          <t>Регулировочная прокладка (12)</t>
        </is>
      </c>
      <c r="C165" s="43" t="n">
        <v>0.1761</v>
      </c>
      <c r="D165" s="45" t="n">
        <v>21000</v>
      </c>
      <c r="E165" s="44">
        <f>(INT($E$25*1/$D165)-INT($E$25*(1-1)/$D165))*$C165</f>
        <v>0.0</v>
      </c>
      <c r="F165" s="44">
        <f>(INT($E$25*2/$D165)-INT($E$25*(2-1)/$D165))*$C165</f>
        <v>0.0</v>
      </c>
      <c r="G165" s="44">
        <f>(INT($E$25*3/$D165)-INT($E$25*(3-1)/$D165))*$C165</f>
        <v>0.1761</v>
      </c>
      <c r="H165" s="44">
        <f>(INT($E$25*4/$D165)-INT($E$25*(4-1)/$D165))*$C165</f>
        <v>0.0</v>
      </c>
      <c r="I165" s="44">
        <f>(INT($E$25*5/$D165)-INT($E$25*(5-1)/$D165))*$C165</f>
        <v>0.0</v>
      </c>
      <c r="J165" s="44">
        <f>(INT($E$25*6/$D165)-INT($E$25*(6-1)/$D165))*$C165</f>
        <v>0.1761</v>
      </c>
      <c r="K165" s="44">
        <f>(INT($E$25*7/$D165)-INT($E$25*(7-1)/$D165))*$C165</f>
        <v>0.0</v>
      </c>
      <c r="L165" s="44">
        <f>(INT($E$25*8/$D165)-INT($E$25*(8-1)/$D165))*$C165</f>
        <v>0.0</v>
      </c>
      <c r="M165" s="44">
        <f>(INT($E$25*9/$D165)-INT($E$25*(9-1)/$D165))*$C165</f>
        <v>0.1761</v>
      </c>
      <c r="N165" s="44">
        <f>(INT($E$25*10/$D165)-INT($E$25*(10-1)/$D165))*$C165</f>
        <v>0.0</v>
      </c>
    </row>
    <row r="166">
      <c r="B166" s="22" t="inlineStr">
        <is>
          <t>Регулировочная прокладка (13)</t>
        </is>
      </c>
      <c r="C166" s="43" t="n">
        <v>0.1761</v>
      </c>
      <c r="D166" s="45" t="n">
        <v>21000</v>
      </c>
      <c r="E166" s="44">
        <f>(INT($E$25*1/$D166)-INT($E$25*(1-1)/$D166))*$C166</f>
        <v>0.0</v>
      </c>
      <c r="F166" s="44">
        <f>(INT($E$25*2/$D166)-INT($E$25*(2-1)/$D166))*$C166</f>
        <v>0.0</v>
      </c>
      <c r="G166" s="44">
        <f>(INT($E$25*3/$D166)-INT($E$25*(3-1)/$D166))*$C166</f>
        <v>0.1761</v>
      </c>
      <c r="H166" s="44">
        <f>(INT($E$25*4/$D166)-INT($E$25*(4-1)/$D166))*$C166</f>
        <v>0.0</v>
      </c>
      <c r="I166" s="44">
        <f>(INT($E$25*5/$D166)-INT($E$25*(5-1)/$D166))*$C166</f>
        <v>0.0</v>
      </c>
      <c r="J166" s="44">
        <f>(INT($E$25*6/$D166)-INT($E$25*(6-1)/$D166))*$C166</f>
        <v>0.1761</v>
      </c>
      <c r="K166" s="44">
        <f>(INT($E$25*7/$D166)-INT($E$25*(7-1)/$D166))*$C166</f>
        <v>0.0</v>
      </c>
      <c r="L166" s="44">
        <f>(INT($E$25*8/$D166)-INT($E$25*(8-1)/$D166))*$C166</f>
        <v>0.0</v>
      </c>
      <c r="M166" s="44">
        <f>(INT($E$25*9/$D166)-INT($E$25*(9-1)/$D166))*$C166</f>
        <v>0.1761</v>
      </c>
      <c r="N166" s="44">
        <f>(INT($E$25*10/$D166)-INT($E$25*(10-1)/$D166))*$C166</f>
        <v>0.0</v>
      </c>
    </row>
    <row r="167">
      <c r="B167" s="22" t="inlineStr">
        <is>
          <t>Пылезащитное кольцо (4)</t>
        </is>
      </c>
      <c r="C167" s="43" t="n">
        <v>0.7822</v>
      </c>
      <c r="D167" s="45" t="n">
        <v>21000</v>
      </c>
      <c r="E167" s="44">
        <f>(INT($E$25*1/$D167)-INT($E$25*(1-1)/$D167))*$C167</f>
        <v>0.0</v>
      </c>
      <c r="F167" s="44">
        <f>(INT($E$25*2/$D167)-INT($E$25*(2-1)/$D167))*$C167</f>
        <v>0.0</v>
      </c>
      <c r="G167" s="44">
        <f>(INT($E$25*3/$D167)-INT($E$25*(3-1)/$D167))*$C167</f>
        <v>0.7822</v>
      </c>
      <c r="H167" s="44">
        <f>(INT($E$25*4/$D167)-INT($E$25*(4-1)/$D167))*$C167</f>
        <v>0.0</v>
      </c>
      <c r="I167" s="44">
        <f>(INT($E$25*5/$D167)-INT($E$25*(5-1)/$D167))*$C167</f>
        <v>0.0</v>
      </c>
      <c r="J167" s="44">
        <f>(INT($E$25*6/$D167)-INT($E$25*(6-1)/$D167))*$C167</f>
        <v>0.7822</v>
      </c>
      <c r="K167" s="44">
        <f>(INT($E$25*7/$D167)-INT($E$25*(7-1)/$D167))*$C167</f>
        <v>0.0</v>
      </c>
      <c r="L167" s="44">
        <f>(INT($E$25*8/$D167)-INT($E$25*(8-1)/$D167))*$C167</f>
        <v>0.0</v>
      </c>
      <c r="M167" s="44">
        <f>(INT($E$25*9/$D167)-INT($E$25*(9-1)/$D167))*$C167</f>
        <v>0.7822</v>
      </c>
      <c r="N167" s="44">
        <f>(INT($E$25*10/$D167)-INT($E$25*(10-1)/$D167))*$C167</f>
        <v>0.0</v>
      </c>
    </row>
    <row r="168">
      <c r="B168" s="22" t="inlineStr">
        <is>
          <t>Втулка (14)</t>
        </is>
      </c>
      <c r="C168" s="43" t="n">
        <v>2.8352</v>
      </c>
      <c r="D168" s="45" t="n">
        <v>21000</v>
      </c>
      <c r="E168" s="44">
        <f>(INT($E$25*1/$D168)-INT($E$25*(1-1)/$D168))*$C168</f>
        <v>0.0</v>
      </c>
      <c r="F168" s="44">
        <f>(INT($E$25*2/$D168)-INT($E$25*(2-1)/$D168))*$C168</f>
        <v>0.0</v>
      </c>
      <c r="G168" s="44">
        <f>(INT($E$25*3/$D168)-INT($E$25*(3-1)/$D168))*$C168</f>
        <v>2.8352</v>
      </c>
      <c r="H168" s="44">
        <f>(INT($E$25*4/$D168)-INT($E$25*(4-1)/$D168))*$C168</f>
        <v>0.0</v>
      </c>
      <c r="I168" s="44">
        <f>(INT($E$25*5/$D168)-INT($E$25*(5-1)/$D168))*$C168</f>
        <v>0.0</v>
      </c>
      <c r="J168" s="44">
        <f>(INT($E$25*6/$D168)-INT($E$25*(6-1)/$D168))*$C168</f>
        <v>2.8352</v>
      </c>
      <c r="K168" s="44">
        <f>(INT($E$25*7/$D168)-INT($E$25*(7-1)/$D168))*$C168</f>
        <v>0.0</v>
      </c>
      <c r="L168" s="44">
        <f>(INT($E$25*8/$D168)-INT($E$25*(8-1)/$D168))*$C168</f>
        <v>0.0</v>
      </c>
      <c r="M168" s="44">
        <f>(INT($E$25*9/$D168)-INT($E$25*(9-1)/$D168))*$C168</f>
        <v>2.8352</v>
      </c>
      <c r="N168" s="44">
        <f>(INT($E$25*10/$D168)-INT($E$25*(10-1)/$D168))*$C168</f>
        <v>0.0</v>
      </c>
    </row>
    <row r="169">
      <c r="B169" s="22" t="inlineStr">
        <is>
          <t>Распорка (3)</t>
        </is>
      </c>
      <c r="C169" s="43" t="n">
        <v>0.4477</v>
      </c>
      <c r="D169" s="45" t="n">
        <v>21000</v>
      </c>
      <c r="E169" s="44">
        <f>(INT($E$25*1/$D169)-INT($E$25*(1-1)/$D169))*$C169</f>
        <v>0.0</v>
      </c>
      <c r="F169" s="44">
        <f>(INT($E$25*2/$D169)-INT($E$25*(2-1)/$D169))*$C169</f>
        <v>0.0</v>
      </c>
      <c r="G169" s="44">
        <f>(INT($E$25*3/$D169)-INT($E$25*(3-1)/$D169))*$C169</f>
        <v>0.4477</v>
      </c>
      <c r="H169" s="44">
        <f>(INT($E$25*4/$D169)-INT($E$25*(4-1)/$D169))*$C169</f>
        <v>0.0</v>
      </c>
      <c r="I169" s="44">
        <f>(INT($E$25*5/$D169)-INT($E$25*(5-1)/$D169))*$C169</f>
        <v>0.0</v>
      </c>
      <c r="J169" s="44">
        <f>(INT($E$25*6/$D169)-INT($E$25*(6-1)/$D169))*$C169</f>
        <v>0.4477</v>
      </c>
      <c r="K169" s="44">
        <f>(INT($E$25*7/$D169)-INT($E$25*(7-1)/$D169))*$C169</f>
        <v>0.0</v>
      </c>
      <c r="L169" s="44">
        <f>(INT($E$25*8/$D169)-INT($E$25*(8-1)/$D169))*$C169</f>
        <v>0.0</v>
      </c>
      <c r="M169" s="44">
        <f>(INT($E$25*9/$D169)-INT($E$25*(9-1)/$D169))*$C169</f>
        <v>0.4477</v>
      </c>
      <c r="N169" s="44">
        <f>(INT($E$25*10/$D169)-INT($E$25*(10-1)/$D169))*$C169</f>
        <v>0.0</v>
      </c>
    </row>
    <row r="170">
      <c r="B170" s="22" t="inlineStr">
        <is>
          <t>Штифт (11)</t>
        </is>
      </c>
      <c r="C170" s="43" t="n">
        <v>2.959</v>
      </c>
      <c r="D170" s="45" t="n">
        <v>21000</v>
      </c>
      <c r="E170" s="44">
        <f>(INT($E$25*1/$D170)-INT($E$25*(1-1)/$D170))*$C170</f>
        <v>0.0</v>
      </c>
      <c r="F170" s="44">
        <f>(INT($E$25*2/$D170)-INT($E$25*(2-1)/$D170))*$C170</f>
        <v>0.0</v>
      </c>
      <c r="G170" s="44">
        <f>(INT($E$25*3/$D170)-INT($E$25*(3-1)/$D170))*$C170</f>
        <v>2.959</v>
      </c>
      <c r="H170" s="44">
        <f>(INT($E$25*4/$D170)-INT($E$25*(4-1)/$D170))*$C170</f>
        <v>0.0</v>
      </c>
      <c r="I170" s="44">
        <f>(INT($E$25*5/$D170)-INT($E$25*(5-1)/$D170))*$C170</f>
        <v>0.0</v>
      </c>
      <c r="J170" s="44">
        <f>(INT($E$25*6/$D170)-INT($E$25*(6-1)/$D170))*$C170</f>
        <v>2.959</v>
      </c>
      <c r="K170" s="44">
        <f>(INT($E$25*7/$D170)-INT($E$25*(7-1)/$D170))*$C170</f>
        <v>0.0</v>
      </c>
      <c r="L170" s="44">
        <f>(INT($E$25*8/$D170)-INT($E$25*(8-1)/$D170))*$C170</f>
        <v>0.0</v>
      </c>
      <c r="M170" s="44">
        <f>(INT($E$25*9/$D170)-INT($E$25*(9-1)/$D170))*$C170</f>
        <v>2.959</v>
      </c>
      <c r="N170" s="44">
        <f>(INT($E$25*10/$D170)-INT($E$25*(10-1)/$D170))*$C170</f>
        <v>0.0</v>
      </c>
    </row>
    <row r="171">
      <c r="B171" s="22" t="inlineStr">
        <is>
          <t>Втулка (15)</t>
        </is>
      </c>
      <c r="C171" s="43" t="n">
        <v>2.8352</v>
      </c>
      <c r="D171" s="45" t="n">
        <v>21000</v>
      </c>
      <c r="E171" s="44">
        <f>(INT($E$25*1/$D171)-INT($E$25*(1-1)/$D171))*$C171</f>
        <v>0.0</v>
      </c>
      <c r="F171" s="44">
        <f>(INT($E$25*2/$D171)-INT($E$25*(2-1)/$D171))*$C171</f>
        <v>0.0</v>
      </c>
      <c r="G171" s="44">
        <f>(INT($E$25*3/$D171)-INT($E$25*(3-1)/$D171))*$C171</f>
        <v>2.8352</v>
      </c>
      <c r="H171" s="44">
        <f>(INT($E$25*4/$D171)-INT($E$25*(4-1)/$D171))*$C171</f>
        <v>0.0</v>
      </c>
      <c r="I171" s="44">
        <f>(INT($E$25*5/$D171)-INT($E$25*(5-1)/$D171))*$C171</f>
        <v>0.0</v>
      </c>
      <c r="J171" s="44">
        <f>(INT($E$25*6/$D171)-INT($E$25*(6-1)/$D171))*$C171</f>
        <v>2.8352</v>
      </c>
      <c r="K171" s="44">
        <f>(INT($E$25*7/$D171)-INT($E$25*(7-1)/$D171))*$C171</f>
        <v>0.0</v>
      </c>
      <c r="L171" s="44">
        <f>(INT($E$25*8/$D171)-INT($E$25*(8-1)/$D171))*$C171</f>
        <v>0.0</v>
      </c>
      <c r="M171" s="44">
        <f>(INT($E$25*9/$D171)-INT($E$25*(9-1)/$D171))*$C171</f>
        <v>2.8352</v>
      </c>
      <c r="N171" s="44">
        <f>(INT($E$25*10/$D171)-INT($E$25*(10-1)/$D171))*$C171</f>
        <v>0.0</v>
      </c>
    </row>
    <row r="172">
      <c r="B172" s="22" t="inlineStr">
        <is>
          <t>Регулировочная прокладка (14)</t>
        </is>
      </c>
      <c r="C172" s="43" t="n">
        <v>0.1761</v>
      </c>
      <c r="D172" s="45" t="n">
        <v>21000</v>
      </c>
      <c r="E172" s="44">
        <f>(INT($E$25*1/$D172)-INT($E$25*(1-1)/$D172))*$C172</f>
        <v>0.0</v>
      </c>
      <c r="F172" s="44">
        <f>(INT($E$25*2/$D172)-INT($E$25*(2-1)/$D172))*$C172</f>
        <v>0.0</v>
      </c>
      <c r="G172" s="44">
        <f>(INT($E$25*3/$D172)-INT($E$25*(3-1)/$D172))*$C172</f>
        <v>0.1761</v>
      </c>
      <c r="H172" s="44">
        <f>(INT($E$25*4/$D172)-INT($E$25*(4-1)/$D172))*$C172</f>
        <v>0.0</v>
      </c>
      <c r="I172" s="44">
        <f>(INT($E$25*5/$D172)-INT($E$25*(5-1)/$D172))*$C172</f>
        <v>0.0</v>
      </c>
      <c r="J172" s="44">
        <f>(INT($E$25*6/$D172)-INT($E$25*(6-1)/$D172))*$C172</f>
        <v>0.1761</v>
      </c>
      <c r="K172" s="44">
        <f>(INT($E$25*7/$D172)-INT($E$25*(7-1)/$D172))*$C172</f>
        <v>0.0</v>
      </c>
      <c r="L172" s="44">
        <f>(INT($E$25*8/$D172)-INT($E$25*(8-1)/$D172))*$C172</f>
        <v>0.0</v>
      </c>
      <c r="M172" s="44">
        <f>(INT($E$25*9/$D172)-INT($E$25*(9-1)/$D172))*$C172</f>
        <v>0.1761</v>
      </c>
      <c r="N172" s="44">
        <f>(INT($E$25*10/$D172)-INT($E$25*(10-1)/$D172))*$C172</f>
        <v>0.0</v>
      </c>
    </row>
    <row r="173">
      <c r="B173" s="22" t="inlineStr">
        <is>
          <t>Втулка (16)</t>
        </is>
      </c>
      <c r="C173" s="43" t="n">
        <v>2.8352</v>
      </c>
      <c r="D173" s="45" t="n">
        <v>21000</v>
      </c>
      <c r="E173" s="44">
        <f>(INT($E$25*1/$D173)-INT($E$25*(1-1)/$D173))*$C173</f>
        <v>0.0</v>
      </c>
      <c r="F173" s="44">
        <f>(INT($E$25*2/$D173)-INT($E$25*(2-1)/$D173))*$C173</f>
        <v>0.0</v>
      </c>
      <c r="G173" s="44">
        <f>(INT($E$25*3/$D173)-INT($E$25*(3-1)/$D173))*$C173</f>
        <v>2.8352</v>
      </c>
      <c r="H173" s="44">
        <f>(INT($E$25*4/$D173)-INT($E$25*(4-1)/$D173))*$C173</f>
        <v>0.0</v>
      </c>
      <c r="I173" s="44">
        <f>(INT($E$25*5/$D173)-INT($E$25*(5-1)/$D173))*$C173</f>
        <v>0.0</v>
      </c>
      <c r="J173" s="44">
        <f>(INT($E$25*6/$D173)-INT($E$25*(6-1)/$D173))*$C173</f>
        <v>2.8352</v>
      </c>
      <c r="K173" s="44">
        <f>(INT($E$25*7/$D173)-INT($E$25*(7-1)/$D173))*$C173</f>
        <v>0.0</v>
      </c>
      <c r="L173" s="44">
        <f>(INT($E$25*8/$D173)-INT($E$25*(8-1)/$D173))*$C173</f>
        <v>0.0</v>
      </c>
      <c r="M173" s="44">
        <f>(INT($E$25*9/$D173)-INT($E$25*(9-1)/$D173))*$C173</f>
        <v>2.8352</v>
      </c>
      <c r="N173" s="44">
        <f>(INT($E$25*10/$D173)-INT($E$25*(10-1)/$D173))*$C173</f>
        <v>0.0</v>
      </c>
    </row>
    <row r="174">
      <c r="B174" s="22" t="inlineStr">
        <is>
          <t>Регулировочная прокладка (15)</t>
        </is>
      </c>
      <c r="C174" s="43" t="n">
        <v>0.1761</v>
      </c>
      <c r="D174" s="45" t="n">
        <v>21000</v>
      </c>
      <c r="E174" s="44">
        <f>(INT($E$25*1/$D174)-INT($E$25*(1-1)/$D174))*$C174</f>
        <v>0.0</v>
      </c>
      <c r="F174" s="44">
        <f>(INT($E$25*2/$D174)-INT($E$25*(2-1)/$D174))*$C174</f>
        <v>0.0</v>
      </c>
      <c r="G174" s="44">
        <f>(INT($E$25*3/$D174)-INT($E$25*(3-1)/$D174))*$C174</f>
        <v>0.1761</v>
      </c>
      <c r="H174" s="44">
        <f>(INT($E$25*4/$D174)-INT($E$25*(4-1)/$D174))*$C174</f>
        <v>0.0</v>
      </c>
      <c r="I174" s="44">
        <f>(INT($E$25*5/$D174)-INT($E$25*(5-1)/$D174))*$C174</f>
        <v>0.0</v>
      </c>
      <c r="J174" s="44">
        <f>(INT($E$25*6/$D174)-INT($E$25*(6-1)/$D174))*$C174</f>
        <v>0.1761</v>
      </c>
      <c r="K174" s="44">
        <f>(INT($E$25*7/$D174)-INT($E$25*(7-1)/$D174))*$C174</f>
        <v>0.0</v>
      </c>
      <c r="L174" s="44">
        <f>(INT($E$25*8/$D174)-INT($E$25*(8-1)/$D174))*$C174</f>
        <v>0.0</v>
      </c>
      <c r="M174" s="44">
        <f>(INT($E$25*9/$D174)-INT($E$25*(9-1)/$D174))*$C174</f>
        <v>0.1761</v>
      </c>
      <c r="N174" s="44">
        <f>(INT($E$25*10/$D174)-INT($E$25*(10-1)/$D174))*$C174</f>
        <v>0.0</v>
      </c>
    </row>
    <row r="175">
      <c r="B175" s="22" t="inlineStr">
        <is>
          <t>Штифт (12)</t>
        </is>
      </c>
      <c r="C175" s="43" t="n">
        <v>2.959</v>
      </c>
      <c r="D175" s="45" t="n">
        <v>21000</v>
      </c>
      <c r="E175" s="44">
        <f>(INT($E$25*1/$D175)-INT($E$25*(1-1)/$D175))*$C175</f>
        <v>0.0</v>
      </c>
      <c r="F175" s="44">
        <f>(INT($E$25*2/$D175)-INT($E$25*(2-1)/$D175))*$C175</f>
        <v>0.0</v>
      </c>
      <c r="G175" s="44">
        <f>(INT($E$25*3/$D175)-INT($E$25*(3-1)/$D175))*$C175</f>
        <v>2.959</v>
      </c>
      <c r="H175" s="44">
        <f>(INT($E$25*4/$D175)-INT($E$25*(4-1)/$D175))*$C175</f>
        <v>0.0</v>
      </c>
      <c r="I175" s="44">
        <f>(INT($E$25*5/$D175)-INT($E$25*(5-1)/$D175))*$C175</f>
        <v>0.0</v>
      </c>
      <c r="J175" s="44">
        <f>(INT($E$25*6/$D175)-INT($E$25*(6-1)/$D175))*$C175</f>
        <v>2.959</v>
      </c>
      <c r="K175" s="44">
        <f>(INT($E$25*7/$D175)-INT($E$25*(7-1)/$D175))*$C175</f>
        <v>0.0</v>
      </c>
      <c r="L175" s="44">
        <f>(INT($E$25*8/$D175)-INT($E$25*(8-1)/$D175))*$C175</f>
        <v>0.0</v>
      </c>
      <c r="M175" s="44">
        <f>(INT($E$25*9/$D175)-INT($E$25*(9-1)/$D175))*$C175</f>
        <v>2.959</v>
      </c>
      <c r="N175" s="44">
        <f>(INT($E$25*10/$D175)-INT($E$25*(10-1)/$D175))*$C175</f>
        <v>0.0</v>
      </c>
    </row>
    <row r="176">
      <c r="B176" s="22" t="inlineStr">
        <is>
          <t>Втулка (17)</t>
        </is>
      </c>
      <c r="C176" s="43" t="n">
        <v>2.8352</v>
      </c>
      <c r="D176" s="45" t="n">
        <v>21000</v>
      </c>
      <c r="E176" s="44">
        <f>(INT($E$25*1/$D176)-INT($E$25*(1-1)/$D176))*$C176</f>
        <v>0.0</v>
      </c>
      <c r="F176" s="44">
        <f>(INT($E$25*2/$D176)-INT($E$25*(2-1)/$D176))*$C176</f>
        <v>0.0</v>
      </c>
      <c r="G176" s="44">
        <f>(INT($E$25*3/$D176)-INT($E$25*(3-1)/$D176))*$C176</f>
        <v>2.8352</v>
      </c>
      <c r="H176" s="44">
        <f>(INT($E$25*4/$D176)-INT($E$25*(4-1)/$D176))*$C176</f>
        <v>0.0</v>
      </c>
      <c r="I176" s="44">
        <f>(INT($E$25*5/$D176)-INT($E$25*(5-1)/$D176))*$C176</f>
        <v>0.0</v>
      </c>
      <c r="J176" s="44">
        <f>(INT($E$25*6/$D176)-INT($E$25*(6-1)/$D176))*$C176</f>
        <v>2.8352</v>
      </c>
      <c r="K176" s="44">
        <f>(INT($E$25*7/$D176)-INT($E$25*(7-1)/$D176))*$C176</f>
        <v>0.0</v>
      </c>
      <c r="L176" s="44">
        <f>(INT($E$25*8/$D176)-INT($E$25*(8-1)/$D176))*$C176</f>
        <v>0.0</v>
      </c>
      <c r="M176" s="44">
        <f>(INT($E$25*9/$D176)-INT($E$25*(9-1)/$D176))*$C176</f>
        <v>2.8352</v>
      </c>
      <c r="N176" s="44">
        <f>(INT($E$25*10/$D176)-INT($E$25*(10-1)/$D176))*$C176</f>
        <v>0.0</v>
      </c>
    </row>
    <row r="177">
      <c r="B177" s="22" t="inlineStr">
        <is>
          <t>Пылезащитное кольцо (5)</t>
        </is>
      </c>
      <c r="C177" s="43" t="n">
        <v>0.7822</v>
      </c>
      <c r="D177" s="45" t="n">
        <v>21000</v>
      </c>
      <c r="E177" s="44">
        <f>(INT($E$25*1/$D177)-INT($E$25*(1-1)/$D177))*$C177</f>
        <v>0.0</v>
      </c>
      <c r="F177" s="44">
        <f>(INT($E$25*2/$D177)-INT($E$25*(2-1)/$D177))*$C177</f>
        <v>0.0</v>
      </c>
      <c r="G177" s="44">
        <f>(INT($E$25*3/$D177)-INT($E$25*(3-1)/$D177))*$C177</f>
        <v>0.7822</v>
      </c>
      <c r="H177" s="44">
        <f>(INT($E$25*4/$D177)-INT($E$25*(4-1)/$D177))*$C177</f>
        <v>0.0</v>
      </c>
      <c r="I177" s="44">
        <f>(INT($E$25*5/$D177)-INT($E$25*(5-1)/$D177))*$C177</f>
        <v>0.0</v>
      </c>
      <c r="J177" s="44">
        <f>(INT($E$25*6/$D177)-INT($E$25*(6-1)/$D177))*$C177</f>
        <v>0.7822</v>
      </c>
      <c r="K177" s="44">
        <f>(INT($E$25*7/$D177)-INT($E$25*(7-1)/$D177))*$C177</f>
        <v>0.0</v>
      </c>
      <c r="L177" s="44">
        <f>(INT($E$25*8/$D177)-INT($E$25*(8-1)/$D177))*$C177</f>
        <v>0.0</v>
      </c>
      <c r="M177" s="44">
        <f>(INT($E$25*9/$D177)-INT($E$25*(9-1)/$D177))*$C177</f>
        <v>0.7822</v>
      </c>
      <c r="N177" s="44">
        <f>(INT($E$25*10/$D177)-INT($E$25*(10-1)/$D177))*$C177</f>
        <v>0.0</v>
      </c>
    </row>
    <row r="178">
      <c r="B178" s="22" t="inlineStr">
        <is>
          <t>Втулка (18)</t>
        </is>
      </c>
      <c r="C178" s="43" t="n">
        <v>2.8352</v>
      </c>
      <c r="D178" s="45" t="n">
        <v>21000</v>
      </c>
      <c r="E178" s="44">
        <f>(INT($E$25*1/$D178)-INT($E$25*(1-1)/$D178))*$C178</f>
        <v>0.0</v>
      </c>
      <c r="F178" s="44">
        <f>(INT($E$25*2/$D178)-INT($E$25*(2-1)/$D178))*$C178</f>
        <v>0.0</v>
      </c>
      <c r="G178" s="44">
        <f>(INT($E$25*3/$D178)-INT($E$25*(3-1)/$D178))*$C178</f>
        <v>2.8352</v>
      </c>
      <c r="H178" s="44">
        <f>(INT($E$25*4/$D178)-INT($E$25*(4-1)/$D178))*$C178</f>
        <v>0.0</v>
      </c>
      <c r="I178" s="44">
        <f>(INT($E$25*5/$D178)-INT($E$25*(5-1)/$D178))*$C178</f>
        <v>0.0</v>
      </c>
      <c r="J178" s="44">
        <f>(INT($E$25*6/$D178)-INT($E$25*(6-1)/$D178))*$C178</f>
        <v>2.8352</v>
      </c>
      <c r="K178" s="44">
        <f>(INT($E$25*7/$D178)-INT($E$25*(7-1)/$D178))*$C178</f>
        <v>0.0</v>
      </c>
      <c r="L178" s="44">
        <f>(INT($E$25*8/$D178)-INT($E$25*(8-1)/$D178))*$C178</f>
        <v>0.0</v>
      </c>
      <c r="M178" s="44">
        <f>(INT($E$25*9/$D178)-INT($E$25*(9-1)/$D178))*$C178</f>
        <v>2.8352</v>
      </c>
      <c r="N178" s="44">
        <f>(INT($E$25*10/$D178)-INT($E$25*(10-1)/$D178))*$C178</f>
        <v>0.0</v>
      </c>
    </row>
    <row r="179">
      <c r="B179" s="22" t="inlineStr">
        <is>
          <t>Распорка (4)</t>
        </is>
      </c>
      <c r="C179" s="43" t="n">
        <v>0.4477</v>
      </c>
      <c r="D179" s="45" t="n">
        <v>21000</v>
      </c>
      <c r="E179" s="44">
        <f>(INT($E$25*1/$D179)-INT($E$25*(1-1)/$D179))*$C179</f>
        <v>0.0</v>
      </c>
      <c r="F179" s="44">
        <f>(INT($E$25*2/$D179)-INT($E$25*(2-1)/$D179))*$C179</f>
        <v>0.0</v>
      </c>
      <c r="G179" s="44">
        <f>(INT($E$25*3/$D179)-INT($E$25*(3-1)/$D179))*$C179</f>
        <v>0.4477</v>
      </c>
      <c r="H179" s="44">
        <f>(INT($E$25*4/$D179)-INT($E$25*(4-1)/$D179))*$C179</f>
        <v>0.0</v>
      </c>
      <c r="I179" s="44">
        <f>(INT($E$25*5/$D179)-INT($E$25*(5-1)/$D179))*$C179</f>
        <v>0.0</v>
      </c>
      <c r="J179" s="44">
        <f>(INT($E$25*6/$D179)-INT($E$25*(6-1)/$D179))*$C179</f>
        <v>0.4477</v>
      </c>
      <c r="K179" s="44">
        <f>(INT($E$25*7/$D179)-INT($E$25*(7-1)/$D179))*$C179</f>
        <v>0.0</v>
      </c>
      <c r="L179" s="44">
        <f>(INT($E$25*8/$D179)-INT($E$25*(8-1)/$D179))*$C179</f>
        <v>0.0</v>
      </c>
      <c r="M179" s="44">
        <f>(INT($E$25*9/$D179)-INT($E$25*(9-1)/$D179))*$C179</f>
        <v>0.4477</v>
      </c>
      <c r="N179" s="44">
        <f>(INT($E$25*10/$D179)-INT($E$25*(10-1)/$D179))*$C179</f>
        <v>0.0</v>
      </c>
    </row>
    <row r="180">
      <c r="B180" s="46" t="inlineStr">
        <is>
          <t>ИТОГО</t>
        </is>
      </c>
      <c r="E180" s="44">
        <f>SUM(E85:E179)</f>
        <v>140.13049999999998</v>
      </c>
      <c r="F180" s="44">
        <f>SUM(F85:F179)</f>
        <v>558.1233</v>
      </c>
      <c r="G180" s="44">
        <f>SUM(G85:G179)</f>
        <v>232.80889999999997</v>
      </c>
      <c r="H180" s="44">
        <f>SUM(H85:H179)</f>
        <v>558.1233</v>
      </c>
      <c r="I180" s="44">
        <f>SUM(I85:I179)</f>
        <v>140.13049999999998</v>
      </c>
      <c r="J180" s="44">
        <f>SUM(J85:J179)</f>
        <v>650.8017</v>
      </c>
      <c r="K180" s="44">
        <f>SUM(K85:K179)</f>
        <v>140.13049999999998</v>
      </c>
      <c r="L180" s="44">
        <f>SUM(L85:L179)</f>
        <v>558.1233</v>
      </c>
      <c r="M180" s="44">
        <f>SUM(M85:M179)</f>
        <v>232.80889999999997</v>
      </c>
      <c r="N180" s="44">
        <f>SUM(N85:N179)</f>
        <v>558.1233</v>
      </c>
    </row>
    <row r="182">
      <c r="B182" s="5" t="inlineStr">
        <is>
          <t>ТЕКУЩИЕ РЕМОНТЫ — ТРУДОЗАТРАТЫ (по ресурсу замены)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B183" s="15" t="inlineStr">
        <is>
          <t>Наименование</t>
        </is>
      </c>
      <c r="C183" s="15" t="inlineStr">
        <is>
          <t>нормо-час/событие</t>
        </is>
      </c>
      <c r="D183" s="15" t="inlineStr">
        <is>
          <t>ресурс, м/ч</t>
        </is>
      </c>
      <c r="E183" s="15" t="inlineStr">
        <is>
          <t>год 1</t>
        </is>
      </c>
      <c r="F183" s="15" t="inlineStr">
        <is>
          <t>год 2</t>
        </is>
      </c>
      <c r="G183" s="15" t="inlineStr">
        <is>
          <t>год 3</t>
        </is>
      </c>
      <c r="H183" s="15" t="inlineStr">
        <is>
          <t>год 4</t>
        </is>
      </c>
      <c r="I183" s="15" t="inlineStr">
        <is>
          <t>год 5</t>
        </is>
      </c>
      <c r="J183" s="15" t="inlineStr">
        <is>
          <t>год 6</t>
        </is>
      </c>
      <c r="K183" s="15" t="inlineStr">
        <is>
          <t>год 7</t>
        </is>
      </c>
      <c r="L183" s="15" t="inlineStr">
        <is>
          <t>год 8</t>
        </is>
      </c>
      <c r="M183" s="15" t="inlineStr">
        <is>
          <t>год 9</t>
        </is>
      </c>
      <c r="N183" s="15" t="inlineStr">
        <is>
          <t>год 10</t>
        </is>
      </c>
    </row>
    <row r="184">
      <c r="B184" s="22" t="inlineStr">
        <is>
          <t>Замена опорных катков(комплект)</t>
        </is>
      </c>
      <c r="C184" s="43" t="n">
        <v>8</v>
      </c>
      <c r="D184" s="45" t="n">
        <v>14000</v>
      </c>
      <c r="E184" s="44">
        <f>(INT($E$25*1/$D184)-INT($E$25*(1-1)/$D184))*$C184</f>
        <v>0.0</v>
      </c>
      <c r="F184" s="44">
        <f>(INT($E$25*2/$D184)-INT($E$25*(2-1)/$D184))*$C184</f>
        <v>8.0</v>
      </c>
      <c r="G184" s="44">
        <f>(INT($E$25*3/$D184)-INT($E$25*(3-1)/$D184))*$C184</f>
        <v>0.0</v>
      </c>
      <c r="H184" s="44">
        <f>(INT($E$25*4/$D184)-INT($E$25*(4-1)/$D184))*$C184</f>
        <v>8.0</v>
      </c>
      <c r="I184" s="44">
        <f>(INT($E$25*5/$D184)-INT($E$25*(5-1)/$D184))*$C184</f>
        <v>0.0</v>
      </c>
      <c r="J184" s="44">
        <f>(INT($E$25*6/$D184)-INT($E$25*(6-1)/$D184))*$C184</f>
        <v>8.0</v>
      </c>
      <c r="K184" s="44">
        <f>(INT($E$25*7/$D184)-INT($E$25*(7-1)/$D184))*$C184</f>
        <v>0.0</v>
      </c>
      <c r="L184" s="44">
        <f>(INT($E$25*8/$D184)-INT($E$25*(8-1)/$D184))*$C184</f>
        <v>8.0</v>
      </c>
      <c r="M184" s="44">
        <f>(INT($E$25*9/$D184)-INT($E$25*(9-1)/$D184))*$C184</f>
        <v>0.0</v>
      </c>
      <c r="N184" s="44">
        <f>(INT($E$25*10/$D184)-INT($E$25*(10-1)/$D184))*$C184</f>
        <v>8.0</v>
      </c>
    </row>
    <row r="185">
      <c r="B185" s="22" t="inlineStr">
        <is>
          <t>Замена направляющих колес</t>
        </is>
      </c>
      <c r="C185" s="43" t="n">
        <v>8</v>
      </c>
      <c r="D185" s="45" t="n">
        <v>14000</v>
      </c>
      <c r="E185" s="44">
        <f>(INT($E$25*1/$D185)-INT($E$25*(1-1)/$D185))*$C185</f>
        <v>0.0</v>
      </c>
      <c r="F185" s="44">
        <f>(INT($E$25*2/$D185)-INT($E$25*(2-1)/$D185))*$C185</f>
        <v>8.0</v>
      </c>
      <c r="G185" s="44">
        <f>(INT($E$25*3/$D185)-INT($E$25*(3-1)/$D185))*$C185</f>
        <v>0.0</v>
      </c>
      <c r="H185" s="44">
        <f>(INT($E$25*4/$D185)-INT($E$25*(4-1)/$D185))*$C185</f>
        <v>8.0</v>
      </c>
      <c r="I185" s="44">
        <f>(INT($E$25*5/$D185)-INT($E$25*(5-1)/$D185))*$C185</f>
        <v>0.0</v>
      </c>
      <c r="J185" s="44">
        <f>(INT($E$25*6/$D185)-INT($E$25*(6-1)/$D185))*$C185</f>
        <v>8.0</v>
      </c>
      <c r="K185" s="44">
        <f>(INT($E$25*7/$D185)-INT($E$25*(7-1)/$D185))*$C185</f>
        <v>0.0</v>
      </c>
      <c r="L185" s="44">
        <f>(INT($E$25*8/$D185)-INT($E$25*(8-1)/$D185))*$C185</f>
        <v>8.0</v>
      </c>
      <c r="M185" s="44">
        <f>(INT($E$25*9/$D185)-INT($E$25*(9-1)/$D185))*$C185</f>
        <v>0.0</v>
      </c>
      <c r="N185" s="44">
        <f>(INT($E$25*10/$D185)-INT($E$25*(10-1)/$D185))*$C185</f>
        <v>8.0</v>
      </c>
    </row>
    <row r="186">
      <c r="B186" s="22" t="inlineStr">
        <is>
          <t>Замена звездочек</t>
        </is>
      </c>
      <c r="C186" s="43" t="n">
        <v>18</v>
      </c>
      <c r="D186" s="45" t="n">
        <v>14000</v>
      </c>
      <c r="E186" s="44">
        <f>(INT($E$25*1/$D186)-INT($E$25*(1-1)/$D186))*$C186</f>
        <v>0.0</v>
      </c>
      <c r="F186" s="44">
        <f>(INT($E$25*2/$D186)-INT($E$25*(2-1)/$D186))*$C186</f>
        <v>18.0</v>
      </c>
      <c r="G186" s="44">
        <f>(INT($E$25*3/$D186)-INT($E$25*(3-1)/$D186))*$C186</f>
        <v>0.0</v>
      </c>
      <c r="H186" s="44">
        <f>(INT($E$25*4/$D186)-INT($E$25*(4-1)/$D186))*$C186</f>
        <v>18.0</v>
      </c>
      <c r="I186" s="44">
        <f>(INT($E$25*5/$D186)-INT($E$25*(5-1)/$D186))*$C186</f>
        <v>0.0</v>
      </c>
      <c r="J186" s="44">
        <f>(INT($E$25*6/$D186)-INT($E$25*(6-1)/$D186))*$C186</f>
        <v>18.0</v>
      </c>
      <c r="K186" s="44">
        <f>(INT($E$25*7/$D186)-INT($E$25*(7-1)/$D186))*$C186</f>
        <v>0.0</v>
      </c>
      <c r="L186" s="44">
        <f>(INT($E$25*8/$D186)-INT($E$25*(8-1)/$D186))*$C186</f>
        <v>18.0</v>
      </c>
      <c r="M186" s="44">
        <f>(INT($E$25*9/$D186)-INT($E$25*(9-1)/$D186))*$C186</f>
        <v>0.0</v>
      </c>
      <c r="N186" s="44">
        <f>(INT($E$25*10/$D186)-INT($E$25*(10-1)/$D186))*$C186</f>
        <v>18.0</v>
      </c>
    </row>
    <row r="187">
      <c r="B187" s="22" t="inlineStr">
        <is>
          <t>Замена поддерживающих катков</t>
        </is>
      </c>
      <c r="C187" s="43" t="n">
        <v>6</v>
      </c>
      <c r="D187" s="45" t="n">
        <v>14000</v>
      </c>
      <c r="E187" s="44">
        <f>(INT($E$25*1/$D187)-INT($E$25*(1-1)/$D187))*$C187</f>
        <v>0.0</v>
      </c>
      <c r="F187" s="44">
        <f>(INT($E$25*2/$D187)-INT($E$25*(2-1)/$D187))*$C187</f>
        <v>6.0</v>
      </c>
      <c r="G187" s="44">
        <f>(INT($E$25*3/$D187)-INT($E$25*(3-1)/$D187))*$C187</f>
        <v>0.0</v>
      </c>
      <c r="H187" s="44">
        <f>(INT($E$25*4/$D187)-INT($E$25*(4-1)/$D187))*$C187</f>
        <v>6.0</v>
      </c>
      <c r="I187" s="44">
        <f>(INT($E$25*5/$D187)-INT($E$25*(5-1)/$D187))*$C187</f>
        <v>0.0</v>
      </c>
      <c r="J187" s="44">
        <f>(INT($E$25*6/$D187)-INT($E$25*(6-1)/$D187))*$C187</f>
        <v>6.0</v>
      </c>
      <c r="K187" s="44">
        <f>(INT($E$25*7/$D187)-INT($E$25*(7-1)/$D187))*$C187</f>
        <v>0.0</v>
      </c>
      <c r="L187" s="44">
        <f>(INT($E$25*8/$D187)-INT($E$25*(8-1)/$D187))*$C187</f>
        <v>6.0</v>
      </c>
      <c r="M187" s="44">
        <f>(INT($E$25*9/$D187)-INT($E$25*(9-1)/$D187))*$C187</f>
        <v>0.0</v>
      </c>
      <c r="N187" s="44">
        <f>(INT($E$25*10/$D187)-INT($E$25*(10-1)/$D187))*$C187</f>
        <v>6.0</v>
      </c>
    </row>
    <row r="188">
      <c r="B188" s="22" t="inlineStr">
        <is>
          <t>Замена натяжных гидроцилиндров</t>
        </is>
      </c>
      <c r="C188" s="43" t="n">
        <v>12</v>
      </c>
      <c r="D188" s="45" t="n">
        <v>14000</v>
      </c>
      <c r="E188" s="44">
        <f>(INT($E$25*1/$D188)-INT($E$25*(1-1)/$D188))*$C188</f>
        <v>0.0</v>
      </c>
      <c r="F188" s="44">
        <f>(INT($E$25*2/$D188)-INT($E$25*(2-1)/$D188))*$C188</f>
        <v>12.0</v>
      </c>
      <c r="G188" s="44">
        <f>(INT($E$25*3/$D188)-INT($E$25*(3-1)/$D188))*$C188</f>
        <v>0.0</v>
      </c>
      <c r="H188" s="44">
        <f>(INT($E$25*4/$D188)-INT($E$25*(4-1)/$D188))*$C188</f>
        <v>12.0</v>
      </c>
      <c r="I188" s="44">
        <f>(INT($E$25*5/$D188)-INT($E$25*(5-1)/$D188))*$C188</f>
        <v>0.0</v>
      </c>
      <c r="J188" s="44">
        <f>(INT($E$25*6/$D188)-INT($E$25*(6-1)/$D188))*$C188</f>
        <v>12.0</v>
      </c>
      <c r="K188" s="44">
        <f>(INT($E$25*7/$D188)-INT($E$25*(7-1)/$D188))*$C188</f>
        <v>0.0</v>
      </c>
      <c r="L188" s="44">
        <f>(INT($E$25*8/$D188)-INT($E$25*(8-1)/$D188))*$C188</f>
        <v>12.0</v>
      </c>
      <c r="M188" s="44">
        <f>(INT($E$25*9/$D188)-INT($E$25*(9-1)/$D188))*$C188</f>
        <v>0.0</v>
      </c>
      <c r="N188" s="44">
        <f>(INT($E$25*10/$D188)-INT($E$25*(10-1)/$D188))*$C188</f>
        <v>12.0</v>
      </c>
    </row>
    <row r="189">
      <c r="B189" s="22" t="inlineStr">
        <is>
          <t>Замена гусеничных цепей</t>
        </is>
      </c>
      <c r="C189" s="43" t="n">
        <v>16</v>
      </c>
      <c r="D189" s="45" t="n">
        <v>14000</v>
      </c>
      <c r="E189" s="44">
        <f>(INT($E$25*1/$D189)-INT($E$25*(1-1)/$D189))*$C189</f>
        <v>0.0</v>
      </c>
      <c r="F189" s="44">
        <f>(INT($E$25*2/$D189)-INT($E$25*(2-1)/$D189))*$C189</f>
        <v>16.0</v>
      </c>
      <c r="G189" s="44">
        <f>(INT($E$25*3/$D189)-INT($E$25*(3-1)/$D189))*$C189</f>
        <v>0.0</v>
      </c>
      <c r="H189" s="44">
        <f>(INT($E$25*4/$D189)-INT($E$25*(4-1)/$D189))*$C189</f>
        <v>16.0</v>
      </c>
      <c r="I189" s="44">
        <f>(INT($E$25*5/$D189)-INT($E$25*(5-1)/$D189))*$C189</f>
        <v>0.0</v>
      </c>
      <c r="J189" s="44">
        <f>(INT($E$25*6/$D189)-INT($E$25*(6-1)/$D189))*$C189</f>
        <v>16.0</v>
      </c>
      <c r="K189" s="44">
        <f>(INT($E$25*7/$D189)-INT($E$25*(7-1)/$D189))*$C189</f>
        <v>0.0</v>
      </c>
      <c r="L189" s="44">
        <f>(INT($E$25*8/$D189)-INT($E$25*(8-1)/$D189))*$C189</f>
        <v>16.0</v>
      </c>
      <c r="M189" s="44">
        <f>(INT($E$25*9/$D189)-INT($E$25*(9-1)/$D189))*$C189</f>
        <v>0.0</v>
      </c>
      <c r="N189" s="44">
        <f>(INT($E$25*10/$D189)-INT($E$25*(10-1)/$D189))*$C189</f>
        <v>16.0</v>
      </c>
    </row>
    <row r="190">
      <c r="B190" s="22" t="inlineStr">
        <is>
          <t>Замена коронок (флэт-годовой расход)</t>
        </is>
      </c>
      <c r="C190" s="43" t="n">
        <v>8</v>
      </c>
      <c r="D190" s="45" t="n">
        <v>7000</v>
      </c>
      <c r="E190" s="44">
        <f>(INT($E$25*1/$D190)-INT($E$25*(1-1)/$D190))*$C190</f>
        <v>8.0</v>
      </c>
      <c r="F190" s="44">
        <f>(INT($E$25*2/$D190)-INT($E$25*(2-1)/$D190))*$C190</f>
        <v>8.0</v>
      </c>
      <c r="G190" s="44">
        <f>(INT($E$25*3/$D190)-INT($E$25*(3-1)/$D190))*$C190</f>
        <v>8.0</v>
      </c>
      <c r="H190" s="44">
        <f>(INT($E$25*4/$D190)-INT($E$25*(4-1)/$D190))*$C190</f>
        <v>8.0</v>
      </c>
      <c r="I190" s="44">
        <f>(INT($E$25*5/$D190)-INT($E$25*(5-1)/$D190))*$C190</f>
        <v>8.0</v>
      </c>
      <c r="J190" s="44">
        <f>(INT($E$25*6/$D190)-INT($E$25*(6-1)/$D190))*$C190</f>
        <v>8.0</v>
      </c>
      <c r="K190" s="44">
        <f>(INT($E$25*7/$D190)-INT($E$25*(7-1)/$D190))*$C190</f>
        <v>8.0</v>
      </c>
      <c r="L190" s="44">
        <f>(INT($E$25*8/$D190)-INT($E$25*(8-1)/$D190))*$C190</f>
        <v>8.0</v>
      </c>
      <c r="M190" s="44">
        <f>(INT($E$25*9/$D190)-INT($E$25*(9-1)/$D190))*$C190</f>
        <v>8.0</v>
      </c>
      <c r="N190" s="44">
        <f>(INT($E$25*10/$D190)-INT($E$25*(10-1)/$D190))*$C190</f>
        <v>8.0</v>
      </c>
    </row>
    <row r="191">
      <c r="B191" s="22" t="inlineStr">
        <is>
          <t>Замена адаптеров ,межзубьевых защит ,противоизносных пластин,сварочные работы ковша</t>
        </is>
      </c>
      <c r="C191" s="43" t="n">
        <v>40</v>
      </c>
      <c r="D191" s="45" t="n">
        <v>7000</v>
      </c>
      <c r="E191" s="44">
        <f>(INT($E$25*1/$D191)-INT($E$25*(1-1)/$D191))*$C191</f>
        <v>40.0</v>
      </c>
      <c r="F191" s="44">
        <f>(INT($E$25*2/$D191)-INT($E$25*(2-1)/$D191))*$C191</f>
        <v>40.0</v>
      </c>
      <c r="G191" s="44">
        <f>(INT($E$25*3/$D191)-INT($E$25*(3-1)/$D191))*$C191</f>
        <v>40.0</v>
      </c>
      <c r="H191" s="44">
        <f>(INT($E$25*4/$D191)-INT($E$25*(4-1)/$D191))*$C191</f>
        <v>40.0</v>
      </c>
      <c r="I191" s="44">
        <f>(INT($E$25*5/$D191)-INT($E$25*(5-1)/$D191))*$C191</f>
        <v>40.0</v>
      </c>
      <c r="J191" s="44">
        <f>(INT($E$25*6/$D191)-INT($E$25*(6-1)/$D191))*$C191</f>
        <v>40.0</v>
      </c>
      <c r="K191" s="44">
        <f>(INT($E$25*7/$D191)-INT($E$25*(7-1)/$D191))*$C191</f>
        <v>40.0</v>
      </c>
      <c r="L191" s="44">
        <f>(INT($E$25*8/$D191)-INT($E$25*(8-1)/$D191))*$C191</f>
        <v>40.0</v>
      </c>
      <c r="M191" s="44">
        <f>(INT($E$25*9/$D191)-INT($E$25*(9-1)/$D191))*$C191</f>
        <v>40.0</v>
      </c>
      <c r="N191" s="44">
        <f>(INT($E$25*10/$D191)-INT($E$25*(10-1)/$D191))*$C191</f>
        <v>40.0</v>
      </c>
    </row>
    <row r="192">
      <c r="B192" s="22" t="inlineStr">
        <is>
          <t>Замена уплотнений гидроцилиндра ковша(2 шт.)</t>
        </is>
      </c>
      <c r="C192" s="43" t="n">
        <v>48</v>
      </c>
      <c r="D192" s="45" t="n">
        <v>7000</v>
      </c>
      <c r="E192" s="44">
        <f>(INT($E$25*1/$D192)-INT($E$25*(1-1)/$D192))*$C192</f>
        <v>48.0</v>
      </c>
      <c r="F192" s="44">
        <f>(INT($E$25*2/$D192)-INT($E$25*(2-1)/$D192))*$C192</f>
        <v>48.0</v>
      </c>
      <c r="G192" s="44">
        <f>(INT($E$25*3/$D192)-INT($E$25*(3-1)/$D192))*$C192</f>
        <v>48.0</v>
      </c>
      <c r="H192" s="44">
        <f>(INT($E$25*4/$D192)-INT($E$25*(4-1)/$D192))*$C192</f>
        <v>48.0</v>
      </c>
      <c r="I192" s="44">
        <f>(INT($E$25*5/$D192)-INT($E$25*(5-1)/$D192))*$C192</f>
        <v>48.0</v>
      </c>
      <c r="J192" s="44">
        <f>(INT($E$25*6/$D192)-INT($E$25*(6-1)/$D192))*$C192</f>
        <v>48.0</v>
      </c>
      <c r="K192" s="44">
        <f>(INT($E$25*7/$D192)-INT($E$25*(7-1)/$D192))*$C192</f>
        <v>48.0</v>
      </c>
      <c r="L192" s="44">
        <f>(INT($E$25*8/$D192)-INT($E$25*(8-1)/$D192))*$C192</f>
        <v>48.0</v>
      </c>
      <c r="M192" s="44">
        <f>(INT($E$25*9/$D192)-INT($E$25*(9-1)/$D192))*$C192</f>
        <v>48.0</v>
      </c>
      <c r="N192" s="44">
        <f>(INT($E$25*10/$D192)-INT($E$25*(10-1)/$D192))*$C192</f>
        <v>48.0</v>
      </c>
    </row>
    <row r="193">
      <c r="B193" s="22" t="inlineStr">
        <is>
          <t>Замена уплотнений гидроцилиндра рукояти(2 шт.)</t>
        </is>
      </c>
      <c r="C193" s="43" t="n">
        <v>52</v>
      </c>
      <c r="D193" s="45" t="n">
        <v>7000</v>
      </c>
      <c r="E193" s="44">
        <f>(INT($E$25*1/$D193)-INT($E$25*(1-1)/$D193))*$C193</f>
        <v>52.0</v>
      </c>
      <c r="F193" s="44">
        <f>(INT($E$25*2/$D193)-INT($E$25*(2-1)/$D193))*$C193</f>
        <v>52.0</v>
      </c>
      <c r="G193" s="44">
        <f>(INT($E$25*3/$D193)-INT($E$25*(3-1)/$D193))*$C193</f>
        <v>52.0</v>
      </c>
      <c r="H193" s="44">
        <f>(INT($E$25*4/$D193)-INT($E$25*(4-1)/$D193))*$C193</f>
        <v>52.0</v>
      </c>
      <c r="I193" s="44">
        <f>(INT($E$25*5/$D193)-INT($E$25*(5-1)/$D193))*$C193</f>
        <v>52.0</v>
      </c>
      <c r="J193" s="44">
        <f>(INT($E$25*6/$D193)-INT($E$25*(6-1)/$D193))*$C193</f>
        <v>52.0</v>
      </c>
      <c r="K193" s="44">
        <f>(INT($E$25*7/$D193)-INT($E$25*(7-1)/$D193))*$C193</f>
        <v>52.0</v>
      </c>
      <c r="L193" s="44">
        <f>(INT($E$25*8/$D193)-INT($E$25*(8-1)/$D193))*$C193</f>
        <v>52.0</v>
      </c>
      <c r="M193" s="44">
        <f>(INT($E$25*9/$D193)-INT($E$25*(9-1)/$D193))*$C193</f>
        <v>52.0</v>
      </c>
      <c r="N193" s="44">
        <f>(INT($E$25*10/$D193)-INT($E$25*(10-1)/$D193))*$C193</f>
        <v>52.0</v>
      </c>
    </row>
    <row r="194">
      <c r="B194" s="22" t="inlineStr">
        <is>
          <t>Замена уплотнений гидроцилиндра стрелы(2 шт.)</t>
        </is>
      </c>
      <c r="C194" s="43" t="n">
        <v>52</v>
      </c>
      <c r="D194" s="45" t="n">
        <v>7000</v>
      </c>
      <c r="E194" s="44">
        <f>(INT($E$25*1/$D194)-INT($E$25*(1-1)/$D194))*$C194</f>
        <v>52.0</v>
      </c>
      <c r="F194" s="44">
        <f>(INT($E$25*2/$D194)-INT($E$25*(2-1)/$D194))*$C194</f>
        <v>52.0</v>
      </c>
      <c r="G194" s="44">
        <f>(INT($E$25*3/$D194)-INT($E$25*(3-1)/$D194))*$C194</f>
        <v>52.0</v>
      </c>
      <c r="H194" s="44">
        <f>(INT($E$25*4/$D194)-INT($E$25*(4-1)/$D194))*$C194</f>
        <v>52.0</v>
      </c>
      <c r="I194" s="44">
        <f>(INT($E$25*5/$D194)-INT($E$25*(5-1)/$D194))*$C194</f>
        <v>52.0</v>
      </c>
      <c r="J194" s="44">
        <f>(INT($E$25*6/$D194)-INT($E$25*(6-1)/$D194))*$C194</f>
        <v>52.0</v>
      </c>
      <c r="K194" s="44">
        <f>(INT($E$25*7/$D194)-INT($E$25*(7-1)/$D194))*$C194</f>
        <v>52.0</v>
      </c>
      <c r="L194" s="44">
        <f>(INT($E$25*8/$D194)-INT($E$25*(8-1)/$D194))*$C194</f>
        <v>52.0</v>
      </c>
      <c r="M194" s="44">
        <f>(INT($E$25*9/$D194)-INT($E$25*(9-1)/$D194))*$C194</f>
        <v>52.0</v>
      </c>
      <c r="N194" s="44">
        <f>(INT($E$25*10/$D194)-INT($E$25*(10-1)/$D194))*$C194</f>
        <v>52.0</v>
      </c>
    </row>
    <row r="195">
      <c r="B195" s="22" t="inlineStr">
        <is>
          <t>Замена пальцев -втулок рабочего оборудования</t>
        </is>
      </c>
      <c r="C195" s="43" t="n">
        <v>230</v>
      </c>
      <c r="D195" s="45" t="n">
        <v>14000</v>
      </c>
      <c r="E195" s="44">
        <f>(INT($E$25*1/$D195)-INT($E$25*(1-1)/$D195))*$C195</f>
        <v>0.0</v>
      </c>
      <c r="F195" s="44">
        <f>(INT($E$25*2/$D195)-INT($E$25*(2-1)/$D195))*$C195</f>
        <v>230.0</v>
      </c>
      <c r="G195" s="44">
        <f>(INT($E$25*3/$D195)-INT($E$25*(3-1)/$D195))*$C195</f>
        <v>0.0</v>
      </c>
      <c r="H195" s="44">
        <f>(INT($E$25*4/$D195)-INT($E$25*(4-1)/$D195))*$C195</f>
        <v>230.0</v>
      </c>
      <c r="I195" s="44">
        <f>(INT($E$25*5/$D195)-INT($E$25*(5-1)/$D195))*$C195</f>
        <v>0.0</v>
      </c>
      <c r="J195" s="44">
        <f>(INT($E$25*6/$D195)-INT($E$25*(6-1)/$D195))*$C195</f>
        <v>230.0</v>
      </c>
      <c r="K195" s="44">
        <f>(INT($E$25*7/$D195)-INT($E$25*(7-1)/$D195))*$C195</f>
        <v>0.0</v>
      </c>
      <c r="L195" s="44">
        <f>(INT($E$25*8/$D195)-INT($E$25*(8-1)/$D195))*$C195</f>
        <v>230.0</v>
      </c>
      <c r="M195" s="44">
        <f>(INT($E$25*9/$D195)-INT($E$25*(9-1)/$D195))*$C195</f>
        <v>0.0</v>
      </c>
      <c r="N195" s="44">
        <f>(INT($E$25*10/$D195)-INT($E$25*(10-1)/$D195))*$C195</f>
        <v>230.0</v>
      </c>
    </row>
    <row r="196">
      <c r="B196" s="22" t="inlineStr">
        <is>
          <t>Замена втулок на корпусе и штоке гидроцилиндра ковша( 2 шт.)</t>
        </is>
      </c>
      <c r="C196" s="43" t="n">
        <v>8</v>
      </c>
      <c r="D196" s="45" t="n">
        <v>14000</v>
      </c>
      <c r="E196" s="44">
        <f>(INT($E$25*1/$D196)-INT($E$25*(1-1)/$D196))*$C196</f>
        <v>0.0</v>
      </c>
      <c r="F196" s="44">
        <f>(INT($E$25*2/$D196)-INT($E$25*(2-1)/$D196))*$C196</f>
        <v>8.0</v>
      </c>
      <c r="G196" s="44">
        <f>(INT($E$25*3/$D196)-INT($E$25*(3-1)/$D196))*$C196</f>
        <v>0.0</v>
      </c>
      <c r="H196" s="44">
        <f>(INT($E$25*4/$D196)-INT($E$25*(4-1)/$D196))*$C196</f>
        <v>8.0</v>
      </c>
      <c r="I196" s="44">
        <f>(INT($E$25*5/$D196)-INT($E$25*(5-1)/$D196))*$C196</f>
        <v>0.0</v>
      </c>
      <c r="J196" s="44">
        <f>(INT($E$25*6/$D196)-INT($E$25*(6-1)/$D196))*$C196</f>
        <v>8.0</v>
      </c>
      <c r="K196" s="44">
        <f>(INT($E$25*7/$D196)-INT($E$25*(7-1)/$D196))*$C196</f>
        <v>0.0</v>
      </c>
      <c r="L196" s="44">
        <f>(INT($E$25*8/$D196)-INT($E$25*(8-1)/$D196))*$C196</f>
        <v>8.0</v>
      </c>
      <c r="M196" s="44">
        <f>(INT($E$25*9/$D196)-INT($E$25*(9-1)/$D196))*$C196</f>
        <v>0.0</v>
      </c>
      <c r="N196" s="44">
        <f>(INT($E$25*10/$D196)-INT($E$25*(10-1)/$D196))*$C196</f>
        <v>8.0</v>
      </c>
    </row>
    <row r="197">
      <c r="B197" s="22" t="inlineStr">
        <is>
          <t>Замена втулок на корпусе и штоке гидроцилиндра рукояти(2 шт.)</t>
        </is>
      </c>
      <c r="C197" s="43" t="n">
        <v>8</v>
      </c>
      <c r="D197" s="45" t="n">
        <v>14000</v>
      </c>
      <c r="E197" s="44">
        <f>(INT($E$25*1/$D197)-INT($E$25*(1-1)/$D197))*$C197</f>
        <v>0.0</v>
      </c>
      <c r="F197" s="44">
        <f>(INT($E$25*2/$D197)-INT($E$25*(2-1)/$D197))*$C197</f>
        <v>8.0</v>
      </c>
      <c r="G197" s="44">
        <f>(INT($E$25*3/$D197)-INT($E$25*(3-1)/$D197))*$C197</f>
        <v>0.0</v>
      </c>
      <c r="H197" s="44">
        <f>(INT($E$25*4/$D197)-INT($E$25*(4-1)/$D197))*$C197</f>
        <v>8.0</v>
      </c>
      <c r="I197" s="44">
        <f>(INT($E$25*5/$D197)-INT($E$25*(5-1)/$D197))*$C197</f>
        <v>0.0</v>
      </c>
      <c r="J197" s="44">
        <f>(INT($E$25*6/$D197)-INT($E$25*(6-1)/$D197))*$C197</f>
        <v>8.0</v>
      </c>
      <c r="K197" s="44">
        <f>(INT($E$25*7/$D197)-INT($E$25*(7-1)/$D197))*$C197</f>
        <v>0.0</v>
      </c>
      <c r="L197" s="44">
        <f>(INT($E$25*8/$D197)-INT($E$25*(8-1)/$D197))*$C197</f>
        <v>8.0</v>
      </c>
      <c r="M197" s="44">
        <f>(INT($E$25*9/$D197)-INT($E$25*(9-1)/$D197))*$C197</f>
        <v>0.0</v>
      </c>
      <c r="N197" s="44">
        <f>(INT($E$25*10/$D197)-INT($E$25*(10-1)/$D197))*$C197</f>
        <v>8.0</v>
      </c>
    </row>
    <row r="198">
      <c r="B198" s="22" t="inlineStr">
        <is>
          <t>Замена втулок на корпусе и штоке гидроцилиндра ковша стрелы(2 шт.)</t>
        </is>
      </c>
      <c r="C198" s="43" t="n">
        <v>8</v>
      </c>
      <c r="D198" s="45" t="n">
        <v>14000</v>
      </c>
      <c r="E198" s="44">
        <f>(INT($E$25*1/$D198)-INT($E$25*(1-1)/$D198))*$C198</f>
        <v>0.0</v>
      </c>
      <c r="F198" s="44">
        <f>(INT($E$25*2/$D198)-INT($E$25*(2-1)/$D198))*$C198</f>
        <v>8.0</v>
      </c>
      <c r="G198" s="44">
        <f>(INT($E$25*3/$D198)-INT($E$25*(3-1)/$D198))*$C198</f>
        <v>0.0</v>
      </c>
      <c r="H198" s="44">
        <f>(INT($E$25*4/$D198)-INT($E$25*(4-1)/$D198))*$C198</f>
        <v>8.0</v>
      </c>
      <c r="I198" s="44">
        <f>(INT($E$25*5/$D198)-INT($E$25*(5-1)/$D198))*$C198</f>
        <v>0.0</v>
      </c>
      <c r="J198" s="44">
        <f>(INT($E$25*6/$D198)-INT($E$25*(6-1)/$D198))*$C198</f>
        <v>8.0</v>
      </c>
      <c r="K198" s="44">
        <f>(INT($E$25*7/$D198)-INT($E$25*(7-1)/$D198))*$C198</f>
        <v>0.0</v>
      </c>
      <c r="L198" s="44">
        <f>(INT($E$25*8/$D198)-INT($E$25*(8-1)/$D198))*$C198</f>
        <v>8.0</v>
      </c>
      <c r="M198" s="44">
        <f>(INT($E$25*9/$D198)-INT($E$25*(9-1)/$D198))*$C198</f>
        <v>0.0</v>
      </c>
      <c r="N198" s="44">
        <f>(INT($E$25*10/$D198)-INT($E$25*(10-1)/$D198))*$C198</f>
        <v>8.0</v>
      </c>
    </row>
    <row r="199">
      <c r="B199" s="46" t="inlineStr">
        <is>
          <t>ИТОГО</t>
        </is>
      </c>
      <c r="E199" s="44">
        <f>SUM(E184:E198)</f>
        <v>200.0</v>
      </c>
      <c r="F199" s="44">
        <f>SUM(F184:F198)</f>
        <v>522.0</v>
      </c>
      <c r="G199" s="44">
        <f>SUM(G184:G198)</f>
        <v>200.0</v>
      </c>
      <c r="H199" s="44">
        <f>SUM(H184:H198)</f>
        <v>522.0</v>
      </c>
      <c r="I199" s="44">
        <f>SUM(I184:I198)</f>
        <v>200.0</v>
      </c>
      <c r="J199" s="44">
        <f>SUM(J184:J198)</f>
        <v>522.0</v>
      </c>
      <c r="K199" s="44">
        <f>SUM(K184:K198)</f>
        <v>200.0</v>
      </c>
      <c r="L199" s="44">
        <f>SUM(L184:L198)</f>
        <v>522.0</v>
      </c>
      <c r="M199" s="44">
        <f>SUM(M184:M198)</f>
        <v>200.0</v>
      </c>
      <c r="N199" s="44">
        <f>SUM(N184:N198)</f>
        <v>522.0</v>
      </c>
    </row>
    <row r="201">
      <c r="B201" s="5" t="inlineStr">
        <is>
          <t>КАПИТАЛЬНЫЕ РЕМОНТЫ (ЦЕХ) — ЗАТРАТЫ НА ЗЧ (по ресурсу до замены узла)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B202" s="15" t="inlineStr">
        <is>
          <t>Наименование</t>
        </is>
      </c>
      <c r="C202" s="15" t="inlineStr">
        <is>
          <t>стоим.замены,тыс</t>
        </is>
      </c>
      <c r="D202" s="15" t="inlineStr">
        <is>
          <t>ресурс, м/ч</t>
        </is>
      </c>
      <c r="E202" s="15" t="inlineStr">
        <is>
          <t>год 1</t>
        </is>
      </c>
      <c r="F202" s="15" t="inlineStr">
        <is>
          <t>год 2</t>
        </is>
      </c>
      <c r="G202" s="15" t="inlineStr">
        <is>
          <t>год 3</t>
        </is>
      </c>
      <c r="H202" s="15" t="inlineStr">
        <is>
          <t>год 4</t>
        </is>
      </c>
      <c r="I202" s="15" t="inlineStr">
        <is>
          <t>год 5</t>
        </is>
      </c>
      <c r="J202" s="15" t="inlineStr">
        <is>
          <t>год 6</t>
        </is>
      </c>
      <c r="K202" s="15" t="inlineStr">
        <is>
          <t>год 7</t>
        </is>
      </c>
      <c r="L202" s="15" t="inlineStr">
        <is>
          <t>год 8</t>
        </is>
      </c>
      <c r="M202" s="15" t="inlineStr">
        <is>
          <t>год 9</t>
        </is>
      </c>
      <c r="N202" s="15" t="inlineStr">
        <is>
          <t>год 10</t>
        </is>
      </c>
    </row>
    <row r="203">
      <c r="B203" s="22" t="inlineStr">
        <is>
          <t>Капитальный ремонт ДВС</t>
        </is>
      </c>
      <c r="C203" s="43" t="n">
        <v>246.936</v>
      </c>
      <c r="D203" s="45" t="n">
        <v>21000</v>
      </c>
      <c r="E203" s="44">
        <f>(INT($E$25*1/$D203)-INT($E$25*(1-1)/$D203))*$C203</f>
        <v>0.0</v>
      </c>
      <c r="F203" s="44">
        <f>(INT($E$25*2/$D203)-INT($E$25*(2-1)/$D203))*$C203</f>
        <v>0.0</v>
      </c>
      <c r="G203" s="44">
        <f>(INT($E$25*3/$D203)-INT($E$25*(3-1)/$D203))*$C203</f>
        <v>246.936</v>
      </c>
      <c r="H203" s="44">
        <f>(INT($E$25*4/$D203)-INT($E$25*(4-1)/$D203))*$C203</f>
        <v>0.0</v>
      </c>
      <c r="I203" s="44">
        <f>(INT($E$25*5/$D203)-INT($E$25*(5-1)/$D203))*$C203</f>
        <v>0.0</v>
      </c>
      <c r="J203" s="44">
        <f>(INT($E$25*6/$D203)-INT($E$25*(6-1)/$D203))*$C203</f>
        <v>246.936</v>
      </c>
      <c r="K203" s="44">
        <f>(INT($E$25*7/$D203)-INT($E$25*(7-1)/$D203))*$C203</f>
        <v>0.0</v>
      </c>
      <c r="L203" s="44">
        <f>(INT($E$25*8/$D203)-INT($E$25*(8-1)/$D203))*$C203</f>
        <v>0.0</v>
      </c>
      <c r="M203" s="44">
        <f>(INT($E$25*9/$D203)-INT($E$25*(9-1)/$D203))*$C203</f>
        <v>246.936</v>
      </c>
      <c r="N203" s="44">
        <f>(INT($E$25*10/$D203)-INT($E$25*(10-1)/$D203))*$C203</f>
        <v>0.0</v>
      </c>
    </row>
    <row r="204">
      <c r="B204" s="22" t="inlineStr">
        <is>
          <t>Поворотный гидромотор</t>
        </is>
      </c>
      <c r="C204" s="43" t="n">
        <v>40.5619</v>
      </c>
      <c r="D204" s="45" t="n">
        <v>21000</v>
      </c>
      <c r="E204" s="44">
        <f>(INT($E$25*1/$D204)-INT($E$25*(1-1)/$D204))*$C204</f>
        <v>0.0</v>
      </c>
      <c r="F204" s="44">
        <f>(INT($E$25*2/$D204)-INT($E$25*(2-1)/$D204))*$C204</f>
        <v>0.0</v>
      </c>
      <c r="G204" s="44">
        <f>(INT($E$25*3/$D204)-INT($E$25*(3-1)/$D204))*$C204</f>
        <v>40.5619</v>
      </c>
      <c r="H204" s="44">
        <f>(INT($E$25*4/$D204)-INT($E$25*(4-1)/$D204))*$C204</f>
        <v>0.0</v>
      </c>
      <c r="I204" s="44">
        <f>(INT($E$25*5/$D204)-INT($E$25*(5-1)/$D204))*$C204</f>
        <v>0.0</v>
      </c>
      <c r="J204" s="44">
        <f>(INT($E$25*6/$D204)-INT($E$25*(6-1)/$D204))*$C204</f>
        <v>40.5619</v>
      </c>
      <c r="K204" s="44">
        <f>(INT($E$25*7/$D204)-INT($E$25*(7-1)/$D204))*$C204</f>
        <v>0.0</v>
      </c>
      <c r="L204" s="44">
        <f>(INT($E$25*8/$D204)-INT($E$25*(8-1)/$D204))*$C204</f>
        <v>0.0</v>
      </c>
      <c r="M204" s="44">
        <f>(INT($E$25*9/$D204)-INT($E$25*(9-1)/$D204))*$C204</f>
        <v>40.5619</v>
      </c>
      <c r="N204" s="44">
        <f>(INT($E$25*10/$D204)-INT($E$25*(10-1)/$D204))*$C204</f>
        <v>0.0</v>
      </c>
    </row>
    <row r="205">
      <c r="B205" s="22" t="inlineStr">
        <is>
          <t>Редуктор поворота</t>
        </is>
      </c>
      <c r="C205" s="43" t="n">
        <v>38.3479</v>
      </c>
      <c r="D205" s="45" t="n">
        <v>21000</v>
      </c>
      <c r="E205" s="44">
        <f>(INT($E$25*1/$D205)-INT($E$25*(1-1)/$D205))*$C205</f>
        <v>0.0</v>
      </c>
      <c r="F205" s="44">
        <f>(INT($E$25*2/$D205)-INT($E$25*(2-1)/$D205))*$C205</f>
        <v>0.0</v>
      </c>
      <c r="G205" s="44">
        <f>(INT($E$25*3/$D205)-INT($E$25*(3-1)/$D205))*$C205</f>
        <v>38.3479</v>
      </c>
      <c r="H205" s="44">
        <f>(INT($E$25*4/$D205)-INT($E$25*(4-1)/$D205))*$C205</f>
        <v>0.0</v>
      </c>
      <c r="I205" s="44">
        <f>(INT($E$25*5/$D205)-INT($E$25*(5-1)/$D205))*$C205</f>
        <v>0.0</v>
      </c>
      <c r="J205" s="44">
        <f>(INT($E$25*6/$D205)-INT($E$25*(6-1)/$D205))*$C205</f>
        <v>38.3479</v>
      </c>
      <c r="K205" s="44">
        <f>(INT($E$25*7/$D205)-INT($E$25*(7-1)/$D205))*$C205</f>
        <v>0.0</v>
      </c>
      <c r="L205" s="44">
        <f>(INT($E$25*8/$D205)-INT($E$25*(8-1)/$D205))*$C205</f>
        <v>0.0</v>
      </c>
      <c r="M205" s="44">
        <f>(INT($E$25*9/$D205)-INT($E$25*(9-1)/$D205))*$C205</f>
        <v>38.3479</v>
      </c>
      <c r="N205" s="44">
        <f>(INT($E$25*10/$D205)-INT($E$25*(10-1)/$D205))*$C205</f>
        <v>0.0</v>
      </c>
    </row>
    <row r="206">
      <c r="B206" s="22" t="inlineStr">
        <is>
          <t>Гидравлический насос</t>
        </is>
      </c>
      <c r="C206" s="43" t="n">
        <v>10.3024</v>
      </c>
      <c r="D206" s="45" t="n">
        <v>21000</v>
      </c>
      <c r="E206" s="44">
        <f>(INT($E$25*1/$D206)-INT($E$25*(1-1)/$D206))*$C206</f>
        <v>0.0</v>
      </c>
      <c r="F206" s="44">
        <f>(INT($E$25*2/$D206)-INT($E$25*(2-1)/$D206))*$C206</f>
        <v>0.0</v>
      </c>
      <c r="G206" s="44">
        <f>(INT($E$25*3/$D206)-INT($E$25*(3-1)/$D206))*$C206</f>
        <v>10.3024</v>
      </c>
      <c r="H206" s="44">
        <f>(INT($E$25*4/$D206)-INT($E$25*(4-1)/$D206))*$C206</f>
        <v>0.0</v>
      </c>
      <c r="I206" s="44">
        <f>(INT($E$25*5/$D206)-INT($E$25*(5-1)/$D206))*$C206</f>
        <v>0.0</v>
      </c>
      <c r="J206" s="44">
        <f>(INT($E$25*6/$D206)-INT($E$25*(6-1)/$D206))*$C206</f>
        <v>10.3024</v>
      </c>
      <c r="K206" s="44">
        <f>(INT($E$25*7/$D206)-INT($E$25*(7-1)/$D206))*$C206</f>
        <v>0.0</v>
      </c>
      <c r="L206" s="44">
        <f>(INT($E$25*8/$D206)-INT($E$25*(8-1)/$D206))*$C206</f>
        <v>0.0</v>
      </c>
      <c r="M206" s="44">
        <f>(INT($E$25*9/$D206)-INT($E$25*(9-1)/$D206))*$C206</f>
        <v>10.3024</v>
      </c>
      <c r="N206" s="44">
        <f>(INT($E$25*10/$D206)-INT($E$25*(10-1)/$D206))*$C206</f>
        <v>0.0</v>
      </c>
    </row>
    <row r="207">
      <c r="B207" s="22" t="inlineStr">
        <is>
          <t>Гидравлический насос (2)</t>
        </is>
      </c>
      <c r="C207" s="43" t="n">
        <v>10.3024</v>
      </c>
      <c r="D207" s="45" t="n">
        <v>21000</v>
      </c>
      <c r="E207" s="44">
        <f>(INT($E$25*1/$D207)-INT($E$25*(1-1)/$D207))*$C207</f>
        <v>0.0</v>
      </c>
      <c r="F207" s="44">
        <f>(INT($E$25*2/$D207)-INT($E$25*(2-1)/$D207))*$C207</f>
        <v>0.0</v>
      </c>
      <c r="G207" s="44">
        <f>(INT($E$25*3/$D207)-INT($E$25*(3-1)/$D207))*$C207</f>
        <v>10.3024</v>
      </c>
      <c r="H207" s="44">
        <f>(INT($E$25*4/$D207)-INT($E$25*(4-1)/$D207))*$C207</f>
        <v>0.0</v>
      </c>
      <c r="I207" s="44">
        <f>(INT($E$25*5/$D207)-INT($E$25*(5-1)/$D207))*$C207</f>
        <v>0.0</v>
      </c>
      <c r="J207" s="44">
        <f>(INT($E$25*6/$D207)-INT($E$25*(6-1)/$D207))*$C207</f>
        <v>10.3024</v>
      </c>
      <c r="K207" s="44">
        <f>(INT($E$25*7/$D207)-INT($E$25*(7-1)/$D207))*$C207</f>
        <v>0.0</v>
      </c>
      <c r="L207" s="44">
        <f>(INT($E$25*8/$D207)-INT($E$25*(8-1)/$D207))*$C207</f>
        <v>0.0</v>
      </c>
      <c r="M207" s="44">
        <f>(INT($E$25*9/$D207)-INT($E$25*(9-1)/$D207))*$C207</f>
        <v>10.3024</v>
      </c>
      <c r="N207" s="44">
        <f>(INT($E$25*10/$D207)-INT($E$25*(10-1)/$D207))*$C207</f>
        <v>0.0</v>
      </c>
    </row>
    <row r="208">
      <c r="B208" s="22" t="inlineStr">
        <is>
          <t>Главный гидравлический насос</t>
        </is>
      </c>
      <c r="C208" s="43" t="n">
        <v>101.541</v>
      </c>
      <c r="D208" s="45" t="n">
        <v>21000</v>
      </c>
      <c r="E208" s="44">
        <f>(INT($E$25*1/$D208)-INT($E$25*(1-1)/$D208))*$C208</f>
        <v>0.0</v>
      </c>
      <c r="F208" s="44">
        <f>(INT($E$25*2/$D208)-INT($E$25*(2-1)/$D208))*$C208</f>
        <v>0.0</v>
      </c>
      <c r="G208" s="44">
        <f>(INT($E$25*3/$D208)-INT($E$25*(3-1)/$D208))*$C208</f>
        <v>101.541</v>
      </c>
      <c r="H208" s="44">
        <f>(INT($E$25*4/$D208)-INT($E$25*(4-1)/$D208))*$C208</f>
        <v>0.0</v>
      </c>
      <c r="I208" s="44">
        <f>(INT($E$25*5/$D208)-INT($E$25*(5-1)/$D208))*$C208</f>
        <v>0.0</v>
      </c>
      <c r="J208" s="44">
        <f>(INT($E$25*6/$D208)-INT($E$25*(6-1)/$D208))*$C208</f>
        <v>101.541</v>
      </c>
      <c r="K208" s="44">
        <f>(INT($E$25*7/$D208)-INT($E$25*(7-1)/$D208))*$C208</f>
        <v>0.0</v>
      </c>
      <c r="L208" s="44">
        <f>(INT($E$25*8/$D208)-INT($E$25*(8-1)/$D208))*$C208</f>
        <v>0.0</v>
      </c>
      <c r="M208" s="44">
        <f>(INT($E$25*9/$D208)-INT($E$25*(9-1)/$D208))*$C208</f>
        <v>101.541</v>
      </c>
      <c r="N208" s="44">
        <f>(INT($E$25*10/$D208)-INT($E$25*(10-1)/$D208))*$C208</f>
        <v>0.0</v>
      </c>
    </row>
    <row r="209">
      <c r="B209" s="22" t="inlineStr">
        <is>
          <t>Шланг гидроцилиндра ковша</t>
        </is>
      </c>
      <c r="C209" s="43" t="n">
        <v>1.04</v>
      </c>
      <c r="D209" s="45" t="n">
        <v>21000</v>
      </c>
      <c r="E209" s="44">
        <f>(INT($E$25*1/$D209)-INT($E$25*(1-1)/$D209))*$C209</f>
        <v>0.0</v>
      </c>
      <c r="F209" s="44">
        <f>(INT($E$25*2/$D209)-INT($E$25*(2-1)/$D209))*$C209</f>
        <v>0.0</v>
      </c>
      <c r="G209" s="44">
        <f>(INT($E$25*3/$D209)-INT($E$25*(3-1)/$D209))*$C209</f>
        <v>1.04</v>
      </c>
      <c r="H209" s="44">
        <f>(INT($E$25*4/$D209)-INT($E$25*(4-1)/$D209))*$C209</f>
        <v>0.0</v>
      </c>
      <c r="I209" s="44">
        <f>(INT($E$25*5/$D209)-INT($E$25*(5-1)/$D209))*$C209</f>
        <v>0.0</v>
      </c>
      <c r="J209" s="44">
        <f>(INT($E$25*6/$D209)-INT($E$25*(6-1)/$D209))*$C209</f>
        <v>1.04</v>
      </c>
      <c r="K209" s="44">
        <f>(INT($E$25*7/$D209)-INT($E$25*(7-1)/$D209))*$C209</f>
        <v>0.0</v>
      </c>
      <c r="L209" s="44">
        <f>(INT($E$25*8/$D209)-INT($E$25*(8-1)/$D209))*$C209</f>
        <v>0.0</v>
      </c>
      <c r="M209" s="44">
        <f>(INT($E$25*9/$D209)-INT($E$25*(9-1)/$D209))*$C209</f>
        <v>1.04</v>
      </c>
      <c r="N209" s="44">
        <f>(INT($E$25*10/$D209)-INT($E$25*(10-1)/$D209))*$C209</f>
        <v>0.0</v>
      </c>
    </row>
    <row r="210">
      <c r="B210" s="22" t="inlineStr">
        <is>
          <t>Шланг гидроцилиндра ковша (2)</t>
        </is>
      </c>
      <c r="C210" s="43" t="n">
        <v>1.1809</v>
      </c>
      <c r="D210" s="45" t="n">
        <v>21000</v>
      </c>
      <c r="E210" s="44">
        <f>(INT($E$25*1/$D210)-INT($E$25*(1-1)/$D210))*$C210</f>
        <v>0.0</v>
      </c>
      <c r="F210" s="44">
        <f>(INT($E$25*2/$D210)-INT($E$25*(2-1)/$D210))*$C210</f>
        <v>0.0</v>
      </c>
      <c r="G210" s="44">
        <f>(INT($E$25*3/$D210)-INT($E$25*(3-1)/$D210))*$C210</f>
        <v>1.1809</v>
      </c>
      <c r="H210" s="44">
        <f>(INT($E$25*4/$D210)-INT($E$25*(4-1)/$D210))*$C210</f>
        <v>0.0</v>
      </c>
      <c r="I210" s="44">
        <f>(INT($E$25*5/$D210)-INT($E$25*(5-1)/$D210))*$C210</f>
        <v>0.0</v>
      </c>
      <c r="J210" s="44">
        <f>(INT($E$25*6/$D210)-INT($E$25*(6-1)/$D210))*$C210</f>
        <v>1.1809</v>
      </c>
      <c r="K210" s="44">
        <f>(INT($E$25*7/$D210)-INT($E$25*(7-1)/$D210))*$C210</f>
        <v>0.0</v>
      </c>
      <c r="L210" s="44">
        <f>(INT($E$25*8/$D210)-INT($E$25*(8-1)/$D210))*$C210</f>
        <v>0.0</v>
      </c>
      <c r="M210" s="44">
        <f>(INT($E$25*9/$D210)-INT($E$25*(9-1)/$D210))*$C210</f>
        <v>1.1809</v>
      </c>
      <c r="N210" s="44">
        <f>(INT($E$25*10/$D210)-INT($E$25*(10-1)/$D210))*$C210</f>
        <v>0.0</v>
      </c>
    </row>
    <row r="211">
      <c r="B211" s="22" t="inlineStr">
        <is>
          <t>Шланг гидроцилиндра рукояти</t>
        </is>
      </c>
      <c r="C211" s="43" t="n">
        <v>0.6269</v>
      </c>
      <c r="D211" s="45" t="n">
        <v>21000</v>
      </c>
      <c r="E211" s="44">
        <f>(INT($E$25*1/$D211)-INT($E$25*(1-1)/$D211))*$C211</f>
        <v>0.0</v>
      </c>
      <c r="F211" s="44">
        <f>(INT($E$25*2/$D211)-INT($E$25*(2-1)/$D211))*$C211</f>
        <v>0.0</v>
      </c>
      <c r="G211" s="44">
        <f>(INT($E$25*3/$D211)-INT($E$25*(3-1)/$D211))*$C211</f>
        <v>0.6269</v>
      </c>
      <c r="H211" s="44">
        <f>(INT($E$25*4/$D211)-INT($E$25*(4-1)/$D211))*$C211</f>
        <v>0.0</v>
      </c>
      <c r="I211" s="44">
        <f>(INT($E$25*5/$D211)-INT($E$25*(5-1)/$D211))*$C211</f>
        <v>0.0</v>
      </c>
      <c r="J211" s="44">
        <f>(INT($E$25*6/$D211)-INT($E$25*(6-1)/$D211))*$C211</f>
        <v>0.6269</v>
      </c>
      <c r="K211" s="44">
        <f>(INT($E$25*7/$D211)-INT($E$25*(7-1)/$D211))*$C211</f>
        <v>0.0</v>
      </c>
      <c r="L211" s="44">
        <f>(INT($E$25*8/$D211)-INT($E$25*(8-1)/$D211))*$C211</f>
        <v>0.0</v>
      </c>
      <c r="M211" s="44">
        <f>(INT($E$25*9/$D211)-INT($E$25*(9-1)/$D211))*$C211</f>
        <v>0.6269</v>
      </c>
      <c r="N211" s="44">
        <f>(INT($E$25*10/$D211)-INT($E$25*(10-1)/$D211))*$C211</f>
        <v>0.0</v>
      </c>
    </row>
    <row r="212">
      <c r="B212" s="22" t="inlineStr">
        <is>
          <t>Шланг гидроцилиндра рукояти (2)</t>
        </is>
      </c>
      <c r="C212" s="43" t="n">
        <v>1.2563</v>
      </c>
      <c r="D212" s="45" t="n">
        <v>21000</v>
      </c>
      <c r="E212" s="44">
        <f>(INT($E$25*1/$D212)-INT($E$25*(1-1)/$D212))*$C212</f>
        <v>0.0</v>
      </c>
      <c r="F212" s="44">
        <f>(INT($E$25*2/$D212)-INT($E$25*(2-1)/$D212))*$C212</f>
        <v>0.0</v>
      </c>
      <c r="G212" s="44">
        <f>(INT($E$25*3/$D212)-INT($E$25*(3-1)/$D212))*$C212</f>
        <v>1.2563</v>
      </c>
      <c r="H212" s="44">
        <f>(INT($E$25*4/$D212)-INT($E$25*(4-1)/$D212))*$C212</f>
        <v>0.0</v>
      </c>
      <c r="I212" s="44">
        <f>(INT($E$25*5/$D212)-INT($E$25*(5-1)/$D212))*$C212</f>
        <v>0.0</v>
      </c>
      <c r="J212" s="44">
        <f>(INT($E$25*6/$D212)-INT($E$25*(6-1)/$D212))*$C212</f>
        <v>1.2563</v>
      </c>
      <c r="K212" s="44">
        <f>(INT($E$25*7/$D212)-INT($E$25*(7-1)/$D212))*$C212</f>
        <v>0.0</v>
      </c>
      <c r="L212" s="44">
        <f>(INT($E$25*8/$D212)-INT($E$25*(8-1)/$D212))*$C212</f>
        <v>0.0</v>
      </c>
      <c r="M212" s="44">
        <f>(INT($E$25*9/$D212)-INT($E$25*(9-1)/$D212))*$C212</f>
        <v>1.2563</v>
      </c>
      <c r="N212" s="44">
        <f>(INT($E$25*10/$D212)-INT($E$25*(10-1)/$D212))*$C212</f>
        <v>0.0</v>
      </c>
    </row>
    <row r="213">
      <c r="B213" s="22" t="inlineStr">
        <is>
          <t>Шланг гидроцилиндра рукояти (3)</t>
        </is>
      </c>
      <c r="C213" s="43" t="n">
        <v>1.2563</v>
      </c>
      <c r="D213" s="45" t="n">
        <v>21000</v>
      </c>
      <c r="E213" s="44">
        <f>(INT($E$25*1/$D213)-INT($E$25*(1-1)/$D213))*$C213</f>
        <v>0.0</v>
      </c>
      <c r="F213" s="44">
        <f>(INT($E$25*2/$D213)-INT($E$25*(2-1)/$D213))*$C213</f>
        <v>0.0</v>
      </c>
      <c r="G213" s="44">
        <f>(INT($E$25*3/$D213)-INT($E$25*(3-1)/$D213))*$C213</f>
        <v>1.2563</v>
      </c>
      <c r="H213" s="44">
        <f>(INT($E$25*4/$D213)-INT($E$25*(4-1)/$D213))*$C213</f>
        <v>0.0</v>
      </c>
      <c r="I213" s="44">
        <f>(INT($E$25*5/$D213)-INT($E$25*(5-1)/$D213))*$C213</f>
        <v>0.0</v>
      </c>
      <c r="J213" s="44">
        <f>(INT($E$25*6/$D213)-INT($E$25*(6-1)/$D213))*$C213</f>
        <v>1.2563</v>
      </c>
      <c r="K213" s="44">
        <f>(INT($E$25*7/$D213)-INT($E$25*(7-1)/$D213))*$C213</f>
        <v>0.0</v>
      </c>
      <c r="L213" s="44">
        <f>(INT($E$25*8/$D213)-INT($E$25*(8-1)/$D213))*$C213</f>
        <v>0.0</v>
      </c>
      <c r="M213" s="44">
        <f>(INT($E$25*9/$D213)-INT($E$25*(9-1)/$D213))*$C213</f>
        <v>1.2563</v>
      </c>
      <c r="N213" s="44">
        <f>(INT($E$25*10/$D213)-INT($E$25*(10-1)/$D213))*$C213</f>
        <v>0.0</v>
      </c>
    </row>
    <row r="214">
      <c r="B214" s="22" t="inlineStr">
        <is>
          <t>Гидравлический мотор</t>
        </is>
      </c>
      <c r="C214" s="43" t="n">
        <v>1.2563</v>
      </c>
      <c r="D214" s="45" t="n">
        <v>21000</v>
      </c>
      <c r="E214" s="44">
        <f>(INT($E$25*1/$D214)-INT($E$25*(1-1)/$D214))*$C214</f>
        <v>0.0</v>
      </c>
      <c r="F214" s="44">
        <f>(INT($E$25*2/$D214)-INT($E$25*(2-1)/$D214))*$C214</f>
        <v>0.0</v>
      </c>
      <c r="G214" s="44">
        <f>(INT($E$25*3/$D214)-INT($E$25*(3-1)/$D214))*$C214</f>
        <v>1.2563</v>
      </c>
      <c r="H214" s="44">
        <f>(INT($E$25*4/$D214)-INT($E$25*(4-1)/$D214))*$C214</f>
        <v>0.0</v>
      </c>
      <c r="I214" s="44">
        <f>(INT($E$25*5/$D214)-INT($E$25*(5-1)/$D214))*$C214</f>
        <v>0.0</v>
      </c>
      <c r="J214" s="44">
        <f>(INT($E$25*6/$D214)-INT($E$25*(6-1)/$D214))*$C214</f>
        <v>1.2563</v>
      </c>
      <c r="K214" s="44">
        <f>(INT($E$25*7/$D214)-INT($E$25*(7-1)/$D214))*$C214</f>
        <v>0.0</v>
      </c>
      <c r="L214" s="44">
        <f>(INT($E$25*8/$D214)-INT($E$25*(8-1)/$D214))*$C214</f>
        <v>0.0</v>
      </c>
      <c r="M214" s="44">
        <f>(INT($E$25*9/$D214)-INT($E$25*(9-1)/$D214))*$C214</f>
        <v>1.2563</v>
      </c>
      <c r="N214" s="44">
        <f>(INT($E$25*10/$D214)-INT($E$25*(10-1)/$D214))*$C214</f>
        <v>0.0</v>
      </c>
    </row>
    <row r="215">
      <c r="B215" s="22" t="inlineStr">
        <is>
          <t>Гидромотор</t>
        </is>
      </c>
      <c r="C215" s="43" t="n">
        <v>11.329</v>
      </c>
      <c r="D215" s="45" t="n">
        <v>21000</v>
      </c>
      <c r="E215" s="44">
        <f>(INT($E$25*1/$D215)-INT($E$25*(1-1)/$D215))*$C215</f>
        <v>0.0</v>
      </c>
      <c r="F215" s="44">
        <f>(INT($E$25*2/$D215)-INT($E$25*(2-1)/$D215))*$C215</f>
        <v>0.0</v>
      </c>
      <c r="G215" s="44">
        <f>(INT($E$25*3/$D215)-INT($E$25*(3-1)/$D215))*$C215</f>
        <v>11.329</v>
      </c>
      <c r="H215" s="44">
        <f>(INT($E$25*4/$D215)-INT($E$25*(4-1)/$D215))*$C215</f>
        <v>0.0</v>
      </c>
      <c r="I215" s="44">
        <f>(INT($E$25*5/$D215)-INT($E$25*(5-1)/$D215))*$C215</f>
        <v>0.0</v>
      </c>
      <c r="J215" s="44">
        <f>(INT($E$25*6/$D215)-INT($E$25*(6-1)/$D215))*$C215</f>
        <v>11.329</v>
      </c>
      <c r="K215" s="44">
        <f>(INT($E$25*7/$D215)-INT($E$25*(7-1)/$D215))*$C215</f>
        <v>0.0</v>
      </c>
      <c r="L215" s="44">
        <f>(INT($E$25*8/$D215)-INT($E$25*(8-1)/$D215))*$C215</f>
        <v>0.0</v>
      </c>
      <c r="M215" s="44">
        <f>(INT($E$25*9/$D215)-INT($E$25*(9-1)/$D215))*$C215</f>
        <v>11.329</v>
      </c>
      <c r="N215" s="44">
        <f>(INT($E$25*10/$D215)-INT($E$25*(10-1)/$D215))*$C215</f>
        <v>0.0</v>
      </c>
    </row>
    <row r="216">
      <c r="B216" s="22" t="inlineStr">
        <is>
          <t>Ходовой редуктор капитальный ремонт</t>
        </is>
      </c>
      <c r="C216" s="43" t="n">
        <v>167.4869</v>
      </c>
      <c r="D216" s="45" t="n">
        <v>21000</v>
      </c>
      <c r="E216" s="44">
        <f>(INT($E$25*1/$D216)-INT($E$25*(1-1)/$D216))*$C216</f>
        <v>0.0</v>
      </c>
      <c r="F216" s="44">
        <f>(INT($E$25*2/$D216)-INT($E$25*(2-1)/$D216))*$C216</f>
        <v>0.0</v>
      </c>
      <c r="G216" s="44">
        <f>(INT($E$25*3/$D216)-INT($E$25*(3-1)/$D216))*$C216</f>
        <v>167.4869</v>
      </c>
      <c r="H216" s="44">
        <f>(INT($E$25*4/$D216)-INT($E$25*(4-1)/$D216))*$C216</f>
        <v>0.0</v>
      </c>
      <c r="I216" s="44">
        <f>(INT($E$25*5/$D216)-INT($E$25*(5-1)/$D216))*$C216</f>
        <v>0.0</v>
      </c>
      <c r="J216" s="44">
        <f>(INT($E$25*6/$D216)-INT($E$25*(6-1)/$D216))*$C216</f>
        <v>167.4869</v>
      </c>
      <c r="K216" s="44">
        <f>(INT($E$25*7/$D216)-INT($E$25*(7-1)/$D216))*$C216</f>
        <v>0.0</v>
      </c>
      <c r="L216" s="44">
        <f>(INT($E$25*8/$D216)-INT($E$25*(8-1)/$D216))*$C216</f>
        <v>0.0</v>
      </c>
      <c r="M216" s="44">
        <f>(INT($E$25*9/$D216)-INT($E$25*(9-1)/$D216))*$C216</f>
        <v>167.4869</v>
      </c>
      <c r="N216" s="44">
        <f>(INT($E$25*10/$D216)-INT($E$25*(10-1)/$D216))*$C216</f>
        <v>0.0</v>
      </c>
    </row>
    <row r="217">
      <c r="B217" s="22" t="inlineStr">
        <is>
          <t>Ходовой двигатель капитальный ремонт</t>
        </is>
      </c>
      <c r="C217" s="43" t="n">
        <v>60.5097</v>
      </c>
      <c r="D217" s="45" t="n">
        <v>21000</v>
      </c>
      <c r="E217" s="44">
        <f>(INT($E$25*1/$D217)-INT($E$25*(1-1)/$D217))*$C217</f>
        <v>0.0</v>
      </c>
      <c r="F217" s="44">
        <f>(INT($E$25*2/$D217)-INT($E$25*(2-1)/$D217))*$C217</f>
        <v>0.0</v>
      </c>
      <c r="G217" s="44">
        <f>(INT($E$25*3/$D217)-INT($E$25*(3-1)/$D217))*$C217</f>
        <v>60.5097</v>
      </c>
      <c r="H217" s="44">
        <f>(INT($E$25*4/$D217)-INT($E$25*(4-1)/$D217))*$C217</f>
        <v>0.0</v>
      </c>
      <c r="I217" s="44">
        <f>(INT($E$25*5/$D217)-INT($E$25*(5-1)/$D217))*$C217</f>
        <v>0.0</v>
      </c>
      <c r="J217" s="44">
        <f>(INT($E$25*6/$D217)-INT($E$25*(6-1)/$D217))*$C217</f>
        <v>60.5097</v>
      </c>
      <c r="K217" s="44">
        <f>(INT($E$25*7/$D217)-INT($E$25*(7-1)/$D217))*$C217</f>
        <v>0.0</v>
      </c>
      <c r="L217" s="44">
        <f>(INT($E$25*8/$D217)-INT($E$25*(8-1)/$D217))*$C217</f>
        <v>0.0</v>
      </c>
      <c r="M217" s="44">
        <f>(INT($E$25*9/$D217)-INT($E$25*(9-1)/$D217))*$C217</f>
        <v>60.5097</v>
      </c>
      <c r="N217" s="44">
        <f>(INT($E$25*10/$D217)-INT($E$25*(10-1)/$D217))*$C217</f>
        <v>0.0</v>
      </c>
    </row>
    <row r="218">
      <c r="B218" s="22" t="inlineStr">
        <is>
          <t>Редукционный клапан</t>
        </is>
      </c>
      <c r="C218" s="43" t="n">
        <v>0.8025</v>
      </c>
      <c r="D218" s="45" t="n">
        <v>21000</v>
      </c>
      <c r="E218" s="44">
        <f>(INT($E$25*1/$D218)-INT($E$25*(1-1)/$D218))*$C218</f>
        <v>0.0</v>
      </c>
      <c r="F218" s="44">
        <f>(INT($E$25*2/$D218)-INT($E$25*(2-1)/$D218))*$C218</f>
        <v>0.0</v>
      </c>
      <c r="G218" s="44">
        <f>(INT($E$25*3/$D218)-INT($E$25*(3-1)/$D218))*$C218</f>
        <v>0.8025</v>
      </c>
      <c r="H218" s="44">
        <f>(INT($E$25*4/$D218)-INT($E$25*(4-1)/$D218))*$C218</f>
        <v>0.0</v>
      </c>
      <c r="I218" s="44">
        <f>(INT($E$25*5/$D218)-INT($E$25*(5-1)/$D218))*$C218</f>
        <v>0.0</v>
      </c>
      <c r="J218" s="44">
        <f>(INT($E$25*6/$D218)-INT($E$25*(6-1)/$D218))*$C218</f>
        <v>0.8025</v>
      </c>
      <c r="K218" s="44">
        <f>(INT($E$25*7/$D218)-INT($E$25*(7-1)/$D218))*$C218</f>
        <v>0.0</v>
      </c>
      <c r="L218" s="44">
        <f>(INT($E$25*8/$D218)-INT($E$25*(8-1)/$D218))*$C218</f>
        <v>0.0</v>
      </c>
      <c r="M218" s="44">
        <f>(INT($E$25*9/$D218)-INT($E$25*(9-1)/$D218))*$C218</f>
        <v>0.8025</v>
      </c>
      <c r="N218" s="44">
        <f>(INT($E$25*10/$D218)-INT($E$25*(10-1)/$D218))*$C218</f>
        <v>0.0</v>
      </c>
    </row>
    <row r="219">
      <c r="B219" s="22" t="inlineStr">
        <is>
          <t>Корпус электромагнитного клапана</t>
        </is>
      </c>
      <c r="C219" s="43" t="n">
        <v>0.6796</v>
      </c>
      <c r="D219" s="45" t="n">
        <v>21000</v>
      </c>
      <c r="E219" s="44">
        <f>(INT($E$25*1/$D219)-INT($E$25*(1-1)/$D219))*$C219</f>
        <v>0.0</v>
      </c>
      <c r="F219" s="44">
        <f>(INT($E$25*2/$D219)-INT($E$25*(2-1)/$D219))*$C219</f>
        <v>0.0</v>
      </c>
      <c r="G219" s="44">
        <f>(INT($E$25*3/$D219)-INT($E$25*(3-1)/$D219))*$C219</f>
        <v>0.6796</v>
      </c>
      <c r="H219" s="44">
        <f>(INT($E$25*4/$D219)-INT($E$25*(4-1)/$D219))*$C219</f>
        <v>0.0</v>
      </c>
      <c r="I219" s="44">
        <f>(INT($E$25*5/$D219)-INT($E$25*(5-1)/$D219))*$C219</f>
        <v>0.0</v>
      </c>
      <c r="J219" s="44">
        <f>(INT($E$25*6/$D219)-INT($E$25*(6-1)/$D219))*$C219</f>
        <v>0.6796</v>
      </c>
      <c r="K219" s="44">
        <f>(INT($E$25*7/$D219)-INT($E$25*(7-1)/$D219))*$C219</f>
        <v>0.0</v>
      </c>
      <c r="L219" s="44">
        <f>(INT($E$25*8/$D219)-INT($E$25*(8-1)/$D219))*$C219</f>
        <v>0.0</v>
      </c>
      <c r="M219" s="44">
        <f>(INT($E$25*9/$D219)-INT($E$25*(9-1)/$D219))*$C219</f>
        <v>0.6796</v>
      </c>
      <c r="N219" s="44">
        <f>(INT($E$25*10/$D219)-INT($E$25*(10-1)/$D219))*$C219</f>
        <v>0.0</v>
      </c>
    </row>
    <row r="220">
      <c r="B220" s="22" t="inlineStr">
        <is>
          <t>Главный пилотный управляющий клапан</t>
        </is>
      </c>
      <c r="C220" s="43" t="n">
        <v>3.0056</v>
      </c>
      <c r="D220" s="45" t="n">
        <v>21000</v>
      </c>
      <c r="E220" s="44">
        <f>(INT($E$25*1/$D220)-INT($E$25*(1-1)/$D220))*$C220</f>
        <v>0.0</v>
      </c>
      <c r="F220" s="44">
        <f>(INT($E$25*2/$D220)-INT($E$25*(2-1)/$D220))*$C220</f>
        <v>0.0</v>
      </c>
      <c r="G220" s="44">
        <f>(INT($E$25*3/$D220)-INT($E$25*(3-1)/$D220))*$C220</f>
        <v>3.0056</v>
      </c>
      <c r="H220" s="44">
        <f>(INT($E$25*4/$D220)-INT($E$25*(4-1)/$D220))*$C220</f>
        <v>0.0</v>
      </c>
      <c r="I220" s="44">
        <f>(INT($E$25*5/$D220)-INT($E$25*(5-1)/$D220))*$C220</f>
        <v>0.0</v>
      </c>
      <c r="J220" s="44">
        <f>(INT($E$25*6/$D220)-INT($E$25*(6-1)/$D220))*$C220</f>
        <v>3.0056</v>
      </c>
      <c r="K220" s="44">
        <f>(INT($E$25*7/$D220)-INT($E$25*(7-1)/$D220))*$C220</f>
        <v>0.0</v>
      </c>
      <c r="L220" s="44">
        <f>(INT($E$25*8/$D220)-INT($E$25*(8-1)/$D220))*$C220</f>
        <v>0.0</v>
      </c>
      <c r="M220" s="44">
        <f>(INT($E$25*9/$D220)-INT($E$25*(9-1)/$D220))*$C220</f>
        <v>3.0056</v>
      </c>
      <c r="N220" s="44">
        <f>(INT($E$25*10/$D220)-INT($E$25*(10-1)/$D220))*$C220</f>
        <v>0.0</v>
      </c>
    </row>
    <row r="221">
      <c r="B221" s="22" t="inlineStr">
        <is>
          <t>Главный регулирующий клапан</t>
        </is>
      </c>
      <c r="C221" s="43" t="n">
        <v>24.8751</v>
      </c>
      <c r="D221" s="45" t="n">
        <v>21000</v>
      </c>
      <c r="E221" s="44">
        <f>(INT($E$25*1/$D221)-INT($E$25*(1-1)/$D221))*$C221</f>
        <v>0.0</v>
      </c>
      <c r="F221" s="44">
        <f>(INT($E$25*2/$D221)-INT($E$25*(2-1)/$D221))*$C221</f>
        <v>0.0</v>
      </c>
      <c r="G221" s="44">
        <f>(INT($E$25*3/$D221)-INT($E$25*(3-1)/$D221))*$C221</f>
        <v>24.8751</v>
      </c>
      <c r="H221" s="44">
        <f>(INT($E$25*4/$D221)-INT($E$25*(4-1)/$D221))*$C221</f>
        <v>0.0</v>
      </c>
      <c r="I221" s="44">
        <f>(INT($E$25*5/$D221)-INT($E$25*(5-1)/$D221))*$C221</f>
        <v>0.0</v>
      </c>
      <c r="J221" s="44">
        <f>(INT($E$25*6/$D221)-INT($E$25*(6-1)/$D221))*$C221</f>
        <v>24.8751</v>
      </c>
      <c r="K221" s="44">
        <f>(INT($E$25*7/$D221)-INT($E$25*(7-1)/$D221))*$C221</f>
        <v>0.0</v>
      </c>
      <c r="L221" s="44">
        <f>(INT($E$25*8/$D221)-INT($E$25*(8-1)/$D221))*$C221</f>
        <v>0.0</v>
      </c>
      <c r="M221" s="44">
        <f>(INT($E$25*9/$D221)-INT($E$25*(9-1)/$D221))*$C221</f>
        <v>24.8751</v>
      </c>
      <c r="N221" s="44">
        <f>(INT($E$25*10/$D221)-INT($E$25*(10-1)/$D221))*$C221</f>
        <v>0.0</v>
      </c>
    </row>
    <row r="222">
      <c r="B222" s="22" t="inlineStr">
        <is>
          <t>Главный регулирующий клапан (2)</t>
        </is>
      </c>
      <c r="C222" s="43" t="n">
        <v>24.8751</v>
      </c>
      <c r="D222" s="45" t="n">
        <v>21000</v>
      </c>
      <c r="E222" s="44">
        <f>(INT($E$25*1/$D222)-INT($E$25*(1-1)/$D222))*$C222</f>
        <v>0.0</v>
      </c>
      <c r="F222" s="44">
        <f>(INT($E$25*2/$D222)-INT($E$25*(2-1)/$D222))*$C222</f>
        <v>0.0</v>
      </c>
      <c r="G222" s="44">
        <f>(INT($E$25*3/$D222)-INT($E$25*(3-1)/$D222))*$C222</f>
        <v>24.8751</v>
      </c>
      <c r="H222" s="44">
        <f>(INT($E$25*4/$D222)-INT($E$25*(4-1)/$D222))*$C222</f>
        <v>0.0</v>
      </c>
      <c r="I222" s="44">
        <f>(INT($E$25*5/$D222)-INT($E$25*(5-1)/$D222))*$C222</f>
        <v>0.0</v>
      </c>
      <c r="J222" s="44">
        <f>(INT($E$25*6/$D222)-INT($E$25*(6-1)/$D222))*$C222</f>
        <v>24.8751</v>
      </c>
      <c r="K222" s="44">
        <f>(INT($E$25*7/$D222)-INT($E$25*(7-1)/$D222))*$C222</f>
        <v>0.0</v>
      </c>
      <c r="L222" s="44">
        <f>(INT($E$25*8/$D222)-INT($E$25*(8-1)/$D222))*$C222</f>
        <v>0.0</v>
      </c>
      <c r="M222" s="44">
        <f>(INT($E$25*9/$D222)-INT($E$25*(9-1)/$D222))*$C222</f>
        <v>24.8751</v>
      </c>
      <c r="N222" s="44">
        <f>(INT($E$25*10/$D222)-INT($E$25*(10-1)/$D222))*$C222</f>
        <v>0.0</v>
      </c>
    </row>
    <row r="223">
      <c r="B223" s="22" t="inlineStr">
        <is>
          <t>Главный регулирующий клапан (3)</t>
        </is>
      </c>
      <c r="C223" s="43" t="n">
        <v>24.8751</v>
      </c>
      <c r="D223" s="45" t="n">
        <v>21000</v>
      </c>
      <c r="E223" s="44">
        <f>(INT($E$25*1/$D223)-INT($E$25*(1-1)/$D223))*$C223</f>
        <v>0.0</v>
      </c>
      <c r="F223" s="44">
        <f>(INT($E$25*2/$D223)-INT($E$25*(2-1)/$D223))*$C223</f>
        <v>0.0</v>
      </c>
      <c r="G223" s="44">
        <f>(INT($E$25*3/$D223)-INT($E$25*(3-1)/$D223))*$C223</f>
        <v>24.8751</v>
      </c>
      <c r="H223" s="44">
        <f>(INT($E$25*4/$D223)-INT($E$25*(4-1)/$D223))*$C223</f>
        <v>0.0</v>
      </c>
      <c r="I223" s="44">
        <f>(INT($E$25*5/$D223)-INT($E$25*(5-1)/$D223))*$C223</f>
        <v>0.0</v>
      </c>
      <c r="J223" s="44">
        <f>(INT($E$25*6/$D223)-INT($E$25*(6-1)/$D223))*$C223</f>
        <v>24.8751</v>
      </c>
      <c r="K223" s="44">
        <f>(INT($E$25*7/$D223)-INT($E$25*(7-1)/$D223))*$C223</f>
        <v>0.0</v>
      </c>
      <c r="L223" s="44">
        <f>(INT($E$25*8/$D223)-INT($E$25*(8-1)/$D223))*$C223</f>
        <v>0.0</v>
      </c>
      <c r="M223" s="44">
        <f>(INT($E$25*9/$D223)-INT($E$25*(9-1)/$D223))*$C223</f>
        <v>24.8751</v>
      </c>
      <c r="N223" s="44">
        <f>(INT($E$25*10/$D223)-INT($E$25*(10-1)/$D223))*$C223</f>
        <v>0.0</v>
      </c>
    </row>
    <row r="224">
      <c r="B224" s="22" t="inlineStr">
        <is>
          <t>Левый цилиндр ковша</t>
        </is>
      </c>
      <c r="C224" s="43" t="n">
        <v>23.0462</v>
      </c>
      <c r="D224" s="45" t="n">
        <v>21000</v>
      </c>
      <c r="E224" s="44">
        <f>(INT($E$25*1/$D224)-INT($E$25*(1-1)/$D224))*$C224</f>
        <v>0.0</v>
      </c>
      <c r="F224" s="44">
        <f>(INT($E$25*2/$D224)-INT($E$25*(2-1)/$D224))*$C224</f>
        <v>0.0</v>
      </c>
      <c r="G224" s="44">
        <f>(INT($E$25*3/$D224)-INT($E$25*(3-1)/$D224))*$C224</f>
        <v>23.0462</v>
      </c>
      <c r="H224" s="44">
        <f>(INT($E$25*4/$D224)-INT($E$25*(4-1)/$D224))*$C224</f>
        <v>0.0</v>
      </c>
      <c r="I224" s="44">
        <f>(INT($E$25*5/$D224)-INT($E$25*(5-1)/$D224))*$C224</f>
        <v>0.0</v>
      </c>
      <c r="J224" s="44">
        <f>(INT($E$25*6/$D224)-INT($E$25*(6-1)/$D224))*$C224</f>
        <v>23.0462</v>
      </c>
      <c r="K224" s="44">
        <f>(INT($E$25*7/$D224)-INT($E$25*(7-1)/$D224))*$C224</f>
        <v>0.0</v>
      </c>
      <c r="L224" s="44">
        <f>(INT($E$25*8/$D224)-INT($E$25*(8-1)/$D224))*$C224</f>
        <v>0.0</v>
      </c>
      <c r="M224" s="44">
        <f>(INT($E$25*9/$D224)-INT($E$25*(9-1)/$D224))*$C224</f>
        <v>23.0462</v>
      </c>
      <c r="N224" s="44">
        <f>(INT($E$25*10/$D224)-INT($E$25*(10-1)/$D224))*$C224</f>
        <v>0.0</v>
      </c>
    </row>
    <row r="225">
      <c r="B225" s="22" t="inlineStr">
        <is>
          <t>Правый цилиндр ковша</t>
        </is>
      </c>
      <c r="C225" s="43" t="n">
        <v>23.0462</v>
      </c>
      <c r="D225" s="45" t="n">
        <v>21000</v>
      </c>
      <c r="E225" s="44">
        <f>(INT($E$25*1/$D225)-INT($E$25*(1-1)/$D225))*$C225</f>
        <v>0.0</v>
      </c>
      <c r="F225" s="44">
        <f>(INT($E$25*2/$D225)-INT($E$25*(2-1)/$D225))*$C225</f>
        <v>0.0</v>
      </c>
      <c r="G225" s="44">
        <f>(INT($E$25*3/$D225)-INT($E$25*(3-1)/$D225))*$C225</f>
        <v>23.0462</v>
      </c>
      <c r="H225" s="44">
        <f>(INT($E$25*4/$D225)-INT($E$25*(4-1)/$D225))*$C225</f>
        <v>0.0</v>
      </c>
      <c r="I225" s="44">
        <f>(INT($E$25*5/$D225)-INT($E$25*(5-1)/$D225))*$C225</f>
        <v>0.0</v>
      </c>
      <c r="J225" s="44">
        <f>(INT($E$25*6/$D225)-INT($E$25*(6-1)/$D225))*$C225</f>
        <v>23.0462</v>
      </c>
      <c r="K225" s="44">
        <f>(INT($E$25*7/$D225)-INT($E$25*(7-1)/$D225))*$C225</f>
        <v>0.0</v>
      </c>
      <c r="L225" s="44">
        <f>(INT($E$25*8/$D225)-INT($E$25*(8-1)/$D225))*$C225</f>
        <v>0.0</v>
      </c>
      <c r="M225" s="44">
        <f>(INT($E$25*9/$D225)-INT($E$25*(9-1)/$D225))*$C225</f>
        <v>23.0462</v>
      </c>
      <c r="N225" s="44">
        <f>(INT($E$25*10/$D225)-INT($E$25*(10-1)/$D225))*$C225</f>
        <v>0.0</v>
      </c>
    </row>
    <row r="226">
      <c r="B226" s="22" t="inlineStr">
        <is>
          <t>Гидроцилиндр рукояти (замена)</t>
        </is>
      </c>
      <c r="C226" s="43" t="n">
        <v>86.1644</v>
      </c>
      <c r="D226" s="45" t="n">
        <v>21000</v>
      </c>
      <c r="E226" s="44">
        <f>(INT($E$25*1/$D226)-INT($E$25*(1-1)/$D226))*$C226</f>
        <v>0.0</v>
      </c>
      <c r="F226" s="44">
        <f>(INT($E$25*2/$D226)-INT($E$25*(2-1)/$D226))*$C226</f>
        <v>0.0</v>
      </c>
      <c r="G226" s="44">
        <f>(INT($E$25*3/$D226)-INT($E$25*(3-1)/$D226))*$C226</f>
        <v>86.1644</v>
      </c>
      <c r="H226" s="44">
        <f>(INT($E$25*4/$D226)-INT($E$25*(4-1)/$D226))*$C226</f>
        <v>0.0</v>
      </c>
      <c r="I226" s="44">
        <f>(INT($E$25*5/$D226)-INT($E$25*(5-1)/$D226))*$C226</f>
        <v>0.0</v>
      </c>
      <c r="J226" s="44">
        <f>(INT($E$25*6/$D226)-INT($E$25*(6-1)/$D226))*$C226</f>
        <v>86.1644</v>
      </c>
      <c r="K226" s="44">
        <f>(INT($E$25*7/$D226)-INT($E$25*(7-1)/$D226))*$C226</f>
        <v>0.0</v>
      </c>
      <c r="L226" s="44">
        <f>(INT($E$25*8/$D226)-INT($E$25*(8-1)/$D226))*$C226</f>
        <v>0.0</v>
      </c>
      <c r="M226" s="44">
        <f>(INT($E$25*9/$D226)-INT($E$25*(9-1)/$D226))*$C226</f>
        <v>86.1644</v>
      </c>
      <c r="N226" s="44">
        <f>(INT($E$25*10/$D226)-INT($E$25*(10-1)/$D226))*$C226</f>
        <v>0.0</v>
      </c>
    </row>
    <row r="227">
      <c r="B227" s="22" t="inlineStr">
        <is>
          <t>Цилиндр стрелы замена</t>
        </is>
      </c>
      <c r="C227" s="43" t="n">
        <v>156.6204</v>
      </c>
      <c r="D227" s="45" t="n">
        <v>21000</v>
      </c>
      <c r="E227" s="44">
        <f>(INT($E$25*1/$D227)-INT($E$25*(1-1)/$D227))*$C227</f>
        <v>0.0</v>
      </c>
      <c r="F227" s="44">
        <f>(INT($E$25*2/$D227)-INT($E$25*(2-1)/$D227))*$C227</f>
        <v>0.0</v>
      </c>
      <c r="G227" s="44">
        <f>(INT($E$25*3/$D227)-INT($E$25*(3-1)/$D227))*$C227</f>
        <v>156.6204</v>
      </c>
      <c r="H227" s="44">
        <f>(INT($E$25*4/$D227)-INT($E$25*(4-1)/$D227))*$C227</f>
        <v>0.0</v>
      </c>
      <c r="I227" s="44">
        <f>(INT($E$25*5/$D227)-INT($E$25*(5-1)/$D227))*$C227</f>
        <v>0.0</v>
      </c>
      <c r="J227" s="44">
        <f>(INT($E$25*6/$D227)-INT($E$25*(6-1)/$D227))*$C227</f>
        <v>156.6204</v>
      </c>
      <c r="K227" s="44">
        <f>(INT($E$25*7/$D227)-INT($E$25*(7-1)/$D227))*$C227</f>
        <v>0.0</v>
      </c>
      <c r="L227" s="44">
        <f>(INT($E$25*8/$D227)-INT($E$25*(8-1)/$D227))*$C227</f>
        <v>0.0</v>
      </c>
      <c r="M227" s="44">
        <f>(INT($E$25*9/$D227)-INT($E$25*(9-1)/$D227))*$C227</f>
        <v>156.6204</v>
      </c>
      <c r="N227" s="44">
        <f>(INT($E$25*10/$D227)-INT($E$25*(10-1)/$D227))*$C227</f>
        <v>0.0</v>
      </c>
    </row>
    <row r="228">
      <c r="B228" s="22" t="inlineStr">
        <is>
          <t>Электромагнитный клапан</t>
        </is>
      </c>
      <c r="C228" s="43" t="n">
        <v>3.998</v>
      </c>
      <c r="D228" s="45" t="n">
        <v>21000</v>
      </c>
      <c r="E228" s="44">
        <f>(INT($E$25*1/$D228)-INT($E$25*(1-1)/$D228))*$C228</f>
        <v>0.0</v>
      </c>
      <c r="F228" s="44">
        <f>(INT($E$25*2/$D228)-INT($E$25*(2-1)/$D228))*$C228</f>
        <v>0.0</v>
      </c>
      <c r="G228" s="44">
        <f>(INT($E$25*3/$D228)-INT($E$25*(3-1)/$D228))*$C228</f>
        <v>3.998</v>
      </c>
      <c r="H228" s="44">
        <f>(INT($E$25*4/$D228)-INT($E$25*(4-1)/$D228))*$C228</f>
        <v>0.0</v>
      </c>
      <c r="I228" s="44">
        <f>(INT($E$25*5/$D228)-INT($E$25*(5-1)/$D228))*$C228</f>
        <v>0.0</v>
      </c>
      <c r="J228" s="44">
        <f>(INT($E$25*6/$D228)-INT($E$25*(6-1)/$D228))*$C228</f>
        <v>3.998</v>
      </c>
      <c r="K228" s="44">
        <f>(INT($E$25*7/$D228)-INT($E$25*(7-1)/$D228))*$C228</f>
        <v>0.0</v>
      </c>
      <c r="L228" s="44">
        <f>(INT($E$25*8/$D228)-INT($E$25*(8-1)/$D228))*$C228</f>
        <v>0.0</v>
      </c>
      <c r="M228" s="44">
        <f>(INT($E$25*9/$D228)-INT($E$25*(9-1)/$D228))*$C228</f>
        <v>3.998</v>
      </c>
      <c r="N228" s="44">
        <f>(INT($E$25*10/$D228)-INT($E$25*(10-1)/$D228))*$C228</f>
        <v>0.0</v>
      </c>
    </row>
    <row r="229">
      <c r="B229" s="22" t="inlineStr">
        <is>
          <t>Блок клапанов</t>
        </is>
      </c>
      <c r="C229" s="43" t="n">
        <v>1.4818</v>
      </c>
      <c r="D229" s="45" t="n">
        <v>21000</v>
      </c>
      <c r="E229" s="44">
        <f>(INT($E$25*1/$D229)-INT($E$25*(1-1)/$D229))*$C229</f>
        <v>0.0</v>
      </c>
      <c r="F229" s="44">
        <f>(INT($E$25*2/$D229)-INT($E$25*(2-1)/$D229))*$C229</f>
        <v>0.0</v>
      </c>
      <c r="G229" s="44">
        <f>(INT($E$25*3/$D229)-INT($E$25*(3-1)/$D229))*$C229</f>
        <v>1.4818</v>
      </c>
      <c r="H229" s="44">
        <f>(INT($E$25*4/$D229)-INT($E$25*(4-1)/$D229))*$C229</f>
        <v>0.0</v>
      </c>
      <c r="I229" s="44">
        <f>(INT($E$25*5/$D229)-INT($E$25*(5-1)/$D229))*$C229</f>
        <v>0.0</v>
      </c>
      <c r="J229" s="44">
        <f>(INT($E$25*6/$D229)-INT($E$25*(6-1)/$D229))*$C229</f>
        <v>1.4818</v>
      </c>
      <c r="K229" s="44">
        <f>(INT($E$25*7/$D229)-INT($E$25*(7-1)/$D229))*$C229</f>
        <v>0.0</v>
      </c>
      <c r="L229" s="44">
        <f>(INT($E$25*8/$D229)-INT($E$25*(8-1)/$D229))*$C229</f>
        <v>0.0</v>
      </c>
      <c r="M229" s="44">
        <f>(INT($E$25*9/$D229)-INT($E$25*(9-1)/$D229))*$C229</f>
        <v>1.4818</v>
      </c>
      <c r="N229" s="44">
        <f>(INT($E$25*10/$D229)-INT($E$25*(10-1)/$D229))*$C229</f>
        <v>0.0</v>
      </c>
    </row>
    <row r="230">
      <c r="B230" s="22" t="inlineStr">
        <is>
          <t>Ходовой противовесный клапан</t>
        </is>
      </c>
      <c r="C230" s="43" t="n">
        <v>14.4102</v>
      </c>
      <c r="D230" s="45" t="n">
        <v>21000</v>
      </c>
      <c r="E230" s="44">
        <f>(INT($E$25*1/$D230)-INT($E$25*(1-1)/$D230))*$C230</f>
        <v>0.0</v>
      </c>
      <c r="F230" s="44">
        <f>(INT($E$25*2/$D230)-INT($E$25*(2-1)/$D230))*$C230</f>
        <v>0.0</v>
      </c>
      <c r="G230" s="44">
        <f>(INT($E$25*3/$D230)-INT($E$25*(3-1)/$D230))*$C230</f>
        <v>14.4102</v>
      </c>
      <c r="H230" s="44">
        <f>(INT($E$25*4/$D230)-INT($E$25*(4-1)/$D230))*$C230</f>
        <v>0.0</v>
      </c>
      <c r="I230" s="44">
        <f>(INT($E$25*5/$D230)-INT($E$25*(5-1)/$D230))*$C230</f>
        <v>0.0</v>
      </c>
      <c r="J230" s="44">
        <f>(INT($E$25*6/$D230)-INT($E$25*(6-1)/$D230))*$C230</f>
        <v>14.4102</v>
      </c>
      <c r="K230" s="44">
        <f>(INT($E$25*7/$D230)-INT($E$25*(7-1)/$D230))*$C230</f>
        <v>0.0</v>
      </c>
      <c r="L230" s="44">
        <f>(INT($E$25*8/$D230)-INT($E$25*(8-1)/$D230))*$C230</f>
        <v>0.0</v>
      </c>
      <c r="M230" s="44">
        <f>(INT($E$25*9/$D230)-INT($E$25*(9-1)/$D230))*$C230</f>
        <v>14.4102</v>
      </c>
      <c r="N230" s="44">
        <f>(INT($E$25*10/$D230)-INT($E$25*(10-1)/$D230))*$C230</f>
        <v>0.0</v>
      </c>
    </row>
    <row r="231">
      <c r="B231" s="22" t="inlineStr">
        <is>
          <t>Насос АЦСС</t>
        </is>
      </c>
      <c r="C231" s="43" t="n">
        <v>79.0198</v>
      </c>
      <c r="D231" s="45" t="n">
        <v>21000</v>
      </c>
      <c r="E231" s="44">
        <f>(INT($E$25*1/$D231)-INT($E$25*(1-1)/$D231))*$C231</f>
        <v>0.0</v>
      </c>
      <c r="F231" s="44">
        <f>(INT($E$25*2/$D231)-INT($E$25*(2-1)/$D231))*$C231</f>
        <v>0.0</v>
      </c>
      <c r="G231" s="44">
        <f>(INT($E$25*3/$D231)-INT($E$25*(3-1)/$D231))*$C231</f>
        <v>79.0198</v>
      </c>
      <c r="H231" s="44">
        <f>(INT($E$25*4/$D231)-INT($E$25*(4-1)/$D231))*$C231</f>
        <v>0.0</v>
      </c>
      <c r="I231" s="44">
        <f>(INT($E$25*5/$D231)-INT($E$25*(5-1)/$D231))*$C231</f>
        <v>0.0</v>
      </c>
      <c r="J231" s="44">
        <f>(INT($E$25*6/$D231)-INT($E$25*(6-1)/$D231))*$C231</f>
        <v>79.0198</v>
      </c>
      <c r="K231" s="44">
        <f>(INT($E$25*7/$D231)-INT($E$25*(7-1)/$D231))*$C231</f>
        <v>0.0</v>
      </c>
      <c r="L231" s="44">
        <f>(INT($E$25*8/$D231)-INT($E$25*(8-1)/$D231))*$C231</f>
        <v>0.0</v>
      </c>
      <c r="M231" s="44">
        <f>(INT($E$25*9/$D231)-INT($E$25*(9-1)/$D231))*$C231</f>
        <v>79.0198</v>
      </c>
      <c r="N231" s="44">
        <f>(INT($E$25*10/$D231)-INT($E$25*(10-1)/$D231))*$C231</f>
        <v>0.0</v>
      </c>
    </row>
    <row r="232">
      <c r="B232" s="22" t="inlineStr">
        <is>
          <t>Электромагнитный клапан (2)</t>
        </is>
      </c>
      <c r="C232" s="43" t="n">
        <v>1.1173</v>
      </c>
      <c r="D232" s="45" t="n">
        <v>21000</v>
      </c>
      <c r="E232" s="44">
        <f>(INT($E$25*1/$D232)-INT($E$25*(1-1)/$D232))*$C232</f>
        <v>0.0</v>
      </c>
      <c r="F232" s="44">
        <f>(INT($E$25*2/$D232)-INT($E$25*(2-1)/$D232))*$C232</f>
        <v>0.0</v>
      </c>
      <c r="G232" s="44">
        <f>(INT($E$25*3/$D232)-INT($E$25*(3-1)/$D232))*$C232</f>
        <v>1.1173</v>
      </c>
      <c r="H232" s="44">
        <f>(INT($E$25*4/$D232)-INT($E$25*(4-1)/$D232))*$C232</f>
        <v>0.0</v>
      </c>
      <c r="I232" s="44">
        <f>(INT($E$25*5/$D232)-INT($E$25*(5-1)/$D232))*$C232</f>
        <v>0.0</v>
      </c>
      <c r="J232" s="44">
        <f>(INT($E$25*6/$D232)-INT($E$25*(6-1)/$D232))*$C232</f>
        <v>1.1173</v>
      </c>
      <c r="K232" s="44">
        <f>(INT($E$25*7/$D232)-INT($E$25*(7-1)/$D232))*$C232</f>
        <v>0.0</v>
      </c>
      <c r="L232" s="44">
        <f>(INT($E$25*8/$D232)-INT($E$25*(8-1)/$D232))*$C232</f>
        <v>0.0</v>
      </c>
      <c r="M232" s="44">
        <f>(INT($E$25*9/$D232)-INT($E$25*(9-1)/$D232))*$C232</f>
        <v>1.1173</v>
      </c>
      <c r="N232" s="44">
        <f>(INT($E$25*10/$D232)-INT($E$25*(10-1)/$D232))*$C232</f>
        <v>0.0</v>
      </c>
    </row>
    <row r="233">
      <c r="B233" s="22" t="inlineStr">
        <is>
          <t>Гидромотор (2)</t>
        </is>
      </c>
      <c r="C233" s="43" t="n">
        <v>18.0899</v>
      </c>
      <c r="D233" s="45" t="n">
        <v>21000</v>
      </c>
      <c r="E233" s="44">
        <f>(INT($E$25*1/$D233)-INT($E$25*(1-1)/$D233))*$C233</f>
        <v>0.0</v>
      </c>
      <c r="F233" s="44">
        <f>(INT($E$25*2/$D233)-INT($E$25*(2-1)/$D233))*$C233</f>
        <v>0.0</v>
      </c>
      <c r="G233" s="44">
        <f>(INT($E$25*3/$D233)-INT($E$25*(3-1)/$D233))*$C233</f>
        <v>18.0899</v>
      </c>
      <c r="H233" s="44">
        <f>(INT($E$25*4/$D233)-INT($E$25*(4-1)/$D233))*$C233</f>
        <v>0.0</v>
      </c>
      <c r="I233" s="44">
        <f>(INT($E$25*5/$D233)-INT($E$25*(5-1)/$D233))*$C233</f>
        <v>0.0</v>
      </c>
      <c r="J233" s="44">
        <f>(INT($E$25*6/$D233)-INT($E$25*(6-1)/$D233))*$C233</f>
        <v>18.0899</v>
      </c>
      <c r="K233" s="44">
        <f>(INT($E$25*7/$D233)-INT($E$25*(7-1)/$D233))*$C233</f>
        <v>0.0</v>
      </c>
      <c r="L233" s="44">
        <f>(INT($E$25*8/$D233)-INT($E$25*(8-1)/$D233))*$C233</f>
        <v>0.0</v>
      </c>
      <c r="M233" s="44">
        <f>(INT($E$25*9/$D233)-INT($E$25*(9-1)/$D233))*$C233</f>
        <v>18.0899</v>
      </c>
      <c r="N233" s="44">
        <f>(INT($E$25*10/$D233)-INT($E$25*(10-1)/$D233))*$C233</f>
        <v>0.0</v>
      </c>
    </row>
    <row r="234">
      <c r="B234" s="22" t="inlineStr">
        <is>
          <t>Электронный блок</t>
        </is>
      </c>
      <c r="C234" s="43" t="n">
        <v>2.9912</v>
      </c>
      <c r="D234" s="45" t="n">
        <v>28000</v>
      </c>
      <c r="E234" s="44">
        <f>(INT($E$25*1/$D234)-INT($E$25*(1-1)/$D234))*$C234</f>
        <v>0.0</v>
      </c>
      <c r="F234" s="44">
        <f>(INT($E$25*2/$D234)-INT($E$25*(2-1)/$D234))*$C234</f>
        <v>0.0</v>
      </c>
      <c r="G234" s="44">
        <f>(INT($E$25*3/$D234)-INT($E$25*(3-1)/$D234))*$C234</f>
        <v>0.0</v>
      </c>
      <c r="H234" s="44">
        <f>(INT($E$25*4/$D234)-INT($E$25*(4-1)/$D234))*$C234</f>
        <v>2.9912</v>
      </c>
      <c r="I234" s="44">
        <f>(INT($E$25*5/$D234)-INT($E$25*(5-1)/$D234))*$C234</f>
        <v>0.0</v>
      </c>
      <c r="J234" s="44">
        <f>(INT($E$25*6/$D234)-INT($E$25*(6-1)/$D234))*$C234</f>
        <v>0.0</v>
      </c>
      <c r="K234" s="44">
        <f>(INT($E$25*7/$D234)-INT($E$25*(7-1)/$D234))*$C234</f>
        <v>0.0</v>
      </c>
      <c r="L234" s="44">
        <f>(INT($E$25*8/$D234)-INT($E$25*(8-1)/$D234))*$C234</f>
        <v>2.9912</v>
      </c>
      <c r="M234" s="44">
        <f>(INT($E$25*9/$D234)-INT($E$25*(9-1)/$D234))*$C234</f>
        <v>0.0</v>
      </c>
      <c r="N234" s="44">
        <f>(INT($E$25*10/$D234)-INT($E$25*(10-1)/$D234))*$C234</f>
        <v>0.0</v>
      </c>
    </row>
    <row r="235">
      <c r="B235" s="22" t="inlineStr">
        <is>
          <t>Датчик давления</t>
        </is>
      </c>
      <c r="C235" s="43" t="n">
        <v>0.144</v>
      </c>
      <c r="D235" s="45" t="n">
        <v>21000</v>
      </c>
      <c r="E235" s="44">
        <f>(INT($E$25*1/$D235)-INT($E$25*(1-1)/$D235))*$C235</f>
        <v>0.0</v>
      </c>
      <c r="F235" s="44">
        <f>(INT($E$25*2/$D235)-INT($E$25*(2-1)/$D235))*$C235</f>
        <v>0.0</v>
      </c>
      <c r="G235" s="44">
        <f>(INT($E$25*3/$D235)-INT($E$25*(3-1)/$D235))*$C235</f>
        <v>0.144</v>
      </c>
      <c r="H235" s="44">
        <f>(INT($E$25*4/$D235)-INT($E$25*(4-1)/$D235))*$C235</f>
        <v>0.0</v>
      </c>
      <c r="I235" s="44">
        <f>(INT($E$25*5/$D235)-INT($E$25*(5-1)/$D235))*$C235</f>
        <v>0.0</v>
      </c>
      <c r="J235" s="44">
        <f>(INT($E$25*6/$D235)-INT($E$25*(6-1)/$D235))*$C235</f>
        <v>0.144</v>
      </c>
      <c r="K235" s="44">
        <f>(INT($E$25*7/$D235)-INT($E$25*(7-1)/$D235))*$C235</f>
        <v>0.0</v>
      </c>
      <c r="L235" s="44">
        <f>(INT($E$25*8/$D235)-INT($E$25*(8-1)/$D235))*$C235</f>
        <v>0.0</v>
      </c>
      <c r="M235" s="44">
        <f>(INT($E$25*9/$D235)-INT($E$25*(9-1)/$D235))*$C235</f>
        <v>0.144</v>
      </c>
      <c r="N235" s="44">
        <f>(INT($E$25*10/$D235)-INT($E$25*(10-1)/$D235))*$C235</f>
        <v>0.0</v>
      </c>
    </row>
    <row r="236">
      <c r="B236" s="22" t="inlineStr">
        <is>
          <t>Датчик уровня</t>
        </is>
      </c>
      <c r="C236" s="43" t="n">
        <v>0.138</v>
      </c>
      <c r="D236" s="45" t="n">
        <v>21000</v>
      </c>
      <c r="E236" s="44">
        <f>(INT($E$25*1/$D236)-INT($E$25*(1-1)/$D236))*$C236</f>
        <v>0.0</v>
      </c>
      <c r="F236" s="44">
        <f>(INT($E$25*2/$D236)-INT($E$25*(2-1)/$D236))*$C236</f>
        <v>0.0</v>
      </c>
      <c r="G236" s="44">
        <f>(INT($E$25*3/$D236)-INT($E$25*(3-1)/$D236))*$C236</f>
        <v>0.138</v>
      </c>
      <c r="H236" s="44">
        <f>(INT($E$25*4/$D236)-INT($E$25*(4-1)/$D236))*$C236</f>
        <v>0.0</v>
      </c>
      <c r="I236" s="44">
        <f>(INT($E$25*5/$D236)-INT($E$25*(5-1)/$D236))*$C236</f>
        <v>0.0</v>
      </c>
      <c r="J236" s="44">
        <f>(INT($E$25*6/$D236)-INT($E$25*(6-1)/$D236))*$C236</f>
        <v>0.138</v>
      </c>
      <c r="K236" s="44">
        <f>(INT($E$25*7/$D236)-INT($E$25*(7-1)/$D236))*$C236</f>
        <v>0.0</v>
      </c>
      <c r="L236" s="44">
        <f>(INT($E$25*8/$D236)-INT($E$25*(8-1)/$D236))*$C236</f>
        <v>0.0</v>
      </c>
      <c r="M236" s="44">
        <f>(INT($E$25*9/$D236)-INT($E$25*(9-1)/$D236))*$C236</f>
        <v>0.138</v>
      </c>
      <c r="N236" s="44">
        <f>(INT($E$25*10/$D236)-INT($E$25*(10-1)/$D236))*$C236</f>
        <v>0.0</v>
      </c>
    </row>
    <row r="237">
      <c r="B237" s="22" t="inlineStr">
        <is>
          <t>Датчик температуры</t>
        </is>
      </c>
      <c r="C237" s="43" t="n">
        <v>0.1085</v>
      </c>
      <c r="D237" s="45" t="n">
        <v>21000</v>
      </c>
      <c r="E237" s="44">
        <f>(INT($E$25*1/$D237)-INT($E$25*(1-1)/$D237))*$C237</f>
        <v>0.0</v>
      </c>
      <c r="F237" s="44">
        <f>(INT($E$25*2/$D237)-INT($E$25*(2-1)/$D237))*$C237</f>
        <v>0.0</v>
      </c>
      <c r="G237" s="44">
        <f>(INT($E$25*3/$D237)-INT($E$25*(3-1)/$D237))*$C237</f>
        <v>0.1085</v>
      </c>
      <c r="H237" s="44">
        <f>(INT($E$25*4/$D237)-INT($E$25*(4-1)/$D237))*$C237</f>
        <v>0.0</v>
      </c>
      <c r="I237" s="44">
        <f>(INT($E$25*5/$D237)-INT($E$25*(5-1)/$D237))*$C237</f>
        <v>0.0</v>
      </c>
      <c r="J237" s="44">
        <f>(INT($E$25*6/$D237)-INT($E$25*(6-1)/$D237))*$C237</f>
        <v>0.1085</v>
      </c>
      <c r="K237" s="44">
        <f>(INT($E$25*7/$D237)-INT($E$25*(7-1)/$D237))*$C237</f>
        <v>0.0</v>
      </c>
      <c r="L237" s="44">
        <f>(INT($E$25*8/$D237)-INT($E$25*(8-1)/$D237))*$C237</f>
        <v>0.0</v>
      </c>
      <c r="M237" s="44">
        <f>(INT($E$25*9/$D237)-INT($E$25*(9-1)/$D237))*$C237</f>
        <v>0.1085</v>
      </c>
      <c r="N237" s="44">
        <f>(INT($E$25*10/$D237)-INT($E$25*(10-1)/$D237))*$C237</f>
        <v>0.0</v>
      </c>
    </row>
    <row r="238">
      <c r="B238" s="22" t="inlineStr">
        <is>
          <t>Датчик давления (2)</t>
        </is>
      </c>
      <c r="C238" s="43" t="n">
        <v>0.144</v>
      </c>
      <c r="D238" s="45" t="n">
        <v>21000</v>
      </c>
      <c r="E238" s="44">
        <f>(INT($E$25*1/$D238)-INT($E$25*(1-1)/$D238))*$C238</f>
        <v>0.0</v>
      </c>
      <c r="F238" s="44">
        <f>(INT($E$25*2/$D238)-INT($E$25*(2-1)/$D238))*$C238</f>
        <v>0.0</v>
      </c>
      <c r="G238" s="44">
        <f>(INT($E$25*3/$D238)-INT($E$25*(3-1)/$D238))*$C238</f>
        <v>0.144</v>
      </c>
      <c r="H238" s="44">
        <f>(INT($E$25*4/$D238)-INT($E$25*(4-1)/$D238))*$C238</f>
        <v>0.0</v>
      </c>
      <c r="I238" s="44">
        <f>(INT($E$25*5/$D238)-INT($E$25*(5-1)/$D238))*$C238</f>
        <v>0.0</v>
      </c>
      <c r="J238" s="44">
        <f>(INT($E$25*6/$D238)-INT($E$25*(6-1)/$D238))*$C238</f>
        <v>0.144</v>
      </c>
      <c r="K238" s="44">
        <f>(INT($E$25*7/$D238)-INT($E$25*(7-1)/$D238))*$C238</f>
        <v>0.0</v>
      </c>
      <c r="L238" s="44">
        <f>(INT($E$25*8/$D238)-INT($E$25*(8-1)/$D238))*$C238</f>
        <v>0.0</v>
      </c>
      <c r="M238" s="44">
        <f>(INT($E$25*9/$D238)-INT($E$25*(9-1)/$D238))*$C238</f>
        <v>0.144</v>
      </c>
      <c r="N238" s="44">
        <f>(INT($E$25*10/$D238)-INT($E$25*(10-1)/$D238))*$C238</f>
        <v>0.0</v>
      </c>
    </row>
    <row r="239">
      <c r="B239" s="22" t="inlineStr">
        <is>
          <t>Датчик</t>
        </is>
      </c>
      <c r="C239" s="43" t="n">
        <v>0.5007</v>
      </c>
      <c r="D239" s="45" t="n">
        <v>21000</v>
      </c>
      <c r="E239" s="44">
        <f>(INT($E$25*1/$D239)-INT($E$25*(1-1)/$D239))*$C239</f>
        <v>0.0</v>
      </c>
      <c r="F239" s="44">
        <f>(INT($E$25*2/$D239)-INT($E$25*(2-1)/$D239))*$C239</f>
        <v>0.0</v>
      </c>
      <c r="G239" s="44">
        <f>(INT($E$25*3/$D239)-INT($E$25*(3-1)/$D239))*$C239</f>
        <v>0.5007</v>
      </c>
      <c r="H239" s="44">
        <f>(INT($E$25*4/$D239)-INT($E$25*(4-1)/$D239))*$C239</f>
        <v>0.0</v>
      </c>
      <c r="I239" s="44">
        <f>(INT($E$25*5/$D239)-INT($E$25*(5-1)/$D239))*$C239</f>
        <v>0.0</v>
      </c>
      <c r="J239" s="44">
        <f>(INT($E$25*6/$D239)-INT($E$25*(6-1)/$D239))*$C239</f>
        <v>0.5007</v>
      </c>
      <c r="K239" s="44">
        <f>(INT($E$25*7/$D239)-INT($E$25*(7-1)/$D239))*$C239</f>
        <v>0.0</v>
      </c>
      <c r="L239" s="44">
        <f>(INT($E$25*8/$D239)-INT($E$25*(8-1)/$D239))*$C239</f>
        <v>0.0</v>
      </c>
      <c r="M239" s="44">
        <f>(INT($E$25*9/$D239)-INT($E$25*(9-1)/$D239))*$C239</f>
        <v>0.5007</v>
      </c>
      <c r="N239" s="44">
        <f>(INT($E$25*10/$D239)-INT($E$25*(10-1)/$D239))*$C239</f>
        <v>0.0</v>
      </c>
    </row>
    <row r="240">
      <c r="B240" s="22" t="inlineStr">
        <is>
          <t>Датчик давления (3)</t>
        </is>
      </c>
      <c r="C240" s="43" t="n">
        <v>0.144</v>
      </c>
      <c r="D240" s="45" t="n">
        <v>21000</v>
      </c>
      <c r="E240" s="44">
        <f>(INT($E$25*1/$D240)-INT($E$25*(1-1)/$D240))*$C240</f>
        <v>0.0</v>
      </c>
      <c r="F240" s="44">
        <f>(INT($E$25*2/$D240)-INT($E$25*(2-1)/$D240))*$C240</f>
        <v>0.0</v>
      </c>
      <c r="G240" s="44">
        <f>(INT($E$25*3/$D240)-INT($E$25*(3-1)/$D240))*$C240</f>
        <v>0.144</v>
      </c>
      <c r="H240" s="44">
        <f>(INT($E$25*4/$D240)-INT($E$25*(4-1)/$D240))*$C240</f>
        <v>0.0</v>
      </c>
      <c r="I240" s="44">
        <f>(INT($E$25*5/$D240)-INT($E$25*(5-1)/$D240))*$C240</f>
        <v>0.0</v>
      </c>
      <c r="J240" s="44">
        <f>(INT($E$25*6/$D240)-INT($E$25*(6-1)/$D240))*$C240</f>
        <v>0.144</v>
      </c>
      <c r="K240" s="44">
        <f>(INT($E$25*7/$D240)-INT($E$25*(7-1)/$D240))*$C240</f>
        <v>0.0</v>
      </c>
      <c r="L240" s="44">
        <f>(INT($E$25*8/$D240)-INT($E$25*(8-1)/$D240))*$C240</f>
        <v>0.0</v>
      </c>
      <c r="M240" s="44">
        <f>(INT($E$25*9/$D240)-INT($E$25*(9-1)/$D240))*$C240</f>
        <v>0.144</v>
      </c>
      <c r="N240" s="44">
        <f>(INT($E$25*10/$D240)-INT($E$25*(10-1)/$D240))*$C240</f>
        <v>0.0</v>
      </c>
    </row>
    <row r="241">
      <c r="B241" s="22" t="inlineStr">
        <is>
          <t>Датчик уровня (2)</t>
        </is>
      </c>
      <c r="C241" s="43" t="n">
        <v>0.4814</v>
      </c>
      <c r="D241" s="45" t="n">
        <v>21000</v>
      </c>
      <c r="E241" s="44">
        <f>(INT($E$25*1/$D241)-INT($E$25*(1-1)/$D241))*$C241</f>
        <v>0.0</v>
      </c>
      <c r="F241" s="44">
        <f>(INT($E$25*2/$D241)-INT($E$25*(2-1)/$D241))*$C241</f>
        <v>0.0</v>
      </c>
      <c r="G241" s="44">
        <f>(INT($E$25*3/$D241)-INT($E$25*(3-1)/$D241))*$C241</f>
        <v>0.4814</v>
      </c>
      <c r="H241" s="44">
        <f>(INT($E$25*4/$D241)-INT($E$25*(4-1)/$D241))*$C241</f>
        <v>0.0</v>
      </c>
      <c r="I241" s="44">
        <f>(INT($E$25*5/$D241)-INT($E$25*(5-1)/$D241))*$C241</f>
        <v>0.0</v>
      </c>
      <c r="J241" s="44">
        <f>(INT($E$25*6/$D241)-INT($E$25*(6-1)/$D241))*$C241</f>
        <v>0.4814</v>
      </c>
      <c r="K241" s="44">
        <f>(INT($E$25*7/$D241)-INT($E$25*(7-1)/$D241))*$C241</f>
        <v>0.0</v>
      </c>
      <c r="L241" s="44">
        <f>(INT($E$25*8/$D241)-INT($E$25*(8-1)/$D241))*$C241</f>
        <v>0.0</v>
      </c>
      <c r="M241" s="44">
        <f>(INT($E$25*9/$D241)-INT($E$25*(9-1)/$D241))*$C241</f>
        <v>0.4814</v>
      </c>
      <c r="N241" s="44">
        <f>(INT($E$25*10/$D241)-INT($E$25*(10-1)/$D241))*$C241</f>
        <v>0.0</v>
      </c>
    </row>
    <row r="242">
      <c r="B242" s="22" t="inlineStr">
        <is>
          <t>Индуктивный датчик</t>
        </is>
      </c>
      <c r="C242" s="43" t="n">
        <v>0.099</v>
      </c>
      <c r="D242" s="45" t="n">
        <v>21000</v>
      </c>
      <c r="E242" s="44">
        <f>(INT($E$25*1/$D242)-INT($E$25*(1-1)/$D242))*$C242</f>
        <v>0.0</v>
      </c>
      <c r="F242" s="44">
        <f>(INT($E$25*2/$D242)-INT($E$25*(2-1)/$D242))*$C242</f>
        <v>0.0</v>
      </c>
      <c r="G242" s="44">
        <f>(INT($E$25*3/$D242)-INT($E$25*(3-1)/$D242))*$C242</f>
        <v>0.099</v>
      </c>
      <c r="H242" s="44">
        <f>(INT($E$25*4/$D242)-INT($E$25*(4-1)/$D242))*$C242</f>
        <v>0.0</v>
      </c>
      <c r="I242" s="44">
        <f>(INT($E$25*5/$D242)-INT($E$25*(5-1)/$D242))*$C242</f>
        <v>0.0</v>
      </c>
      <c r="J242" s="44">
        <f>(INT($E$25*6/$D242)-INT($E$25*(6-1)/$D242))*$C242</f>
        <v>0.099</v>
      </c>
      <c r="K242" s="44">
        <f>(INT($E$25*7/$D242)-INT($E$25*(7-1)/$D242))*$C242</f>
        <v>0.0</v>
      </c>
      <c r="L242" s="44">
        <f>(INT($E$25*8/$D242)-INT($E$25*(8-1)/$D242))*$C242</f>
        <v>0.0</v>
      </c>
      <c r="M242" s="44">
        <f>(INT($E$25*9/$D242)-INT($E$25*(9-1)/$D242))*$C242</f>
        <v>0.099</v>
      </c>
      <c r="N242" s="44">
        <f>(INT($E$25*10/$D242)-INT($E$25*(10-1)/$D242))*$C242</f>
        <v>0.0</v>
      </c>
    </row>
    <row r="243">
      <c r="B243" s="22" t="inlineStr">
        <is>
          <t>Датчик температуры (2)</t>
        </is>
      </c>
      <c r="C243" s="43" t="n">
        <v>0.1085</v>
      </c>
      <c r="D243" s="45" t="n">
        <v>21000</v>
      </c>
      <c r="E243" s="44">
        <f>(INT($E$25*1/$D243)-INT($E$25*(1-1)/$D243))*$C243</f>
        <v>0.0</v>
      </c>
      <c r="F243" s="44">
        <f>(INT($E$25*2/$D243)-INT($E$25*(2-1)/$D243))*$C243</f>
        <v>0.0</v>
      </c>
      <c r="G243" s="44">
        <f>(INT($E$25*3/$D243)-INT($E$25*(3-1)/$D243))*$C243</f>
        <v>0.1085</v>
      </c>
      <c r="H243" s="44">
        <f>(INT($E$25*4/$D243)-INT($E$25*(4-1)/$D243))*$C243</f>
        <v>0.0</v>
      </c>
      <c r="I243" s="44">
        <f>(INT($E$25*5/$D243)-INT($E$25*(5-1)/$D243))*$C243</f>
        <v>0.0</v>
      </c>
      <c r="J243" s="44">
        <f>(INT($E$25*6/$D243)-INT($E$25*(6-1)/$D243))*$C243</f>
        <v>0.1085</v>
      </c>
      <c r="K243" s="44">
        <f>(INT($E$25*7/$D243)-INT($E$25*(7-1)/$D243))*$C243</f>
        <v>0.0</v>
      </c>
      <c r="L243" s="44">
        <f>(INT($E$25*8/$D243)-INT($E$25*(8-1)/$D243))*$C243</f>
        <v>0.0</v>
      </c>
      <c r="M243" s="44">
        <f>(INT($E$25*9/$D243)-INT($E$25*(9-1)/$D243))*$C243</f>
        <v>0.1085</v>
      </c>
      <c r="N243" s="44">
        <f>(INT($E$25*10/$D243)-INT($E$25*(10-1)/$D243))*$C243</f>
        <v>0.0</v>
      </c>
    </row>
    <row r="244">
      <c r="B244" s="46" t="inlineStr">
        <is>
          <t>ИТОГО</t>
        </is>
      </c>
      <c r="E244" s="44">
        <f>SUM(E203:E243)</f>
        <v>0.0</v>
      </c>
      <c r="F244" s="44">
        <f>SUM(F203:F243)</f>
        <v>0.0</v>
      </c>
      <c r="G244" s="44">
        <f>SUM(G203:G243)</f>
        <v>1181.9091999999998</v>
      </c>
      <c r="H244" s="44">
        <f>SUM(H203:H243)</f>
        <v>2.9912</v>
      </c>
      <c r="I244" s="44">
        <f>SUM(I203:I243)</f>
        <v>0.0</v>
      </c>
      <c r="J244" s="44">
        <f>SUM(J203:J243)</f>
        <v>1181.9091999999998</v>
      </c>
      <c r="K244" s="44">
        <f>SUM(K203:K243)</f>
        <v>0.0</v>
      </c>
      <c r="L244" s="44">
        <f>SUM(L203:L243)</f>
        <v>2.9912</v>
      </c>
      <c r="M244" s="44">
        <f>SUM(M203:M243)</f>
        <v>1181.9091999999998</v>
      </c>
      <c r="N244" s="44">
        <f>SUM(N203:N243)</f>
        <v>0.0</v>
      </c>
    </row>
    <row r="246">
      <c r="B246" s="5" t="inlineStr">
        <is>
          <t>КАПИТАЛЬНЫЕ РЕМОНТЫ (ЦЕХ) — ТРУДОЗАТРАТЫ (по ресурсу до замены узла)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B247" s="15" t="inlineStr">
        <is>
          <t>Наименование</t>
        </is>
      </c>
      <c r="C247" s="15" t="inlineStr">
        <is>
          <t>нормо-час/событие</t>
        </is>
      </c>
      <c r="D247" s="15" t="inlineStr">
        <is>
          <t>ресурс, м/ч</t>
        </is>
      </c>
      <c r="E247" s="15" t="inlineStr">
        <is>
          <t>год 1</t>
        </is>
      </c>
      <c r="F247" s="15" t="inlineStr">
        <is>
          <t>год 2</t>
        </is>
      </c>
      <c r="G247" s="15" t="inlineStr">
        <is>
          <t>год 3</t>
        </is>
      </c>
      <c r="H247" s="15" t="inlineStr">
        <is>
          <t>год 4</t>
        </is>
      </c>
      <c r="I247" s="15" t="inlineStr">
        <is>
          <t>год 5</t>
        </is>
      </c>
      <c r="J247" s="15" t="inlineStr">
        <is>
          <t>год 6</t>
        </is>
      </c>
      <c r="K247" s="15" t="inlineStr">
        <is>
          <t>год 7</t>
        </is>
      </c>
      <c r="L247" s="15" t="inlineStr">
        <is>
          <t>год 8</t>
        </is>
      </c>
      <c r="M247" s="15" t="inlineStr">
        <is>
          <t>год 9</t>
        </is>
      </c>
      <c r="N247" s="15" t="inlineStr">
        <is>
          <t>год 10</t>
        </is>
      </c>
    </row>
    <row r="248">
      <c r="B248" s="22" t="inlineStr">
        <is>
          <t>Капитальный ремонт/замена ДВС</t>
        </is>
      </c>
      <c r="C248" s="43" t="n">
        <v>1120</v>
      </c>
      <c r="D248" s="45" t="n">
        <v>21000</v>
      </c>
      <c r="E248" s="44">
        <f>(INT($E$25*1/$D248)-INT($E$25*(1-1)/$D248))*$C248</f>
        <v>0.0</v>
      </c>
      <c r="F248" s="44">
        <f>(INT($E$25*2/$D248)-INT($E$25*(2-1)/$D248))*$C248</f>
        <v>0.0</v>
      </c>
      <c r="G248" s="44">
        <f>(INT($E$25*3/$D248)-INT($E$25*(3-1)/$D248))*$C248</f>
        <v>1120.0</v>
      </c>
      <c r="H248" s="44">
        <f>(INT($E$25*4/$D248)-INT($E$25*(4-1)/$D248))*$C248</f>
        <v>0.0</v>
      </c>
      <c r="I248" s="44">
        <f>(INT($E$25*5/$D248)-INT($E$25*(5-1)/$D248))*$C248</f>
        <v>0.0</v>
      </c>
      <c r="J248" s="44">
        <f>(INT($E$25*6/$D248)-INT($E$25*(6-1)/$D248))*$C248</f>
        <v>1120.0</v>
      </c>
      <c r="K248" s="44">
        <f>(INT($E$25*7/$D248)-INT($E$25*(7-1)/$D248))*$C248</f>
        <v>0.0</v>
      </c>
      <c r="L248" s="44">
        <f>(INT($E$25*8/$D248)-INT($E$25*(8-1)/$D248))*$C248</f>
        <v>0.0</v>
      </c>
      <c r="M248" s="44">
        <f>(INT($E$25*9/$D248)-INT($E$25*(9-1)/$D248))*$C248</f>
        <v>1120.0</v>
      </c>
      <c r="N248" s="44">
        <f>(INT($E$25*10/$D248)-INT($E$25*(10-1)/$D248))*$C248</f>
        <v>0.0</v>
      </c>
    </row>
    <row r="249">
      <c r="B249" s="22" t="inlineStr">
        <is>
          <t>Замена гидромоторов поворотной платформы</t>
        </is>
      </c>
      <c r="C249" s="43" t="n">
        <v>12</v>
      </c>
      <c r="D249" s="45" t="n">
        <v>21000</v>
      </c>
      <c r="E249" s="44">
        <f>(INT($E$25*1/$D249)-INT($E$25*(1-1)/$D249))*$C249</f>
        <v>0.0</v>
      </c>
      <c r="F249" s="44">
        <f>(INT($E$25*2/$D249)-INT($E$25*(2-1)/$D249))*$C249</f>
        <v>0.0</v>
      </c>
      <c r="G249" s="44">
        <f>(INT($E$25*3/$D249)-INT($E$25*(3-1)/$D249))*$C249</f>
        <v>12.0</v>
      </c>
      <c r="H249" s="44">
        <f>(INT($E$25*4/$D249)-INT($E$25*(4-1)/$D249))*$C249</f>
        <v>0.0</v>
      </c>
      <c r="I249" s="44">
        <f>(INT($E$25*5/$D249)-INT($E$25*(5-1)/$D249))*$C249</f>
        <v>0.0</v>
      </c>
      <c r="J249" s="44">
        <f>(INT($E$25*6/$D249)-INT($E$25*(6-1)/$D249))*$C249</f>
        <v>12.0</v>
      </c>
      <c r="K249" s="44">
        <f>(INT($E$25*7/$D249)-INT($E$25*(7-1)/$D249))*$C249</f>
        <v>0.0</v>
      </c>
      <c r="L249" s="44">
        <f>(INT($E$25*8/$D249)-INT($E$25*(8-1)/$D249))*$C249</f>
        <v>0.0</v>
      </c>
      <c r="M249" s="44">
        <f>(INT($E$25*9/$D249)-INT($E$25*(9-1)/$D249))*$C249</f>
        <v>12.0</v>
      </c>
      <c r="N249" s="44">
        <f>(INT($E$25*10/$D249)-INT($E$25*(10-1)/$D249))*$C249</f>
        <v>0.0</v>
      </c>
    </row>
    <row r="250">
      <c r="B250" s="22" t="inlineStr">
        <is>
          <t>Замена редукторов гидромотора поворотной платформы</t>
        </is>
      </c>
      <c r="C250" s="43" t="n">
        <v>16</v>
      </c>
      <c r="D250" s="45" t="n">
        <v>21000</v>
      </c>
      <c r="E250" s="44">
        <f>(INT($E$25*1/$D250)-INT($E$25*(1-1)/$D250))*$C250</f>
        <v>0.0</v>
      </c>
      <c r="F250" s="44">
        <f>(INT($E$25*2/$D250)-INT($E$25*(2-1)/$D250))*$C250</f>
        <v>0.0</v>
      </c>
      <c r="G250" s="44">
        <f>(INT($E$25*3/$D250)-INT($E$25*(3-1)/$D250))*$C250</f>
        <v>16.0</v>
      </c>
      <c r="H250" s="44">
        <f>(INT($E$25*4/$D250)-INT($E$25*(4-1)/$D250))*$C250</f>
        <v>0.0</v>
      </c>
      <c r="I250" s="44">
        <f>(INT($E$25*5/$D250)-INT($E$25*(5-1)/$D250))*$C250</f>
        <v>0.0</v>
      </c>
      <c r="J250" s="44">
        <f>(INT($E$25*6/$D250)-INT($E$25*(6-1)/$D250))*$C250</f>
        <v>16.0</v>
      </c>
      <c r="K250" s="44">
        <f>(INT($E$25*7/$D250)-INT($E$25*(7-1)/$D250))*$C250</f>
        <v>0.0</v>
      </c>
      <c r="L250" s="44">
        <f>(INT($E$25*8/$D250)-INT($E$25*(8-1)/$D250))*$C250</f>
        <v>0.0</v>
      </c>
      <c r="M250" s="44">
        <f>(INT($E$25*9/$D250)-INT($E$25*(9-1)/$D250))*$C250</f>
        <v>16.0</v>
      </c>
      <c r="N250" s="44">
        <f>(INT($E$25*10/$D250)-INT($E$25*(10-1)/$D250))*$C250</f>
        <v>0.0</v>
      </c>
    </row>
    <row r="251">
      <c r="B251" s="22" t="inlineStr">
        <is>
          <t>Замена гидроаккумулятора</t>
        </is>
      </c>
      <c r="C251" s="43" t="n">
        <v>2</v>
      </c>
      <c r="D251" s="45" t="n">
        <v>21000</v>
      </c>
      <c r="E251" s="44">
        <f>(INT($E$25*1/$D251)-INT($E$25*(1-1)/$D251))*$C251</f>
        <v>0.0</v>
      </c>
      <c r="F251" s="44">
        <f>(INT($E$25*2/$D251)-INT($E$25*(2-1)/$D251))*$C251</f>
        <v>0.0</v>
      </c>
      <c r="G251" s="44">
        <f>(INT($E$25*3/$D251)-INT($E$25*(3-1)/$D251))*$C251</f>
        <v>2.0</v>
      </c>
      <c r="H251" s="44">
        <f>(INT($E$25*4/$D251)-INT($E$25*(4-1)/$D251))*$C251</f>
        <v>0.0</v>
      </c>
      <c r="I251" s="44">
        <f>(INT($E$25*5/$D251)-INT($E$25*(5-1)/$D251))*$C251</f>
        <v>0.0</v>
      </c>
      <c r="J251" s="44">
        <f>(INT($E$25*6/$D251)-INT($E$25*(6-1)/$D251))*$C251</f>
        <v>2.0</v>
      </c>
      <c r="K251" s="44">
        <f>(INT($E$25*7/$D251)-INT($E$25*(7-1)/$D251))*$C251</f>
        <v>0.0</v>
      </c>
      <c r="L251" s="44">
        <f>(INT($E$25*8/$D251)-INT($E$25*(8-1)/$D251))*$C251</f>
        <v>0.0</v>
      </c>
      <c r="M251" s="44">
        <f>(INT($E$25*9/$D251)-INT($E$25*(9-1)/$D251))*$C251</f>
        <v>2.0</v>
      </c>
      <c r="N251" s="44">
        <f>(INT($E$25*10/$D251)-INT($E$25*(10-1)/$D251))*$C251</f>
        <v>0.0</v>
      </c>
    </row>
    <row r="252">
      <c r="B252" s="22" t="inlineStr">
        <is>
          <t>Замена гидравлических насосов(сервоуправление,система охлаждения)</t>
        </is>
      </c>
      <c r="C252" s="43" t="n">
        <v>6</v>
      </c>
      <c r="D252" s="45" t="n">
        <v>21000</v>
      </c>
      <c r="E252" s="44">
        <f>(INT($E$25*1/$D252)-INT($E$25*(1-1)/$D252))*$C252</f>
        <v>0.0</v>
      </c>
      <c r="F252" s="44">
        <f>(INT($E$25*2/$D252)-INT($E$25*(2-1)/$D252))*$C252</f>
        <v>0.0</v>
      </c>
      <c r="G252" s="44">
        <f>(INT($E$25*3/$D252)-INT($E$25*(3-1)/$D252))*$C252</f>
        <v>6.0</v>
      </c>
      <c r="H252" s="44">
        <f>(INT($E$25*4/$D252)-INT($E$25*(4-1)/$D252))*$C252</f>
        <v>0.0</v>
      </c>
      <c r="I252" s="44">
        <f>(INT($E$25*5/$D252)-INT($E$25*(5-1)/$D252))*$C252</f>
        <v>0.0</v>
      </c>
      <c r="J252" s="44">
        <f>(INT($E$25*6/$D252)-INT($E$25*(6-1)/$D252))*$C252</f>
        <v>6.0</v>
      </c>
      <c r="K252" s="44">
        <f>(INT($E$25*7/$D252)-INT($E$25*(7-1)/$D252))*$C252</f>
        <v>0.0</v>
      </c>
      <c r="L252" s="44">
        <f>(INT($E$25*8/$D252)-INT($E$25*(8-1)/$D252))*$C252</f>
        <v>0.0</v>
      </c>
      <c r="M252" s="44">
        <f>(INT($E$25*9/$D252)-INT($E$25*(9-1)/$D252))*$C252</f>
        <v>6.0</v>
      </c>
      <c r="N252" s="44">
        <f>(INT($E$25*10/$D252)-INT($E$25*(10-1)/$D252))*$C252</f>
        <v>0.0</v>
      </c>
    </row>
    <row r="253">
      <c r="B253" s="22" t="inlineStr">
        <is>
          <t>Замена главных гидравлических насосов</t>
        </is>
      </c>
      <c r="C253" s="43" t="n">
        <v>60</v>
      </c>
      <c r="D253" s="45" t="n">
        <v>21000</v>
      </c>
      <c r="E253" s="44">
        <f>(INT($E$25*1/$D253)-INT($E$25*(1-1)/$D253))*$C253</f>
        <v>0.0</v>
      </c>
      <c r="F253" s="44">
        <f>(INT($E$25*2/$D253)-INT($E$25*(2-1)/$D253))*$C253</f>
        <v>0.0</v>
      </c>
      <c r="G253" s="44">
        <f>(INT($E$25*3/$D253)-INT($E$25*(3-1)/$D253))*$C253</f>
        <v>60.0</v>
      </c>
      <c r="H253" s="44">
        <f>(INT($E$25*4/$D253)-INT($E$25*(4-1)/$D253))*$C253</f>
        <v>0.0</v>
      </c>
      <c r="I253" s="44">
        <f>(INT($E$25*5/$D253)-INT($E$25*(5-1)/$D253))*$C253</f>
        <v>0.0</v>
      </c>
      <c r="J253" s="44">
        <f>(INT($E$25*6/$D253)-INT($E$25*(6-1)/$D253))*$C253</f>
        <v>60.0</v>
      </c>
      <c r="K253" s="44">
        <f>(INT($E$25*7/$D253)-INT($E$25*(7-1)/$D253))*$C253</f>
        <v>0.0</v>
      </c>
      <c r="L253" s="44">
        <f>(INT($E$25*8/$D253)-INT($E$25*(8-1)/$D253))*$C253</f>
        <v>0.0</v>
      </c>
      <c r="M253" s="44">
        <f>(INT($E$25*9/$D253)-INT($E$25*(9-1)/$D253))*$C253</f>
        <v>60.0</v>
      </c>
      <c r="N253" s="44">
        <f>(INT($E$25*10/$D253)-INT($E$25*(10-1)/$D253))*$C253</f>
        <v>0.0</v>
      </c>
    </row>
    <row r="254">
      <c r="B254" s="22" t="inlineStr">
        <is>
          <t>Замена рукавов гидроцилиндров</t>
        </is>
      </c>
      <c r="C254" s="43" t="n">
        <v>36</v>
      </c>
      <c r="D254" s="45" t="n">
        <v>21000</v>
      </c>
      <c r="E254" s="44">
        <f>(INT($E$25*1/$D254)-INT($E$25*(1-1)/$D254))*$C254</f>
        <v>0.0</v>
      </c>
      <c r="F254" s="44">
        <f>(INT($E$25*2/$D254)-INT($E$25*(2-1)/$D254))*$C254</f>
        <v>0.0</v>
      </c>
      <c r="G254" s="44">
        <f>(INT($E$25*3/$D254)-INT($E$25*(3-1)/$D254))*$C254</f>
        <v>36.0</v>
      </c>
      <c r="H254" s="44">
        <f>(INT($E$25*4/$D254)-INT($E$25*(4-1)/$D254))*$C254</f>
        <v>0.0</v>
      </c>
      <c r="I254" s="44">
        <f>(INT($E$25*5/$D254)-INT($E$25*(5-1)/$D254))*$C254</f>
        <v>0.0</v>
      </c>
      <c r="J254" s="44">
        <f>(INT($E$25*6/$D254)-INT($E$25*(6-1)/$D254))*$C254</f>
        <v>36.0</v>
      </c>
      <c r="K254" s="44">
        <f>(INT($E$25*7/$D254)-INT($E$25*(7-1)/$D254))*$C254</f>
        <v>0.0</v>
      </c>
      <c r="L254" s="44">
        <f>(INT($E$25*8/$D254)-INT($E$25*(8-1)/$D254))*$C254</f>
        <v>0.0</v>
      </c>
      <c r="M254" s="44">
        <f>(INT($E$25*9/$D254)-INT($E$25*(9-1)/$D254))*$C254</f>
        <v>36.0</v>
      </c>
      <c r="N254" s="44">
        <f>(INT($E$25*10/$D254)-INT($E$25*(10-1)/$D254))*$C254</f>
        <v>0.0</v>
      </c>
    </row>
    <row r="255">
      <c r="B255" s="22" t="inlineStr">
        <is>
          <t>Замена гидравлических моторов(система охлаждения)</t>
        </is>
      </c>
      <c r="C255" s="43" t="n">
        <v>8</v>
      </c>
      <c r="D255" s="45" t="n">
        <v>21000</v>
      </c>
      <c r="E255" s="44">
        <f>(INT($E$25*1/$D255)-INT($E$25*(1-1)/$D255))*$C255</f>
        <v>0.0</v>
      </c>
      <c r="F255" s="44">
        <f>(INT($E$25*2/$D255)-INT($E$25*(2-1)/$D255))*$C255</f>
        <v>0.0</v>
      </c>
      <c r="G255" s="44">
        <f>(INT($E$25*3/$D255)-INT($E$25*(3-1)/$D255))*$C255</f>
        <v>8.0</v>
      </c>
      <c r="H255" s="44">
        <f>(INT($E$25*4/$D255)-INT($E$25*(4-1)/$D255))*$C255</f>
        <v>0.0</v>
      </c>
      <c r="I255" s="44">
        <f>(INT($E$25*5/$D255)-INT($E$25*(5-1)/$D255))*$C255</f>
        <v>0.0</v>
      </c>
      <c r="J255" s="44">
        <f>(INT($E$25*6/$D255)-INT($E$25*(6-1)/$D255))*$C255</f>
        <v>8.0</v>
      </c>
      <c r="K255" s="44">
        <f>(INT($E$25*7/$D255)-INT($E$25*(7-1)/$D255))*$C255</f>
        <v>0.0</v>
      </c>
      <c r="L255" s="44">
        <f>(INT($E$25*8/$D255)-INT($E$25*(8-1)/$D255))*$C255</f>
        <v>0.0</v>
      </c>
      <c r="M255" s="44">
        <f>(INT($E$25*9/$D255)-INT($E$25*(9-1)/$D255))*$C255</f>
        <v>8.0</v>
      </c>
      <c r="N255" s="44">
        <f>(INT($E$25*10/$D255)-INT($E$25*(10-1)/$D255))*$C255</f>
        <v>0.0</v>
      </c>
    </row>
    <row r="256">
      <c r="B256" s="22" t="inlineStr">
        <is>
          <t>Замена клапана</t>
        </is>
      </c>
      <c r="C256" s="43" t="n">
        <v>2</v>
      </c>
      <c r="D256" s="45" t="n">
        <v>21000</v>
      </c>
      <c r="E256" s="44">
        <f>(INT($E$25*1/$D256)-INT($E$25*(1-1)/$D256))*$C256</f>
        <v>0.0</v>
      </c>
      <c r="F256" s="44">
        <f>(INT($E$25*2/$D256)-INT($E$25*(2-1)/$D256))*$C256</f>
        <v>0.0</v>
      </c>
      <c r="G256" s="44">
        <f>(INT($E$25*3/$D256)-INT($E$25*(3-1)/$D256))*$C256</f>
        <v>2.0</v>
      </c>
      <c r="H256" s="44">
        <f>(INT($E$25*4/$D256)-INT($E$25*(4-1)/$D256))*$C256</f>
        <v>0.0</v>
      </c>
      <c r="I256" s="44">
        <f>(INT($E$25*5/$D256)-INT($E$25*(5-1)/$D256))*$C256</f>
        <v>0.0</v>
      </c>
      <c r="J256" s="44">
        <f>(INT($E$25*6/$D256)-INT($E$25*(6-1)/$D256))*$C256</f>
        <v>2.0</v>
      </c>
      <c r="K256" s="44">
        <f>(INT($E$25*7/$D256)-INT($E$25*(7-1)/$D256))*$C256</f>
        <v>0.0</v>
      </c>
      <c r="L256" s="44">
        <f>(INT($E$25*8/$D256)-INT($E$25*(8-1)/$D256))*$C256</f>
        <v>0.0</v>
      </c>
      <c r="M256" s="44">
        <f>(INT($E$25*9/$D256)-INT($E$25*(9-1)/$D256))*$C256</f>
        <v>2.0</v>
      </c>
      <c r="N256" s="44">
        <f>(INT($E$25*10/$D256)-INT($E$25*(10-1)/$D256))*$C256</f>
        <v>0.0</v>
      </c>
    </row>
    <row r="257">
      <c r="B257" s="22" t="inlineStr">
        <is>
          <t>Замена ходовых редукторов</t>
        </is>
      </c>
      <c r="C257" s="43" t="n">
        <v>48</v>
      </c>
      <c r="D257" s="45" t="n">
        <v>21000</v>
      </c>
      <c r="E257" s="44">
        <f>(INT($E$25*1/$D257)-INT($E$25*(1-1)/$D257))*$C257</f>
        <v>0.0</v>
      </c>
      <c r="F257" s="44">
        <f>(INT($E$25*2/$D257)-INT($E$25*(2-1)/$D257))*$C257</f>
        <v>0.0</v>
      </c>
      <c r="G257" s="44">
        <f>(INT($E$25*3/$D257)-INT($E$25*(3-1)/$D257))*$C257</f>
        <v>48.0</v>
      </c>
      <c r="H257" s="44">
        <f>(INT($E$25*4/$D257)-INT($E$25*(4-1)/$D257))*$C257</f>
        <v>0.0</v>
      </c>
      <c r="I257" s="44">
        <f>(INT($E$25*5/$D257)-INT($E$25*(5-1)/$D257))*$C257</f>
        <v>0.0</v>
      </c>
      <c r="J257" s="44">
        <f>(INT($E$25*6/$D257)-INT($E$25*(6-1)/$D257))*$C257</f>
        <v>48.0</v>
      </c>
      <c r="K257" s="44">
        <f>(INT($E$25*7/$D257)-INT($E$25*(7-1)/$D257))*$C257</f>
        <v>0.0</v>
      </c>
      <c r="L257" s="44">
        <f>(INT($E$25*8/$D257)-INT($E$25*(8-1)/$D257))*$C257</f>
        <v>0.0</v>
      </c>
      <c r="M257" s="44">
        <f>(INT($E$25*9/$D257)-INT($E$25*(9-1)/$D257))*$C257</f>
        <v>48.0</v>
      </c>
      <c r="N257" s="44">
        <f>(INT($E$25*10/$D257)-INT($E$25*(10-1)/$D257))*$C257</f>
        <v>0.0</v>
      </c>
    </row>
    <row r="258">
      <c r="B258" s="22" t="inlineStr">
        <is>
          <t>Замена ходовых гидромоторов</t>
        </is>
      </c>
      <c r="C258" s="43" t="n">
        <v>12</v>
      </c>
      <c r="D258" s="45" t="n">
        <v>21000</v>
      </c>
      <c r="E258" s="44">
        <f>(INT($E$25*1/$D258)-INT($E$25*(1-1)/$D258))*$C258</f>
        <v>0.0</v>
      </c>
      <c r="F258" s="44">
        <f>(INT($E$25*2/$D258)-INT($E$25*(2-1)/$D258))*$C258</f>
        <v>0.0</v>
      </c>
      <c r="G258" s="44">
        <f>(INT($E$25*3/$D258)-INT($E$25*(3-1)/$D258))*$C258</f>
        <v>12.0</v>
      </c>
      <c r="H258" s="44">
        <f>(INT($E$25*4/$D258)-INT($E$25*(4-1)/$D258))*$C258</f>
        <v>0.0</v>
      </c>
      <c r="I258" s="44">
        <f>(INT($E$25*5/$D258)-INT($E$25*(5-1)/$D258))*$C258</f>
        <v>0.0</v>
      </c>
      <c r="J258" s="44">
        <f>(INT($E$25*6/$D258)-INT($E$25*(6-1)/$D258))*$C258</f>
        <v>12.0</v>
      </c>
      <c r="K258" s="44">
        <f>(INT($E$25*7/$D258)-INT($E$25*(7-1)/$D258))*$C258</f>
        <v>0.0</v>
      </c>
      <c r="L258" s="44">
        <f>(INT($E$25*8/$D258)-INT($E$25*(8-1)/$D258))*$C258</f>
        <v>0.0</v>
      </c>
      <c r="M258" s="44">
        <f>(INT($E$25*9/$D258)-INT($E$25*(9-1)/$D258))*$C258</f>
        <v>12.0</v>
      </c>
      <c r="N258" s="44">
        <f>(INT($E$25*10/$D258)-INT($E$25*(10-1)/$D258))*$C258</f>
        <v>0.0</v>
      </c>
    </row>
    <row r="259">
      <c r="B259" s="22" t="inlineStr">
        <is>
          <t>Замена клапана сервоуправления</t>
        </is>
      </c>
      <c r="C259" s="43" t="n">
        <v>8</v>
      </c>
      <c r="D259" s="45" t="n">
        <v>21000</v>
      </c>
      <c r="E259" s="44">
        <f>(INT($E$25*1/$D259)-INT($E$25*(1-1)/$D259))*$C259</f>
        <v>0.0</v>
      </c>
      <c r="F259" s="44">
        <f>(INT($E$25*2/$D259)-INT($E$25*(2-1)/$D259))*$C259</f>
        <v>0.0</v>
      </c>
      <c r="G259" s="44">
        <f>(INT($E$25*3/$D259)-INT($E$25*(3-1)/$D259))*$C259</f>
        <v>8.0</v>
      </c>
      <c r="H259" s="44">
        <f>(INT($E$25*4/$D259)-INT($E$25*(4-1)/$D259))*$C259</f>
        <v>0.0</v>
      </c>
      <c r="I259" s="44">
        <f>(INT($E$25*5/$D259)-INT($E$25*(5-1)/$D259))*$C259</f>
        <v>0.0</v>
      </c>
      <c r="J259" s="44">
        <f>(INT($E$25*6/$D259)-INT($E$25*(6-1)/$D259))*$C259</f>
        <v>8.0</v>
      </c>
      <c r="K259" s="44">
        <f>(INT($E$25*7/$D259)-INT($E$25*(7-1)/$D259))*$C259</f>
        <v>0.0</v>
      </c>
      <c r="L259" s="44">
        <f>(INT($E$25*8/$D259)-INT($E$25*(8-1)/$D259))*$C259</f>
        <v>0.0</v>
      </c>
      <c r="M259" s="44">
        <f>(INT($E$25*9/$D259)-INT($E$25*(9-1)/$D259))*$C259</f>
        <v>8.0</v>
      </c>
      <c r="N259" s="44">
        <f>(INT($E$25*10/$D259)-INT($E$25*(10-1)/$D259))*$C259</f>
        <v>0.0</v>
      </c>
    </row>
    <row r="260">
      <c r="B260" s="22" t="inlineStr">
        <is>
          <t>Замена распределителей</t>
        </is>
      </c>
      <c r="C260" s="43" t="n">
        <v>36</v>
      </c>
      <c r="D260" s="45" t="n">
        <v>21000</v>
      </c>
      <c r="E260" s="44">
        <f>(INT($E$25*1/$D260)-INT($E$25*(1-1)/$D260))*$C260</f>
        <v>0.0</v>
      </c>
      <c r="F260" s="44">
        <f>(INT($E$25*2/$D260)-INT($E$25*(2-1)/$D260))*$C260</f>
        <v>0.0</v>
      </c>
      <c r="G260" s="44">
        <f>(INT($E$25*3/$D260)-INT($E$25*(3-1)/$D260))*$C260</f>
        <v>36.0</v>
      </c>
      <c r="H260" s="44">
        <f>(INT($E$25*4/$D260)-INT($E$25*(4-1)/$D260))*$C260</f>
        <v>0.0</v>
      </c>
      <c r="I260" s="44">
        <f>(INT($E$25*5/$D260)-INT($E$25*(5-1)/$D260))*$C260</f>
        <v>0.0</v>
      </c>
      <c r="J260" s="44">
        <f>(INT($E$25*6/$D260)-INT($E$25*(6-1)/$D260))*$C260</f>
        <v>36.0</v>
      </c>
      <c r="K260" s="44">
        <f>(INT($E$25*7/$D260)-INT($E$25*(7-1)/$D260))*$C260</f>
        <v>0.0</v>
      </c>
      <c r="L260" s="44">
        <f>(INT($E$25*8/$D260)-INT($E$25*(8-1)/$D260))*$C260</f>
        <v>0.0</v>
      </c>
      <c r="M260" s="44">
        <f>(INT($E$25*9/$D260)-INT($E$25*(9-1)/$D260))*$C260</f>
        <v>36.0</v>
      </c>
      <c r="N260" s="44">
        <f>(INT($E$25*10/$D260)-INT($E$25*(10-1)/$D260))*$C260</f>
        <v>0.0</v>
      </c>
    </row>
    <row r="261">
      <c r="B261" s="22" t="inlineStr">
        <is>
          <t>Замена левого гидроцилиндра ковша</t>
        </is>
      </c>
      <c r="C261" s="43" t="n">
        <v>6</v>
      </c>
      <c r="D261" s="45" t="n">
        <v>21000</v>
      </c>
      <c r="E261" s="44">
        <f>(INT($E$25*1/$D261)-INT($E$25*(1-1)/$D261))*$C261</f>
        <v>0.0</v>
      </c>
      <c r="F261" s="44">
        <f>(INT($E$25*2/$D261)-INT($E$25*(2-1)/$D261))*$C261</f>
        <v>0.0</v>
      </c>
      <c r="G261" s="44">
        <f>(INT($E$25*3/$D261)-INT($E$25*(3-1)/$D261))*$C261</f>
        <v>6.0</v>
      </c>
      <c r="H261" s="44">
        <f>(INT($E$25*4/$D261)-INT($E$25*(4-1)/$D261))*$C261</f>
        <v>0.0</v>
      </c>
      <c r="I261" s="44">
        <f>(INT($E$25*5/$D261)-INT($E$25*(5-1)/$D261))*$C261</f>
        <v>0.0</v>
      </c>
      <c r="J261" s="44">
        <f>(INT($E$25*6/$D261)-INT($E$25*(6-1)/$D261))*$C261</f>
        <v>6.0</v>
      </c>
      <c r="K261" s="44">
        <f>(INT($E$25*7/$D261)-INT($E$25*(7-1)/$D261))*$C261</f>
        <v>0.0</v>
      </c>
      <c r="L261" s="44">
        <f>(INT($E$25*8/$D261)-INT($E$25*(8-1)/$D261))*$C261</f>
        <v>0.0</v>
      </c>
      <c r="M261" s="44">
        <f>(INT($E$25*9/$D261)-INT($E$25*(9-1)/$D261))*$C261</f>
        <v>6.0</v>
      </c>
      <c r="N261" s="44">
        <f>(INT($E$25*10/$D261)-INT($E$25*(10-1)/$D261))*$C261</f>
        <v>0.0</v>
      </c>
    </row>
    <row r="262">
      <c r="B262" s="22" t="inlineStr">
        <is>
          <t>Замена правого гидроцилиндра ковша</t>
        </is>
      </c>
      <c r="C262" s="43" t="n">
        <v>6</v>
      </c>
      <c r="D262" s="45" t="n">
        <v>21000</v>
      </c>
      <c r="E262" s="44">
        <f>(INT($E$25*1/$D262)-INT($E$25*(1-1)/$D262))*$C262</f>
        <v>0.0</v>
      </c>
      <c r="F262" s="44">
        <f>(INT($E$25*2/$D262)-INT($E$25*(2-1)/$D262))*$C262</f>
        <v>0.0</v>
      </c>
      <c r="G262" s="44">
        <f>(INT($E$25*3/$D262)-INT($E$25*(3-1)/$D262))*$C262</f>
        <v>6.0</v>
      </c>
      <c r="H262" s="44">
        <f>(INT($E$25*4/$D262)-INT($E$25*(4-1)/$D262))*$C262</f>
        <v>0.0</v>
      </c>
      <c r="I262" s="44">
        <f>(INT($E$25*5/$D262)-INT($E$25*(5-1)/$D262))*$C262</f>
        <v>0.0</v>
      </c>
      <c r="J262" s="44">
        <f>(INT($E$25*6/$D262)-INT($E$25*(6-1)/$D262))*$C262</f>
        <v>6.0</v>
      </c>
      <c r="K262" s="44">
        <f>(INT($E$25*7/$D262)-INT($E$25*(7-1)/$D262))*$C262</f>
        <v>0.0</v>
      </c>
      <c r="L262" s="44">
        <f>(INT($E$25*8/$D262)-INT($E$25*(8-1)/$D262))*$C262</f>
        <v>0.0</v>
      </c>
      <c r="M262" s="44">
        <f>(INT($E$25*9/$D262)-INT($E$25*(9-1)/$D262))*$C262</f>
        <v>6.0</v>
      </c>
      <c r="N262" s="44">
        <f>(INT($E$25*10/$D262)-INT($E$25*(10-1)/$D262))*$C262</f>
        <v>0.0</v>
      </c>
    </row>
    <row r="263">
      <c r="B263" s="22" t="inlineStr">
        <is>
          <t>Замена гидроцилиндров рукояти</t>
        </is>
      </c>
      <c r="C263" s="43" t="n">
        <v>16</v>
      </c>
      <c r="D263" s="45" t="n">
        <v>21000</v>
      </c>
      <c r="E263" s="44">
        <f>(INT($E$25*1/$D263)-INT($E$25*(1-1)/$D263))*$C263</f>
        <v>0.0</v>
      </c>
      <c r="F263" s="44">
        <f>(INT($E$25*2/$D263)-INT($E$25*(2-1)/$D263))*$C263</f>
        <v>0.0</v>
      </c>
      <c r="G263" s="44">
        <f>(INT($E$25*3/$D263)-INT($E$25*(3-1)/$D263))*$C263</f>
        <v>16.0</v>
      </c>
      <c r="H263" s="44">
        <f>(INT($E$25*4/$D263)-INT($E$25*(4-1)/$D263))*$C263</f>
        <v>0.0</v>
      </c>
      <c r="I263" s="44">
        <f>(INT($E$25*5/$D263)-INT($E$25*(5-1)/$D263))*$C263</f>
        <v>0.0</v>
      </c>
      <c r="J263" s="44">
        <f>(INT($E$25*6/$D263)-INT($E$25*(6-1)/$D263))*$C263</f>
        <v>16.0</v>
      </c>
      <c r="K263" s="44">
        <f>(INT($E$25*7/$D263)-INT($E$25*(7-1)/$D263))*$C263</f>
        <v>0.0</v>
      </c>
      <c r="L263" s="44">
        <f>(INT($E$25*8/$D263)-INT($E$25*(8-1)/$D263))*$C263</f>
        <v>0.0</v>
      </c>
      <c r="M263" s="44">
        <f>(INT($E$25*9/$D263)-INT($E$25*(9-1)/$D263))*$C263</f>
        <v>16.0</v>
      </c>
      <c r="N263" s="44">
        <f>(INT($E$25*10/$D263)-INT($E$25*(10-1)/$D263))*$C263</f>
        <v>0.0</v>
      </c>
    </row>
    <row r="264">
      <c r="B264" s="22" t="inlineStr">
        <is>
          <t>Замена гидроцилиндров стрелы</t>
        </is>
      </c>
      <c r="C264" s="43" t="n">
        <v>16</v>
      </c>
      <c r="D264" s="45" t="n">
        <v>21000</v>
      </c>
      <c r="E264" s="44">
        <f>(INT($E$25*1/$D264)-INT($E$25*(1-1)/$D264))*$C264</f>
        <v>0.0</v>
      </c>
      <c r="F264" s="44">
        <f>(INT($E$25*2/$D264)-INT($E$25*(2-1)/$D264))*$C264</f>
        <v>0.0</v>
      </c>
      <c r="G264" s="44">
        <f>(INT($E$25*3/$D264)-INT($E$25*(3-1)/$D264))*$C264</f>
        <v>16.0</v>
      </c>
      <c r="H264" s="44">
        <f>(INT($E$25*4/$D264)-INT($E$25*(4-1)/$D264))*$C264</f>
        <v>0.0</v>
      </c>
      <c r="I264" s="44">
        <f>(INT($E$25*5/$D264)-INT($E$25*(5-1)/$D264))*$C264</f>
        <v>0.0</v>
      </c>
      <c r="J264" s="44">
        <f>(INT($E$25*6/$D264)-INT($E$25*(6-1)/$D264))*$C264</f>
        <v>16.0</v>
      </c>
      <c r="K264" s="44">
        <f>(INT($E$25*7/$D264)-INT($E$25*(7-1)/$D264))*$C264</f>
        <v>0.0</v>
      </c>
      <c r="L264" s="44">
        <f>(INT($E$25*8/$D264)-INT($E$25*(8-1)/$D264))*$C264</f>
        <v>0.0</v>
      </c>
      <c r="M264" s="44">
        <f>(INT($E$25*9/$D264)-INT($E$25*(9-1)/$D264))*$C264</f>
        <v>16.0</v>
      </c>
      <c r="N264" s="44">
        <f>(INT($E$25*10/$D264)-INT($E$25*(10-1)/$D264))*$C264</f>
        <v>0.0</v>
      </c>
    </row>
    <row r="265">
      <c r="B265" s="22" t="inlineStr">
        <is>
          <t>Замена блока клапанов</t>
        </is>
      </c>
      <c r="C265" s="43" t="n">
        <v>4</v>
      </c>
      <c r="D265" s="45" t="n">
        <v>21000</v>
      </c>
      <c r="E265" s="44">
        <f>(INT($E$25*1/$D265)-INT($E$25*(1-1)/$D265))*$C265</f>
        <v>0.0</v>
      </c>
      <c r="F265" s="44">
        <f>(INT($E$25*2/$D265)-INT($E$25*(2-1)/$D265))*$C265</f>
        <v>0.0</v>
      </c>
      <c r="G265" s="44">
        <f>(INT($E$25*3/$D265)-INT($E$25*(3-1)/$D265))*$C265</f>
        <v>4.0</v>
      </c>
      <c r="H265" s="44">
        <f>(INT($E$25*4/$D265)-INT($E$25*(4-1)/$D265))*$C265</f>
        <v>0.0</v>
      </c>
      <c r="I265" s="44">
        <f>(INT($E$25*5/$D265)-INT($E$25*(5-1)/$D265))*$C265</f>
        <v>0.0</v>
      </c>
      <c r="J265" s="44">
        <f>(INT($E$25*6/$D265)-INT($E$25*(6-1)/$D265))*$C265</f>
        <v>4.0</v>
      </c>
      <c r="K265" s="44">
        <f>(INT($E$25*7/$D265)-INT($E$25*(7-1)/$D265))*$C265</f>
        <v>0.0</v>
      </c>
      <c r="L265" s="44">
        <f>(INT($E$25*8/$D265)-INT($E$25*(8-1)/$D265))*$C265</f>
        <v>0.0</v>
      </c>
      <c r="M265" s="44">
        <f>(INT($E$25*9/$D265)-INT($E$25*(9-1)/$D265))*$C265</f>
        <v>4.0</v>
      </c>
      <c r="N265" s="44">
        <f>(INT($E$25*10/$D265)-INT($E$25*(10-1)/$D265))*$C265</f>
        <v>0.0</v>
      </c>
    </row>
    <row r="266">
      <c r="B266" s="22" t="inlineStr">
        <is>
          <t>Замена предохранительного клапана</t>
        </is>
      </c>
      <c r="C266" s="43" t="n">
        <v>2</v>
      </c>
      <c r="D266" s="45" t="n">
        <v>21000</v>
      </c>
      <c r="E266" s="44">
        <f>(INT($E$25*1/$D266)-INT($E$25*(1-1)/$D266))*$C266</f>
        <v>0.0</v>
      </c>
      <c r="F266" s="44">
        <f>(INT($E$25*2/$D266)-INT($E$25*(2-1)/$D266))*$C266</f>
        <v>0.0</v>
      </c>
      <c r="G266" s="44">
        <f>(INT($E$25*3/$D266)-INT($E$25*(3-1)/$D266))*$C266</f>
        <v>2.0</v>
      </c>
      <c r="H266" s="44">
        <f>(INT($E$25*4/$D266)-INT($E$25*(4-1)/$D266))*$C266</f>
        <v>0.0</v>
      </c>
      <c r="I266" s="44">
        <f>(INT($E$25*5/$D266)-INT($E$25*(5-1)/$D266))*$C266</f>
        <v>0.0</v>
      </c>
      <c r="J266" s="44">
        <f>(INT($E$25*6/$D266)-INT($E$25*(6-1)/$D266))*$C266</f>
        <v>2.0</v>
      </c>
      <c r="K266" s="44">
        <f>(INT($E$25*7/$D266)-INT($E$25*(7-1)/$D266))*$C266</f>
        <v>0.0</v>
      </c>
      <c r="L266" s="44">
        <f>(INT($E$25*8/$D266)-INT($E$25*(8-1)/$D266))*$C266</f>
        <v>0.0</v>
      </c>
      <c r="M266" s="44">
        <f>(INT($E$25*9/$D266)-INT($E$25*(9-1)/$D266))*$C266</f>
        <v>2.0</v>
      </c>
      <c r="N266" s="44">
        <f>(INT($E$25*10/$D266)-INT($E$25*(10-1)/$D266))*$C266</f>
        <v>0.0</v>
      </c>
    </row>
    <row r="267">
      <c r="B267" s="22" t="inlineStr">
        <is>
          <t>Замена ходовой противовесного клапана</t>
        </is>
      </c>
      <c r="C267" s="43" t="n">
        <v>2</v>
      </c>
      <c r="D267" s="45" t="n">
        <v>21000</v>
      </c>
      <c r="E267" s="44">
        <f>(INT($E$25*1/$D267)-INT($E$25*(1-1)/$D267))*$C267</f>
        <v>0.0</v>
      </c>
      <c r="F267" s="44">
        <f>(INT($E$25*2/$D267)-INT($E$25*(2-1)/$D267))*$C267</f>
        <v>0.0</v>
      </c>
      <c r="G267" s="44">
        <f>(INT($E$25*3/$D267)-INT($E$25*(3-1)/$D267))*$C267</f>
        <v>2.0</v>
      </c>
      <c r="H267" s="44">
        <f>(INT($E$25*4/$D267)-INT($E$25*(4-1)/$D267))*$C267</f>
        <v>0.0</v>
      </c>
      <c r="I267" s="44">
        <f>(INT($E$25*5/$D267)-INT($E$25*(5-1)/$D267))*$C267</f>
        <v>0.0</v>
      </c>
      <c r="J267" s="44">
        <f>(INT($E$25*6/$D267)-INT($E$25*(6-1)/$D267))*$C267</f>
        <v>2.0</v>
      </c>
      <c r="K267" s="44">
        <f>(INT($E$25*7/$D267)-INT($E$25*(7-1)/$D267))*$C267</f>
        <v>0.0</v>
      </c>
      <c r="L267" s="44">
        <f>(INT($E$25*8/$D267)-INT($E$25*(8-1)/$D267))*$C267</f>
        <v>0.0</v>
      </c>
      <c r="M267" s="44">
        <f>(INT($E$25*9/$D267)-INT($E$25*(9-1)/$D267))*$C267</f>
        <v>2.0</v>
      </c>
      <c r="N267" s="44">
        <f>(INT($E$25*10/$D267)-INT($E$25*(10-1)/$D267))*$C267</f>
        <v>0.0</v>
      </c>
    </row>
    <row r="268">
      <c r="B268" s="22" t="inlineStr">
        <is>
          <t>Замена насоса АЦСС</t>
        </is>
      </c>
      <c r="C268" s="43" t="n">
        <v>4</v>
      </c>
      <c r="D268" s="45" t="n">
        <v>21000</v>
      </c>
      <c r="E268" s="44">
        <f>(INT($E$25*1/$D268)-INT($E$25*(1-1)/$D268))*$C268</f>
        <v>0.0</v>
      </c>
      <c r="F268" s="44">
        <f>(INT($E$25*2/$D268)-INT($E$25*(2-1)/$D268))*$C268</f>
        <v>0.0</v>
      </c>
      <c r="G268" s="44">
        <f>(INT($E$25*3/$D268)-INT($E$25*(3-1)/$D268))*$C268</f>
        <v>4.0</v>
      </c>
      <c r="H268" s="44">
        <f>(INT($E$25*4/$D268)-INT($E$25*(4-1)/$D268))*$C268</f>
        <v>0.0</v>
      </c>
      <c r="I268" s="44">
        <f>(INT($E$25*5/$D268)-INT($E$25*(5-1)/$D268))*$C268</f>
        <v>0.0</v>
      </c>
      <c r="J268" s="44">
        <f>(INT($E$25*6/$D268)-INT($E$25*(6-1)/$D268))*$C268</f>
        <v>4.0</v>
      </c>
      <c r="K268" s="44">
        <f>(INT($E$25*7/$D268)-INT($E$25*(7-1)/$D268))*$C268</f>
        <v>0.0</v>
      </c>
      <c r="L268" s="44">
        <f>(INT($E$25*8/$D268)-INT($E$25*(8-1)/$D268))*$C268</f>
        <v>0.0</v>
      </c>
      <c r="M268" s="44">
        <f>(INT($E$25*9/$D268)-INT($E$25*(9-1)/$D268))*$C268</f>
        <v>4.0</v>
      </c>
      <c r="N268" s="44">
        <f>(INT($E$25*10/$D268)-INT($E$25*(10-1)/$D268))*$C268</f>
        <v>0.0</v>
      </c>
    </row>
    <row r="269">
      <c r="B269" s="22" t="inlineStr">
        <is>
          <t>Замена электромагнитного клапана</t>
        </is>
      </c>
      <c r="C269" s="43" t="n">
        <v>1</v>
      </c>
      <c r="D269" s="45" t="n">
        <v>21000</v>
      </c>
      <c r="E269" s="44">
        <f>(INT($E$25*1/$D269)-INT($E$25*(1-1)/$D269))*$C269</f>
        <v>0.0</v>
      </c>
      <c r="F269" s="44">
        <f>(INT($E$25*2/$D269)-INT($E$25*(2-1)/$D269))*$C269</f>
        <v>0.0</v>
      </c>
      <c r="G269" s="44">
        <f>(INT($E$25*3/$D269)-INT($E$25*(3-1)/$D269))*$C269</f>
        <v>1.0</v>
      </c>
      <c r="H269" s="44">
        <f>(INT($E$25*4/$D269)-INT($E$25*(4-1)/$D269))*$C269</f>
        <v>0.0</v>
      </c>
      <c r="I269" s="44">
        <f>(INT($E$25*5/$D269)-INT($E$25*(5-1)/$D269))*$C269</f>
        <v>0.0</v>
      </c>
      <c r="J269" s="44">
        <f>(INT($E$25*6/$D269)-INT($E$25*(6-1)/$D269))*$C269</f>
        <v>1.0</v>
      </c>
      <c r="K269" s="44">
        <f>(INT($E$25*7/$D269)-INT($E$25*(7-1)/$D269))*$C269</f>
        <v>0.0</v>
      </c>
      <c r="L269" s="44">
        <f>(INT($E$25*8/$D269)-INT($E$25*(8-1)/$D269))*$C269</f>
        <v>0.0</v>
      </c>
      <c r="M269" s="44">
        <f>(INT($E$25*9/$D269)-INT($E$25*(9-1)/$D269))*$C269</f>
        <v>1.0</v>
      </c>
      <c r="N269" s="44">
        <f>(INT($E$25*10/$D269)-INT($E$25*(10-1)/$D269))*$C269</f>
        <v>0.0</v>
      </c>
    </row>
    <row r="270">
      <c r="B270" s="22" t="inlineStr">
        <is>
          <t>Замена гидромотора АЦСС</t>
        </is>
      </c>
      <c r="C270" s="43" t="n">
        <v>3</v>
      </c>
      <c r="D270" s="45" t="n">
        <v>21000</v>
      </c>
      <c r="E270" s="44">
        <f>(INT($E$25*1/$D270)-INT($E$25*(1-1)/$D270))*$C270</f>
        <v>0.0</v>
      </c>
      <c r="F270" s="44">
        <f>(INT($E$25*2/$D270)-INT($E$25*(2-1)/$D270))*$C270</f>
        <v>0.0</v>
      </c>
      <c r="G270" s="44">
        <f>(INT($E$25*3/$D270)-INT($E$25*(3-1)/$D270))*$C270</f>
        <v>3.0</v>
      </c>
      <c r="H270" s="44">
        <f>(INT($E$25*4/$D270)-INT($E$25*(4-1)/$D270))*$C270</f>
        <v>0.0</v>
      </c>
      <c r="I270" s="44">
        <f>(INT($E$25*5/$D270)-INT($E$25*(5-1)/$D270))*$C270</f>
        <v>0.0</v>
      </c>
      <c r="J270" s="44">
        <f>(INT($E$25*6/$D270)-INT($E$25*(6-1)/$D270))*$C270</f>
        <v>3.0</v>
      </c>
      <c r="K270" s="44">
        <f>(INT($E$25*7/$D270)-INT($E$25*(7-1)/$D270))*$C270</f>
        <v>0.0</v>
      </c>
      <c r="L270" s="44">
        <f>(INT($E$25*8/$D270)-INT($E$25*(8-1)/$D270))*$C270</f>
        <v>0.0</v>
      </c>
      <c r="M270" s="44">
        <f>(INT($E$25*9/$D270)-INT($E$25*(9-1)/$D270))*$C270</f>
        <v>3.0</v>
      </c>
      <c r="N270" s="44">
        <f>(INT($E$25*10/$D270)-INT($E$25*(10-1)/$D270))*$C270</f>
        <v>0.0</v>
      </c>
    </row>
    <row r="271">
      <c r="B271" s="22" t="inlineStr">
        <is>
          <t>Электронный блок</t>
        </is>
      </c>
      <c r="C271" s="43" t="n">
        <v>2</v>
      </c>
      <c r="D271" s="45" t="n">
        <v>28000</v>
      </c>
      <c r="E271" s="44">
        <f>(INT($E$25*1/$D271)-INT($E$25*(1-1)/$D271))*$C271</f>
        <v>0.0</v>
      </c>
      <c r="F271" s="44">
        <f>(INT($E$25*2/$D271)-INT($E$25*(2-1)/$D271))*$C271</f>
        <v>0.0</v>
      </c>
      <c r="G271" s="44">
        <f>(INT($E$25*3/$D271)-INT($E$25*(3-1)/$D271))*$C271</f>
        <v>0.0</v>
      </c>
      <c r="H271" s="44">
        <f>(INT($E$25*4/$D271)-INT($E$25*(4-1)/$D271))*$C271</f>
        <v>2.0</v>
      </c>
      <c r="I271" s="44">
        <f>(INT($E$25*5/$D271)-INT($E$25*(5-1)/$D271))*$C271</f>
        <v>0.0</v>
      </c>
      <c r="J271" s="44">
        <f>(INT($E$25*6/$D271)-INT($E$25*(6-1)/$D271))*$C271</f>
        <v>0.0</v>
      </c>
      <c r="K271" s="44">
        <f>(INT($E$25*7/$D271)-INT($E$25*(7-1)/$D271))*$C271</f>
        <v>0.0</v>
      </c>
      <c r="L271" s="44">
        <f>(INT($E$25*8/$D271)-INT($E$25*(8-1)/$D271))*$C271</f>
        <v>2.0</v>
      </c>
      <c r="M271" s="44">
        <f>(INT($E$25*9/$D271)-INT($E$25*(9-1)/$D271))*$C271</f>
        <v>0.0</v>
      </c>
      <c r="N271" s="44">
        <f>(INT($E$25*10/$D271)-INT($E$25*(10-1)/$D271))*$C271</f>
        <v>0.0</v>
      </c>
    </row>
    <row r="272">
      <c r="B272" s="22" t="inlineStr">
        <is>
          <t>Замена датчиков</t>
        </is>
      </c>
      <c r="C272" s="43" t="n">
        <v>13</v>
      </c>
      <c r="D272" s="45" t="n">
        <v>21000</v>
      </c>
      <c r="E272" s="44">
        <f>(INT($E$25*1/$D272)-INT($E$25*(1-1)/$D272))*$C272</f>
        <v>0.0</v>
      </c>
      <c r="F272" s="44">
        <f>(INT($E$25*2/$D272)-INT($E$25*(2-1)/$D272))*$C272</f>
        <v>0.0</v>
      </c>
      <c r="G272" s="44">
        <f>(INT($E$25*3/$D272)-INT($E$25*(3-1)/$D272))*$C272</f>
        <v>13.0</v>
      </c>
      <c r="H272" s="44">
        <f>(INT($E$25*4/$D272)-INT($E$25*(4-1)/$D272))*$C272</f>
        <v>0.0</v>
      </c>
      <c r="I272" s="44">
        <f>(INT($E$25*5/$D272)-INT($E$25*(5-1)/$D272))*$C272</f>
        <v>0.0</v>
      </c>
      <c r="J272" s="44">
        <f>(INT($E$25*6/$D272)-INT($E$25*(6-1)/$D272))*$C272</f>
        <v>13.0</v>
      </c>
      <c r="K272" s="44">
        <f>(INT($E$25*7/$D272)-INT($E$25*(7-1)/$D272))*$C272</f>
        <v>0.0</v>
      </c>
      <c r="L272" s="44">
        <f>(INT($E$25*8/$D272)-INT($E$25*(8-1)/$D272))*$C272</f>
        <v>0.0</v>
      </c>
      <c r="M272" s="44">
        <f>(INT($E$25*9/$D272)-INT($E$25*(9-1)/$D272))*$C272</f>
        <v>13.0</v>
      </c>
      <c r="N272" s="44">
        <f>(INT($E$25*10/$D272)-INT($E$25*(10-1)/$D272))*$C272</f>
        <v>0.0</v>
      </c>
    </row>
    <row r="273">
      <c r="B273" s="46" t="inlineStr">
        <is>
          <t>ИТОГО</t>
        </is>
      </c>
      <c r="E273" s="44">
        <f>SUM(E248:E272)</f>
        <v>0.0</v>
      </c>
      <c r="F273" s="44">
        <f>SUM(F248:F272)</f>
        <v>0.0</v>
      </c>
      <c r="G273" s="44">
        <f>SUM(G248:G272)</f>
        <v>1439.0</v>
      </c>
      <c r="H273" s="44">
        <f>SUM(H248:H272)</f>
        <v>2.0</v>
      </c>
      <c r="I273" s="44">
        <f>SUM(I248:I272)</f>
        <v>0.0</v>
      </c>
      <c r="J273" s="44">
        <f>SUM(J248:J272)</f>
        <v>1439.0</v>
      </c>
      <c r="K273" s="44">
        <f>SUM(K248:K272)</f>
        <v>0.0</v>
      </c>
      <c r="L273" s="44">
        <f>SUM(L248:L272)</f>
        <v>2.0</v>
      </c>
      <c r="M273" s="44">
        <f>SUM(M248:M272)</f>
        <v>1439.0</v>
      </c>
      <c r="N273" s="44">
        <f>SUM(N248:N272)</f>
        <v>0.0</v>
      </c>
    </row>
    <row r="275">
      <c r="B275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246:N246"/>
    <mergeCell ref="B275:P275"/>
    <mergeCell ref="B45:N45"/>
    <mergeCell ref="B79:N79"/>
    <mergeCell ref="B1:N1"/>
    <mergeCell ref="B83:N83"/>
    <mergeCell ref="E4:N4"/>
    <mergeCell ref="B182:N182"/>
    <mergeCell ref="B201:N201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4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в тех листах,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8" t="inlineStr">
        <is>
          <t>Эти значения ТЯНУТСЯ из листов-шаблонов «Поставщик 1…6» (КТГ и ИТОГО ТОиР — авто). Чтобы изменить данные по машине — откройте её лист-шаблон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Komatsu PC2000-8
Mining Solutions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9">
        <f>'Поставщик 1'!E11</f>
        <v>0.9240628170979199</v>
      </c>
      <c r="F7" s="49">
        <f>'Поставщик 1'!F11</f>
        <v>0.9000003170979199</v>
      </c>
      <c r="G7" s="49">
        <f>'Поставщик 1'!G11</f>
        <v>0.8600004756468798</v>
      </c>
      <c r="H7" s="49">
        <f>'Поставщик 1'!H11</f>
        <v>0.8499996829020803</v>
      </c>
      <c r="I7" s="49">
        <f>'Поставщик 1'!I11</f>
        <v>0.8600004756468798</v>
      </c>
      <c r="J7" s="49">
        <f>'Поставщик 1'!J11</f>
        <v>0.81214849695586</v>
      </c>
      <c r="K7" s="49">
        <f>'Поставщик 1'!K11</f>
        <v>0.7865632927447997</v>
      </c>
      <c r="L7" s="49">
        <f>'Поставщик 1'!L11</f>
        <v>0.8426392059868087</v>
      </c>
      <c r="M7" s="49">
        <f>'Поставщик 1'!M11</f>
        <v>0.7373806126331812</v>
      </c>
      <c r="N7" s="49">
        <f>'Поставщик 1'!N11</f>
        <v>0.826705194063927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50" t="str">
        <f>'Поставщик 1'!$D$5</f>
        <v>USD</v>
      </c>
      <c r="E8" s="51">
        <f>'Поставщик 1'!E21</f>
        <v>136.58272</v>
      </c>
      <c r="F8" s="51">
        <f>'Поставщик 1'!F21</f>
        <v>1502.60312</v>
      </c>
      <c r="G8" s="51">
        <f>'Поставщик 1'!G21</f>
        <v>1600.59952</v>
      </c>
      <c r="H8" s="51">
        <f>'Поставщик 1'!H21</f>
        <v>1500.86112</v>
      </c>
      <c r="I8" s="51">
        <f>'Поставщик 1'!I21</f>
        <v>144.49141999999998</v>
      </c>
      <c r="J8" s="51">
        <f>'Поставщик 1'!J21</f>
        <v>2911.5628199999996</v>
      </c>
      <c r="K8" s="51">
        <f>'Поставщик 1'!K21</f>
        <v>190.76881999999998</v>
      </c>
      <c r="L8" s="51">
        <f>'Поставщик 1'!L21</f>
        <v>2910.69182</v>
      </c>
      <c r="M8" s="51">
        <f>'Поставщик 1'!M21</f>
        <v>192.51082</v>
      </c>
      <c r="N8" s="51">
        <f>'Поставщик 1'!N21</f>
        <v>1454.5837199999999</v>
      </c>
    </row>
    <row r="9">
      <c r="B9" s="22" t="inlineStr">
        <is>
          <t>Удельный расход ДТ</t>
        </is>
      </c>
      <c r="C9" s="24" t="inlineStr">
        <is>
          <t>кг/час</t>
        </is>
      </c>
      <c r="E9" s="52">
        <f>'Поставщик 1'!E22</f>
        <v>88.46</v>
      </c>
      <c r="F9" s="52">
        <f>'Поставщик 1'!F22</f>
        <v>88.46</v>
      </c>
      <c r="G9" s="52">
        <f>'Поставщик 1'!G22</f>
        <v>88.46</v>
      </c>
      <c r="H9" s="52">
        <f>'Поставщик 1'!H22</f>
        <v>88.46</v>
      </c>
      <c r="I9" s="52">
        <f>'Поставщик 1'!I22</f>
        <v>88.46</v>
      </c>
      <c r="J9" s="52">
        <f>'Поставщик 1'!J22</f>
        <v>88.46</v>
      </c>
      <c r="K9" s="52">
        <f>'Поставщик 1'!K22</f>
        <v>88.46</v>
      </c>
      <c r="L9" s="52">
        <f>'Поставщик 1'!L22</f>
        <v>88.46</v>
      </c>
      <c r="M9" s="52">
        <f>'Поставщик 1'!M22</f>
        <v>88.46</v>
      </c>
      <c r="N9" s="52">
        <f>'Поставщик 1'!N22</f>
        <v>88.46</v>
      </c>
    </row>
    <row r="10">
      <c r="B10" s="22" t="inlineStr">
        <is>
          <t>Расходники на ковш</t>
        </is>
      </c>
      <c r="C10" s="24" t="inlineStr">
        <is>
          <t>руб/м³</t>
        </is>
      </c>
      <c r="E10" s="53">
        <f>'Поставщик 1'!E23</f>
        <v>0.87</v>
      </c>
      <c r="F10" s="53">
        <f>'Поставщик 1'!F23</f>
        <v>0.87</v>
      </c>
      <c r="G10" s="53">
        <f>'Поставщик 1'!G23</f>
        <v>0.87</v>
      </c>
      <c r="H10" s="53">
        <f>'Поставщик 1'!H23</f>
        <v>0.87</v>
      </c>
      <c r="I10" s="53">
        <f>'Поставщик 1'!I23</f>
        <v>0.87</v>
      </c>
      <c r="J10" s="53">
        <f>'Поставщик 1'!J23</f>
        <v>0.87</v>
      </c>
      <c r="K10" s="53">
        <f>'Поставщик 1'!K23</f>
        <v>0.87</v>
      </c>
      <c r="L10" s="53">
        <f>'Поставщик 1'!L23</f>
        <v>0.87</v>
      </c>
      <c r="M10" s="53">
        <f>'Поставщик 1'!M23</f>
        <v>0.87</v>
      </c>
      <c r="N10" s="53">
        <f>'Поставщик 1'!N23</f>
        <v>0.87</v>
      </c>
    </row>
    <row r="11">
      <c r="B11" s="5" t="str">
        <f>"Вариант 2:  "&amp;'Ввод данных'!E7</f>
        <v>Вариант 2:  Komatsu PC2000-11R
ИСТК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B12" s="22" t="inlineStr">
        <is>
          <t>КТГ (техготовность)</t>
        </is>
      </c>
      <c r="C12" s="24" t="inlineStr">
        <is>
          <t>коэф.</t>
        </is>
      </c>
      <c r="E12" s="49">
        <f>'Поставщик 2'!E11</f>
        <v>0.9240628170979199</v>
      </c>
      <c r="F12" s="49">
        <f>'Поставщик 2'!F11</f>
        <v>0.797738299086758</v>
      </c>
      <c r="G12" s="49">
        <f>'Поставщик 2'!G11</f>
        <v>0.8245343417047185</v>
      </c>
      <c r="H12" s="49">
        <f>'Поставщик 2'!H11</f>
        <v>0.7639435882800609</v>
      </c>
      <c r="I12" s="49">
        <f>'Поставщик 2'!I11</f>
        <v>0.7628148782343989</v>
      </c>
      <c r="J12" s="49">
        <f>'Поставщик 2'!J11</f>
        <v>0.81214849695586</v>
      </c>
      <c r="K12" s="49">
        <f>'Поставщик 2'!K11</f>
        <v>0.7865632927447997</v>
      </c>
      <c r="L12" s="49">
        <f>'Поставщик 2'!L11</f>
        <v>0.8426392059868087</v>
      </c>
      <c r="M12" s="49">
        <f>'Поставщик 2'!M11</f>
        <v>0.7373806126331812</v>
      </c>
      <c r="N12" s="49">
        <f>'Поставщик 2'!N11</f>
        <v>0.826705194063927</v>
      </c>
    </row>
    <row r="13">
      <c r="B13" s="22" t="inlineStr">
        <is>
          <t>Затраты на ТОиР и сервис</t>
        </is>
      </c>
      <c r="C13" s="24" t="inlineStr">
        <is>
          <t>тыс.вал/г</t>
        </is>
      </c>
      <c r="D13" s="50" t="str">
        <f>'Поставщик 2'!$D$5</f>
        <v>USD</v>
      </c>
      <c r="E13" s="51">
        <f>'Поставщик 2'!E21</f>
        <v>134.84071999999998</v>
      </c>
      <c r="F13" s="51">
        <f>'Поставщик 2'!F21</f>
        <v>175.12482</v>
      </c>
      <c r="G13" s="51">
        <f>'Поставщик 2'!G21</f>
        <v>668.1178199999999</v>
      </c>
      <c r="H13" s="51">
        <f>'Поставщик 2'!H21</f>
        <v>1463.6672199999998</v>
      </c>
      <c r="I13" s="51">
        <f>'Поставщик 2'!I21</f>
        <v>246.04072</v>
      </c>
      <c r="J13" s="51">
        <f>'Поставщик 2'!J21</f>
        <v>708.40192</v>
      </c>
      <c r="K13" s="51">
        <f>'Поставщик 2'!K21</f>
        <v>175.12482</v>
      </c>
      <c r="L13" s="51">
        <f>'Поставщик 2'!L21</f>
        <v>1423.38312</v>
      </c>
      <c r="M13" s="51">
        <f>'Поставщик 2'!M21</f>
        <v>819.6019200000001</v>
      </c>
      <c r="N13" s="51">
        <f>'Поставщик 2'!N21</f>
        <v>134.84071999999998</v>
      </c>
    </row>
    <row r="14">
      <c r="B14" s="22" t="inlineStr">
        <is>
          <t>Удельный расход ДТ</t>
        </is>
      </c>
      <c r="C14" s="24" t="inlineStr">
        <is>
          <t>кг/час</t>
        </is>
      </c>
      <c r="E14" s="52">
        <f>'Поставщик 2'!E22</f>
        <v>85.81</v>
      </c>
      <c r="F14" s="52">
        <f>'Поставщик 2'!F22</f>
        <v>85.81</v>
      </c>
      <c r="G14" s="52">
        <f>'Поставщик 2'!G22</f>
        <v>85.81</v>
      </c>
      <c r="H14" s="52">
        <f>'Поставщик 2'!H22</f>
        <v>85.81</v>
      </c>
      <c r="I14" s="52">
        <f>'Поставщик 2'!I22</f>
        <v>85.81</v>
      </c>
      <c r="J14" s="52">
        <f>'Поставщик 2'!J22</f>
        <v>85.81</v>
      </c>
      <c r="K14" s="52">
        <f>'Поставщик 2'!K22</f>
        <v>85.81</v>
      </c>
      <c r="L14" s="52">
        <f>'Поставщик 2'!L22</f>
        <v>85.81</v>
      </c>
      <c r="M14" s="52">
        <f>'Поставщик 2'!M22</f>
        <v>85.81</v>
      </c>
      <c r="N14" s="52">
        <f>'Поставщик 2'!N22</f>
        <v>85.81</v>
      </c>
    </row>
    <row r="15">
      <c r="B15" s="22" t="inlineStr">
        <is>
          <t>Расходники на ковш</t>
        </is>
      </c>
      <c r="C15" s="24" t="inlineStr">
        <is>
          <t>руб/м³</t>
        </is>
      </c>
      <c r="E15" s="53">
        <f>'Поставщик 2'!E23</f>
        <v>0.87</v>
      </c>
      <c r="F15" s="53">
        <f>'Поставщик 2'!F23</f>
        <v>0.87</v>
      </c>
      <c r="G15" s="53">
        <f>'Поставщик 2'!G23</f>
        <v>0.87</v>
      </c>
      <c r="H15" s="53">
        <f>'Поставщик 2'!H23</f>
        <v>0.87</v>
      </c>
      <c r="I15" s="53">
        <f>'Поставщик 2'!I23</f>
        <v>0.87</v>
      </c>
      <c r="J15" s="53">
        <f>'Поставщик 2'!J23</f>
        <v>0.87</v>
      </c>
      <c r="K15" s="53">
        <f>'Поставщик 2'!K23</f>
        <v>0.87</v>
      </c>
      <c r="L15" s="53">
        <f>'Поставщик 2'!L23</f>
        <v>0.87</v>
      </c>
      <c r="M15" s="53">
        <f>'Поставщик 2'!M23</f>
        <v>0.87</v>
      </c>
      <c r="N15" s="53">
        <f>'Поставщик 2'!N23</f>
        <v>0.87</v>
      </c>
    </row>
    <row r="16">
      <c r="B16" s="5" t="str">
        <f>"Вариант 3:  "&amp;'Ввод данных'!F7</f>
        <v>Вариант 3:  Zoomlion ZE2000G
Орикс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22" t="inlineStr">
        <is>
          <t>КТГ (техготовность)</t>
        </is>
      </c>
      <c r="C17" s="24" t="inlineStr">
        <is>
          <t>коэф.</t>
        </is>
      </c>
      <c r="E17" s="49">
        <f>'Поставщик 3'!E11</f>
        <v>0.8546521435819382</v>
      </c>
      <c r="F17" s="49">
        <f>'Поставщик 3'!F11</f>
        <v>0.728326515728057</v>
      </c>
      <c r="G17" s="49">
        <f>'Поставщик 3'!G11</f>
        <v>0.7551225583460174</v>
      </c>
      <c r="H17" s="49">
        <f>'Поставщик 3'!H11</f>
        <v>0.6945340246067987</v>
      </c>
      <c r="I17" s="49">
        <f>'Поставщик 3'!I11</f>
        <v>0.6934042047184171</v>
      </c>
      <c r="J17" s="49">
        <f>'Поставщик 3'!J11</f>
        <v>0.7427367135971588</v>
      </c>
      <c r="K17" s="49">
        <f>'Поставщик 3'!K11</f>
        <v>0.7171515093860985</v>
      </c>
      <c r="L17" s="49">
        <f>'Поставщик 3'!L11</f>
        <v>0.7732285324708271</v>
      </c>
      <c r="M17" s="49">
        <f>'Поставщик 3'!M11</f>
        <v>0.6679699391171994</v>
      </c>
      <c r="N17" s="49">
        <f>'Поставщик 3'!N11</f>
        <v>0.7572945205479452</v>
      </c>
    </row>
    <row r="18">
      <c r="B18" s="22" t="inlineStr">
        <is>
          <t>Затраты на ТОиР и сервис</t>
        </is>
      </c>
      <c r="C18" s="24" t="inlineStr">
        <is>
          <t>тыс.вал/г</t>
        </is>
      </c>
      <c r="D18" s="50" t="str">
        <f>'Поставщик 3'!$D$5</f>
        <v>USD</v>
      </c>
      <c r="E18" s="51">
        <f>'Поставщик 3'!E21</f>
        <v>167.98371999999998</v>
      </c>
      <c r="F18" s="51">
        <f>'Поставщик 3'!F21</f>
        <v>194.91271999999998</v>
      </c>
      <c r="G18" s="51">
        <f>'Поставщик 3'!G21</f>
        <v>799.05872</v>
      </c>
      <c r="H18" s="51">
        <f>'Поставщик 3'!H21</f>
        <v>260.98371999999995</v>
      </c>
      <c r="I18" s="51">
        <f>'Поставщик 3'!I21</f>
        <v>797.36272</v>
      </c>
      <c r="J18" s="51">
        <f>'Поставщик 3'!J21</f>
        <v>196.60872</v>
      </c>
      <c r="K18" s="51">
        <f>'Поставщик 3'!K21</f>
        <v>770.43372</v>
      </c>
      <c r="L18" s="51">
        <f>'Поставщик 3'!L21</f>
        <v>287.91272</v>
      </c>
      <c r="M18" s="51">
        <f>'Поставщик 3'!M21</f>
        <v>799.05872</v>
      </c>
      <c r="N18" s="51">
        <f>'Поставщик 3'!N21</f>
        <v>194.91271999999998</v>
      </c>
    </row>
    <row r="19">
      <c r="B19" s="22" t="inlineStr">
        <is>
          <t>Удельный расход ДТ</t>
        </is>
      </c>
      <c r="C19" s="24" t="inlineStr">
        <is>
          <t>кг/час</t>
        </is>
      </c>
      <c r="E19" s="52">
        <f>'Поставщик 3'!E22</f>
        <v>90.23</v>
      </c>
      <c r="F19" s="52">
        <f>'Поставщик 3'!F22</f>
        <v>90.23</v>
      </c>
      <c r="G19" s="52">
        <f>'Поставщик 3'!G22</f>
        <v>90.23</v>
      </c>
      <c r="H19" s="52">
        <f>'Поставщик 3'!H22</f>
        <v>90.23</v>
      </c>
      <c r="I19" s="52">
        <f>'Поставщик 3'!I22</f>
        <v>90.23</v>
      </c>
      <c r="J19" s="52">
        <f>'Поставщик 3'!J22</f>
        <v>90.23</v>
      </c>
      <c r="K19" s="52">
        <f>'Поставщик 3'!K22</f>
        <v>90.23</v>
      </c>
      <c r="L19" s="52">
        <f>'Поставщик 3'!L22</f>
        <v>90.23</v>
      </c>
      <c r="M19" s="52">
        <f>'Поставщик 3'!M22</f>
        <v>90.23</v>
      </c>
      <c r="N19" s="52">
        <f>'Поставщик 3'!N22</f>
        <v>90.23</v>
      </c>
    </row>
    <row r="20">
      <c r="B20" s="22" t="inlineStr">
        <is>
          <t>Расходники на ковш</t>
        </is>
      </c>
      <c r="C20" s="24" t="inlineStr">
        <is>
          <t>руб/м³</t>
        </is>
      </c>
      <c r="E20" s="53">
        <f>'Поставщик 3'!E23</f>
        <v>0.87</v>
      </c>
      <c r="F20" s="53">
        <f>'Поставщик 3'!F23</f>
        <v>0.87</v>
      </c>
      <c r="G20" s="53">
        <f>'Поставщик 3'!G23</f>
        <v>0.87</v>
      </c>
      <c r="H20" s="53">
        <f>'Поставщик 3'!H23</f>
        <v>0.87</v>
      </c>
      <c r="I20" s="53">
        <f>'Поставщик 3'!I23</f>
        <v>0.87</v>
      </c>
      <c r="J20" s="53">
        <f>'Поставщик 3'!J23</f>
        <v>0.87</v>
      </c>
      <c r="K20" s="53">
        <f>'Поставщик 3'!K23</f>
        <v>0.87</v>
      </c>
      <c r="L20" s="53">
        <f>'Поставщик 3'!L23</f>
        <v>0.87</v>
      </c>
      <c r="M20" s="53">
        <f>'Поставщик 3'!M23</f>
        <v>0.87</v>
      </c>
      <c r="N20" s="53">
        <f>'Поставщик 3'!N23</f>
        <v>0.87</v>
      </c>
    </row>
    <row r="21">
      <c r="B21" s="5" t="str">
        <f>"Вариант 4:  "&amp;'Ввод данных'!G7</f>
        <v>Вариант 4:  Sany SY2000
АСТ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9">
        <f>'Поставщик 4'!E11</f>
        <v>0.8546521435819382</v>
      </c>
      <c r="F22" s="49">
        <f>'Поставщик 4'!F11</f>
        <v>0.728326515728057</v>
      </c>
      <c r="G22" s="49">
        <f>'Поставщик 4'!G11</f>
        <v>0.7551225583460174</v>
      </c>
      <c r="H22" s="49">
        <f>'Поставщик 4'!H11</f>
        <v>0.6945340246067987</v>
      </c>
      <c r="I22" s="49">
        <f>'Поставщик 4'!I11</f>
        <v>0.6934042047184171</v>
      </c>
      <c r="J22" s="49">
        <f>'Поставщик 4'!J11</f>
        <v>0.7427367135971588</v>
      </c>
      <c r="K22" s="49">
        <f>'Поставщик 4'!K11</f>
        <v>0.7171515093860985</v>
      </c>
      <c r="L22" s="49">
        <f>'Поставщик 4'!L11</f>
        <v>0.7732285324708271</v>
      </c>
      <c r="M22" s="49">
        <f>'Поставщик 4'!M11</f>
        <v>0.6679699391171994</v>
      </c>
      <c r="N22" s="49">
        <f>'Поставщик 4'!N11</f>
        <v>0.7572945205479452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50" t="str">
        <f>'Поставщик 4'!$D$5</f>
        <v>USD</v>
      </c>
      <c r="E23" s="51">
        <f>'Поставщик 4'!E21</f>
        <v>167.98371999999998</v>
      </c>
      <c r="F23" s="51">
        <f>'Поставщик 4'!F21</f>
        <v>194.91271999999998</v>
      </c>
      <c r="G23" s="51">
        <f>'Поставщик 4'!G21</f>
        <v>799.05872</v>
      </c>
      <c r="H23" s="51">
        <f>'Поставщик 4'!H21</f>
        <v>260.98371999999995</v>
      </c>
      <c r="I23" s="51">
        <f>'Поставщик 4'!I21</f>
        <v>797.36272</v>
      </c>
      <c r="J23" s="51">
        <f>'Поставщик 4'!J21</f>
        <v>196.60872</v>
      </c>
      <c r="K23" s="51">
        <f>'Поставщик 4'!K21</f>
        <v>770.43372</v>
      </c>
      <c r="L23" s="51">
        <f>'Поставщик 4'!L21</f>
        <v>287.91272</v>
      </c>
      <c r="M23" s="51">
        <f>'Поставщик 4'!M21</f>
        <v>799.05872</v>
      </c>
      <c r="N23" s="51">
        <f>'Поставщик 4'!N21</f>
        <v>194.91271999999998</v>
      </c>
    </row>
    <row r="24">
      <c r="B24" s="22" t="inlineStr">
        <is>
          <t>Удельный расход ДТ</t>
        </is>
      </c>
      <c r="C24" s="24" t="inlineStr">
        <is>
          <t>кг/час</t>
        </is>
      </c>
      <c r="E24" s="52">
        <f>'Поставщик 4'!E22</f>
        <v>92.04</v>
      </c>
      <c r="F24" s="52">
        <f>'Поставщик 4'!F22</f>
        <v>92.04</v>
      </c>
      <c r="G24" s="52">
        <f>'Поставщик 4'!G22</f>
        <v>92.04</v>
      </c>
      <c r="H24" s="52">
        <f>'Поставщик 4'!H22</f>
        <v>92.04</v>
      </c>
      <c r="I24" s="52">
        <f>'Поставщик 4'!I22</f>
        <v>92.04</v>
      </c>
      <c r="J24" s="52">
        <f>'Поставщик 4'!J22</f>
        <v>92.04</v>
      </c>
      <c r="K24" s="52">
        <f>'Поставщик 4'!K22</f>
        <v>92.04</v>
      </c>
      <c r="L24" s="52">
        <f>'Поставщик 4'!L22</f>
        <v>92.04</v>
      </c>
      <c r="M24" s="52">
        <f>'Поставщик 4'!M22</f>
        <v>92.04</v>
      </c>
      <c r="N24" s="52">
        <f>'Поставщик 4'!N22</f>
        <v>92.04</v>
      </c>
    </row>
    <row r="25">
      <c r="B25" s="22" t="inlineStr">
        <is>
          <t>Расходники на ковш</t>
        </is>
      </c>
      <c r="C25" s="24" t="inlineStr">
        <is>
          <t>руб/м³</t>
        </is>
      </c>
      <c r="E25" s="53">
        <f>'Поставщик 4'!E23</f>
        <v>0.87</v>
      </c>
      <c r="F25" s="53">
        <f>'Поставщик 4'!F23</f>
        <v>0.87</v>
      </c>
      <c r="G25" s="53">
        <f>'Поставщик 4'!G23</f>
        <v>0.87</v>
      </c>
      <c r="H25" s="53">
        <f>'Поставщик 4'!H23</f>
        <v>0.87</v>
      </c>
      <c r="I25" s="53">
        <f>'Поставщик 4'!I23</f>
        <v>0.87</v>
      </c>
      <c r="J25" s="53">
        <f>'Поставщик 4'!J23</f>
        <v>0.87</v>
      </c>
      <c r="K25" s="53">
        <f>'Поставщик 4'!K23</f>
        <v>0.87</v>
      </c>
      <c r="L25" s="53">
        <f>'Поставщик 4'!L23</f>
        <v>0.87</v>
      </c>
      <c r="M25" s="53">
        <f>'Поставщик 4'!M23</f>
        <v>0.87</v>
      </c>
      <c r="N25" s="53">
        <f>'Поставщик 4'!N23</f>
        <v>0.87</v>
      </c>
    </row>
    <row r="26">
      <c r="B26" s="5" t="str">
        <f>"Вариант 5:  "&amp;'Ввод данных'!H7</f>
        <v>Вариант 5:  Shantui SE2000LCW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B27" s="22" t="inlineStr">
        <is>
          <t>КТГ (техготовность)</t>
        </is>
      </c>
      <c r="C27" s="24" t="inlineStr">
        <is>
          <t>коэф.</t>
        </is>
      </c>
      <c r="E27" s="49">
        <f>'Поставщик 5'!E11</f>
        <v>0.8546521435819382</v>
      </c>
      <c r="F27" s="49">
        <f>'Поставщик 5'!F11</f>
        <v>0.728326515728057</v>
      </c>
      <c r="G27" s="49">
        <f>'Поставщик 5'!G11</f>
        <v>0.7551225583460174</v>
      </c>
      <c r="H27" s="49">
        <f>'Поставщик 5'!H11</f>
        <v>0.6945340246067987</v>
      </c>
      <c r="I27" s="49">
        <f>'Поставщик 5'!I11</f>
        <v>0.6934042047184171</v>
      </c>
      <c r="J27" s="49">
        <f>'Поставщик 5'!J11</f>
        <v>0.7427367135971588</v>
      </c>
      <c r="K27" s="49">
        <f>'Поставщик 5'!K11</f>
        <v>0.7171515093860985</v>
      </c>
      <c r="L27" s="49">
        <f>'Поставщик 5'!L11</f>
        <v>0.7732285324708271</v>
      </c>
      <c r="M27" s="49">
        <f>'Поставщик 5'!M11</f>
        <v>0.6679699391171994</v>
      </c>
      <c r="N27" s="49">
        <f>'Поставщик 5'!N11</f>
        <v>0.7572945205479452</v>
      </c>
    </row>
    <row r="28">
      <c r="B28" s="22" t="inlineStr">
        <is>
          <t>Затраты на ТОиР и сервис</t>
        </is>
      </c>
      <c r="C28" s="24" t="inlineStr">
        <is>
          <t>тыс.вал/г</t>
        </is>
      </c>
      <c r="D28" s="50" t="str">
        <f>'Поставщик 5'!$D$5</f>
        <v>USD</v>
      </c>
      <c r="E28" s="51">
        <f>'Поставщик 5'!E21</f>
        <v>178.32392</v>
      </c>
      <c r="F28" s="51">
        <f>'Поставщик 5'!F21</f>
        <v>1228.3601199999998</v>
      </c>
      <c r="G28" s="51">
        <f>'Поставщик 5'!G21</f>
        <v>7633.767019999999</v>
      </c>
      <c r="H28" s="51">
        <f>'Поставщик 5'!H21</f>
        <v>3263.7619199999995</v>
      </c>
      <c r="I28" s="51">
        <f>'Поставщик 5'!I21</f>
        <v>2517.1322199999995</v>
      </c>
      <c r="J28" s="51">
        <f>'Поставщик 5'!J21</f>
        <v>8727.28642</v>
      </c>
      <c r="K28" s="51">
        <f>'Поставщик 5'!K21</f>
        <v>3263.7619199999995</v>
      </c>
      <c r="L28" s="51">
        <f>'Поставщик 5'!L21</f>
        <v>7633.767019999999</v>
      </c>
      <c r="M28" s="51">
        <f>'Поставщик 5'!M21</f>
        <v>3567.16842</v>
      </c>
      <c r="N28" s="51">
        <f>'Поставщик 5'!N21</f>
        <v>178.32392</v>
      </c>
    </row>
    <row r="29">
      <c r="B29" s="22" t="inlineStr">
        <is>
          <t>Удельный расход ДТ</t>
        </is>
      </c>
      <c r="C29" s="24" t="inlineStr">
        <is>
          <t>кг/час</t>
        </is>
      </c>
      <c r="E29" s="52">
        <f>'Поставщик 5'!E22</f>
        <v>102.0</v>
      </c>
      <c r="F29" s="52">
        <f>'Поставщик 5'!F22</f>
        <v>102.0</v>
      </c>
      <c r="G29" s="52">
        <f>'Поставщик 5'!G22</f>
        <v>102.0</v>
      </c>
      <c r="H29" s="52">
        <f>'Поставщик 5'!H22</f>
        <v>102.0</v>
      </c>
      <c r="I29" s="52">
        <f>'Поставщик 5'!I22</f>
        <v>102.0</v>
      </c>
      <c r="J29" s="52">
        <f>'Поставщик 5'!J22</f>
        <v>102.0</v>
      </c>
      <c r="K29" s="52">
        <f>'Поставщик 5'!K22</f>
        <v>102.0</v>
      </c>
      <c r="L29" s="52">
        <f>'Поставщик 5'!L22</f>
        <v>102.0</v>
      </c>
      <c r="M29" s="52">
        <f>'Поставщик 5'!M22</f>
        <v>102.0</v>
      </c>
      <c r="N29" s="52">
        <f>'Поставщик 5'!N22</f>
        <v>102.0</v>
      </c>
    </row>
    <row r="30">
      <c r="B30" s="22" t="inlineStr">
        <is>
          <t>Расходники на ковш</t>
        </is>
      </c>
      <c r="C30" s="24" t="inlineStr">
        <is>
          <t>руб/м³</t>
        </is>
      </c>
      <c r="E30" s="53">
        <f>'Поставщик 5'!E23</f>
        <v>0.87</v>
      </c>
      <c r="F30" s="53">
        <f>'Поставщик 5'!F23</f>
        <v>0.87</v>
      </c>
      <c r="G30" s="53">
        <f>'Поставщик 5'!G23</f>
        <v>0.87</v>
      </c>
      <c r="H30" s="53">
        <f>'Поставщик 5'!H23</f>
        <v>0.87</v>
      </c>
      <c r="I30" s="53">
        <f>'Поставщик 5'!I23</f>
        <v>0.87</v>
      </c>
      <c r="J30" s="53">
        <f>'Поставщик 5'!J23</f>
        <v>0.87</v>
      </c>
      <c r="K30" s="53">
        <f>'Поставщик 5'!K23</f>
        <v>0.87</v>
      </c>
      <c r="L30" s="53">
        <f>'Поставщик 5'!L23</f>
        <v>0.87</v>
      </c>
      <c r="M30" s="53">
        <f>'Поставщик 5'!M23</f>
        <v>0.87</v>
      </c>
      <c r="N30" s="53">
        <f>'Поставщик 5'!N23</f>
        <v>0.87</v>
      </c>
    </row>
    <row r="31">
      <c r="B31" s="5" t="str">
        <f>"Вариант 6:  "&amp;'Ввод данных'!I7</f>
        <v>Вариант 6:  TZCO TZ2000
Дзикай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 (техготовность)</t>
        </is>
      </c>
      <c r="C32" s="24" t="inlineStr">
        <is>
          <t>коэф.</t>
        </is>
      </c>
      <c r="E32" s="49">
        <f>'Поставщик 6'!E11</f>
        <v>0.8546521435819382</v>
      </c>
      <c r="F32" s="49">
        <f>'Поставщик 6'!F11</f>
        <v>0.728326515728057</v>
      </c>
      <c r="G32" s="49">
        <f>'Поставщик 6'!G11</f>
        <v>0.7551225583460174</v>
      </c>
      <c r="H32" s="49">
        <f>'Поставщик 6'!H11</f>
        <v>0.6945340246067987</v>
      </c>
      <c r="I32" s="49">
        <f>'Поставщик 6'!I11</f>
        <v>0.6934042047184171</v>
      </c>
      <c r="J32" s="49">
        <f>'Поставщик 6'!J11</f>
        <v>0.7427367135971588</v>
      </c>
      <c r="K32" s="49">
        <f>'Поставщик 6'!K11</f>
        <v>0.7171515093860985</v>
      </c>
      <c r="L32" s="49">
        <f>'Поставщик 6'!L11</f>
        <v>0.7732285324708271</v>
      </c>
      <c r="M32" s="49">
        <f>'Поставщик 6'!M11</f>
        <v>0.6679699391171994</v>
      </c>
      <c r="N32" s="49">
        <f>'Поставщик 6'!N11</f>
        <v>0.7572945205479452</v>
      </c>
    </row>
    <row r="33">
      <c r="B33" s="22" t="inlineStr">
        <is>
          <t>Затраты на ТОиР и сервис</t>
        </is>
      </c>
      <c r="C33" s="24" t="inlineStr">
        <is>
          <t>тыс.вал/г</t>
        </is>
      </c>
      <c r="D33" s="50" t="str">
        <f>'Поставщик 6'!$D$5</f>
        <v>USD</v>
      </c>
      <c r="E33" s="51">
        <f>'Поставщик 6'!E21</f>
        <v>152.34071999999998</v>
      </c>
      <c r="F33" s="51">
        <f>'Поставщик 6'!F21</f>
        <v>162.34071999999998</v>
      </c>
      <c r="G33" s="51">
        <f>'Поставщик 6'!G21</f>
        <v>152.34071999999998</v>
      </c>
      <c r="H33" s="51">
        <f>'Поставщик 6'!H21</f>
        <v>162.34071999999998</v>
      </c>
      <c r="I33" s="51">
        <f>'Поставщик 6'!I21</f>
        <v>212.34072</v>
      </c>
      <c r="J33" s="51">
        <f>'Поставщик 6'!J21</f>
        <v>162.34071999999998</v>
      </c>
      <c r="K33" s="51">
        <f>'Поставщик 6'!K21</f>
        <v>732.34072</v>
      </c>
      <c r="L33" s="51">
        <f>'Поставщик 6'!L21</f>
        <v>162.34071999999998</v>
      </c>
      <c r="M33" s="51">
        <f>'Поставщик 6'!M21</f>
        <v>152.34071999999998</v>
      </c>
      <c r="N33" s="51">
        <f>'Поставщик 6'!N21</f>
        <v>832.34072</v>
      </c>
    </row>
    <row r="34">
      <c r="B34" s="22" t="inlineStr">
        <is>
          <t>Удельный расход ДТ</t>
        </is>
      </c>
      <c r="C34" s="24" t="inlineStr">
        <is>
          <t>кг/час</t>
        </is>
      </c>
      <c r="E34" s="52">
        <f>'Поставщик 6'!E22</f>
        <v>120.0</v>
      </c>
      <c r="F34" s="52">
        <f>'Поставщик 6'!F22</f>
        <v>120.0</v>
      </c>
      <c r="G34" s="52">
        <f>'Поставщик 6'!G22</f>
        <v>120.0</v>
      </c>
      <c r="H34" s="52">
        <f>'Поставщик 6'!H22</f>
        <v>120.0</v>
      </c>
      <c r="I34" s="52">
        <f>'Поставщик 6'!I22</f>
        <v>120.0</v>
      </c>
      <c r="J34" s="52">
        <f>'Поставщик 6'!J22</f>
        <v>120.0</v>
      </c>
      <c r="K34" s="52">
        <f>'Поставщик 6'!K22</f>
        <v>120.0</v>
      </c>
      <c r="L34" s="52">
        <f>'Поставщик 6'!L22</f>
        <v>120.0</v>
      </c>
      <c r="M34" s="52">
        <f>'Поставщик 6'!M22</f>
        <v>120.0</v>
      </c>
      <c r="N34" s="52">
        <f>'Поставщик 6'!N22</f>
        <v>120.0</v>
      </c>
    </row>
    <row r="35">
      <c r="B35" s="22" t="inlineStr">
        <is>
          <t>Расходники на ковш</t>
        </is>
      </c>
      <c r="C35" s="24" t="inlineStr">
        <is>
          <t>руб/м³</t>
        </is>
      </c>
      <c r="E35" s="53">
        <f>'Поставщик 6'!E23</f>
        <v>0.87</v>
      </c>
      <c r="F35" s="53">
        <f>'Поставщик 6'!F23</f>
        <v>0.87</v>
      </c>
      <c r="G35" s="53">
        <f>'Поставщик 6'!G23</f>
        <v>0.87</v>
      </c>
      <c r="H35" s="53">
        <f>'Поставщик 6'!H23</f>
        <v>0.87</v>
      </c>
      <c r="I35" s="53">
        <f>'Поставщик 6'!I23</f>
        <v>0.87</v>
      </c>
      <c r="J35" s="53">
        <f>'Поставщик 6'!J23</f>
        <v>0.87</v>
      </c>
      <c r="K35" s="53">
        <f>'Поставщик 6'!K23</f>
        <v>0.87</v>
      </c>
      <c r="L35" s="53">
        <f>'Поставщик 6'!L23</f>
        <v>0.87</v>
      </c>
      <c r="M35" s="53">
        <f>'Поставщик 6'!M23</f>
        <v>0.87</v>
      </c>
      <c r="N35" s="53">
        <f>'Поставщик 6'!N23</f>
        <v>0.87</v>
      </c>
    </row>
    <row r="36">
      <c r="B36" s="5" t="str">
        <f>"Вариант 7:  "&amp;'Ввод данных'!J7</f>
        <v>Вариант 7:  XCMG ESTAR ESE2000
(поставщик не указан)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B37" s="22" t="inlineStr">
        <is>
          <t>КТГ (техготовность)</t>
        </is>
      </c>
      <c r="C37" s="24" t="inlineStr">
        <is>
          <t>коэф.</t>
        </is>
      </c>
      <c r="E37" s="49">
        <f>'Поставщик 7'!E11</f>
        <v>0.9149543378995434</v>
      </c>
      <c r="F37" s="49">
        <f>'Поставщик 7'!F11</f>
        <v>0.9104039827498731</v>
      </c>
      <c r="G37" s="49">
        <f>'Поставщик 7'!G11</f>
        <v>0.8236142820903096</v>
      </c>
      <c r="H37" s="49">
        <f>'Поставщик 7'!H11</f>
        <v>0.9095716007102994</v>
      </c>
      <c r="I37" s="49">
        <f>'Поставщик 7'!I11</f>
        <v>0.9044108320649418</v>
      </c>
      <c r="J37" s="49">
        <f>'Поставщик 7'!J11</f>
        <v>0.8074105783866059</v>
      </c>
      <c r="K37" s="49">
        <f>'Поставщик 7'!K11</f>
        <v>0.8933124048706241</v>
      </c>
      <c r="L37" s="49">
        <f>'Поставщик 7'!L11</f>
        <v>0.814125126839168</v>
      </c>
      <c r="M37" s="49">
        <f>'Поставщик 7'!M11</f>
        <v>0.8302733384069001</v>
      </c>
      <c r="N37" s="49">
        <f>'Поставщик 7'!N11</f>
        <v>0.8100742009132421</v>
      </c>
    </row>
    <row r="38">
      <c r="B38" s="22" t="inlineStr">
        <is>
          <t>Затраты на ТОиР и сервис</t>
        </is>
      </c>
      <c r="C38" s="24" t="inlineStr">
        <is>
          <t>тыс.вал/г</t>
        </is>
      </c>
      <c r="D38" s="50" t="str">
        <f>'Поставщик 7'!$D$5</f>
        <v>USD</v>
      </c>
      <c r="E38" s="51">
        <f>'Поставщик 7'!E21</f>
        <v>284.97122</v>
      </c>
      <c r="F38" s="51">
        <f>'Поставщик 7'!F21</f>
        <v>719.06402</v>
      </c>
      <c r="G38" s="51">
        <f>'Поставщик 7'!G21</f>
        <v>1631.5088199999998</v>
      </c>
      <c r="H38" s="51">
        <f>'Поставщик 7'!H21</f>
        <v>722.1552200000001</v>
      </c>
      <c r="I38" s="51">
        <f>'Поставщик 7'!I21</f>
        <v>284.97122</v>
      </c>
      <c r="J38" s="51">
        <f>'Поставщик 7'!J21</f>
        <v>2065.6016199999995</v>
      </c>
      <c r="K38" s="51">
        <f>'Поставщик 7'!K21</f>
        <v>284.97122</v>
      </c>
      <c r="L38" s="51">
        <f>'Поставщик 7'!L21</f>
        <v>722.1552200000001</v>
      </c>
      <c r="M38" s="51">
        <f>'Поставщик 7'!M21</f>
        <v>1631.5088199999998</v>
      </c>
      <c r="N38" s="51">
        <f>'Поставщик 7'!N21</f>
        <v>719.06402</v>
      </c>
    </row>
    <row r="39">
      <c r="B39" s="22" t="inlineStr">
        <is>
          <t>Удельный расход ДТ</t>
        </is>
      </c>
      <c r="C39" s="24" t="inlineStr">
        <is>
          <t>кг/час</t>
        </is>
      </c>
      <c r="E39" s="52">
        <f>'Поставщик 7'!E22</f>
        <v>105.0</v>
      </c>
      <c r="F39" s="52">
        <f>'Поставщик 7'!F22</f>
        <v>105.0</v>
      </c>
      <c r="G39" s="52">
        <f>'Поставщик 7'!G22</f>
        <v>105.0</v>
      </c>
      <c r="H39" s="52">
        <f>'Поставщик 7'!H22</f>
        <v>105.0</v>
      </c>
      <c r="I39" s="52">
        <f>'Поставщик 7'!I22</f>
        <v>105.0</v>
      </c>
      <c r="J39" s="52">
        <f>'Поставщик 7'!J22</f>
        <v>105.0</v>
      </c>
      <c r="K39" s="52">
        <f>'Поставщик 7'!K22</f>
        <v>105.0</v>
      </c>
      <c r="L39" s="52">
        <f>'Поставщик 7'!L22</f>
        <v>105.0</v>
      </c>
      <c r="M39" s="52">
        <f>'Поставщик 7'!M22</f>
        <v>105.0</v>
      </c>
      <c r="N39" s="52">
        <f>'Поставщик 7'!N22</f>
        <v>105.0</v>
      </c>
    </row>
    <row r="40">
      <c r="B40" s="22" t="inlineStr">
        <is>
          <t>Расходники на ковш</t>
        </is>
      </c>
      <c r="C40" s="24" t="inlineStr">
        <is>
          <t>руб/м³</t>
        </is>
      </c>
      <c r="E40" s="53">
        <f>'Поставщик 7'!E23</f>
        <v>0.87</v>
      </c>
      <c r="F40" s="53">
        <f>'Поставщик 7'!F23</f>
        <v>0.87</v>
      </c>
      <c r="G40" s="53">
        <f>'Поставщик 7'!G23</f>
        <v>0.87</v>
      </c>
      <c r="H40" s="53">
        <f>'Поставщик 7'!H23</f>
        <v>0.87</v>
      </c>
      <c r="I40" s="53">
        <f>'Поставщик 7'!I23</f>
        <v>0.87</v>
      </c>
      <c r="J40" s="53">
        <f>'Поставщик 7'!J23</f>
        <v>0.87</v>
      </c>
      <c r="K40" s="53">
        <f>'Поставщик 7'!K23</f>
        <v>0.87</v>
      </c>
      <c r="L40" s="53">
        <f>'Поставщик 7'!L23</f>
        <v>0.87</v>
      </c>
      <c r="M40" s="53">
        <f>'Поставщик 7'!M23</f>
        <v>0.87</v>
      </c>
      <c r="N40" s="53">
        <f>'Поставщик 7'!N23</f>
        <v>0.87</v>
      </c>
    </row>
  </sheetData>
  <mergeCells count="10">
    <mergeCell ref="B16:N16"/>
    <mergeCell ref="B36:N36"/>
    <mergeCell ref="B31:N31"/>
    <mergeCell ref="B1:N1"/>
    <mergeCell ref="B4:N4"/>
    <mergeCell ref="B26:N26"/>
    <mergeCell ref="B21:N21"/>
    <mergeCell ref="B11:N11"/>
    <mergeCell ref="B6:N6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(геометрия ковша/цикла — неизменна по годам) и полная погодовая таблица по каждой машине (КТГ по годам из «Данные по годам»).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</row>
    <row r="5">
      <c r="B5" s="54" t="inlineStr">
        <is>
          <t>Стоимость в рублях</t>
        </is>
      </c>
      <c r="C5" s="24" t="inlineStr">
        <is>
          <t>тыс.руб</t>
        </is>
      </c>
      <c r="D5" s="55">
        <f>'Ввод данных'!D11*IF('Ввод данных'!D12="CNY",'Параметры'!C20,IF('Ввод данных'!D12="USD",'Параметры'!C21,IF('Ввод данных'!D12="EUR",'Параметры'!C22,1)))+'Ввод данных'!D13</f>
        <v>289278.04</v>
      </c>
      <c r="E5" s="55">
        <f>'Ввод данных'!E11*IF('Ввод данных'!E12="CNY",'Параметры'!C20,IF('Ввод данных'!E12="USD",'Параметры'!C21,IF('Ввод данных'!E12="EUR",'Параметры'!C22,1)))+'Ввод данных'!E13</f>
        <v>258952.56631199998</v>
      </c>
      <c r="F5" s="55">
        <f>'Ввод данных'!F11*IF('Ввод данных'!F12="CNY",'Параметры'!C20,IF('Ввод данных'!F12="USD",'Параметры'!C21,IF('Ввод данных'!F12="EUR",'Параметры'!C22,1)))+'Ввод данных'!F13</f>
        <v>225581.67719999998</v>
      </c>
      <c r="G5" s="55">
        <f>'Ввод данных'!G11*IF('Ввод данных'!G12="CNY",'Параметры'!C20,IF('Ввод данных'!G12="USD",'Параметры'!C21,IF('Ввод данных'!G12="EUR",'Параметры'!C22,1)))+'Ввод данных'!G13</f>
        <v>219895.57101599997</v>
      </c>
      <c r="H5" s="55">
        <f>'Ввод данных'!H11*IF('Ввод данных'!H12="CNY",'Параметры'!C20,IF('Ввод данных'!H12="USD",'Параметры'!C21,IF('Ввод данных'!H12="EUR",'Параметры'!C22,1)))+'Ввод данных'!H13</f>
        <v>187624.80594</v>
      </c>
      <c r="I5" s="55">
        <f>'Ввод данных'!I11*IF('Ввод данных'!I12="CNY",'Параметры'!C20,IF('Ввод данных'!I12="USD",'Параметры'!C21,IF('Ввод данных'!I12="EUR",'Параметры'!C22,1)))+'Ввод данных'!I13</f>
        <v>172584.72</v>
      </c>
      <c r="J5" s="55">
        <f>'Ввод данных'!J11*IF('Ввод данных'!J12="CNY",'Параметры'!C20,IF('Ввод данных'!J12="USD",'Параметры'!C21,IF('Ввод данных'!J12="EUR",'Параметры'!C22,1)))+'Ввод данных'!J13</f>
        <v>201722.4</v>
      </c>
    </row>
    <row r="6">
      <c r="B6" s="22" t="inlineStr">
        <is>
          <t>Порода в ковше</t>
        </is>
      </c>
      <c r="C6" s="24" t="inlineStr">
        <is>
          <t>т</t>
        </is>
      </c>
      <c r="D6" s="56">
        <f>'Ввод данных'!D16*'Параметры'!C27*('Параметры'!C29/'Параметры'!C28)*'Параметры'!C30</f>
        <v>15.049799999999998</v>
      </c>
      <c r="E6" s="56">
        <f>'Ввод данных'!E16*'Параметры'!C27*('Параметры'!C29/'Параметры'!C28)*'Параметры'!C30</f>
        <v>15.049799999999998</v>
      </c>
      <c r="F6" s="56">
        <f>'Ввод данных'!F16*'Параметры'!C27*('Параметры'!C29/'Параметры'!C28)*'Параметры'!C30</f>
        <v>15.049799999999998</v>
      </c>
      <c r="G6" s="56">
        <f>'Ввод данных'!G16*'Параметры'!C27*('Параметры'!C29/'Параметры'!C28)*'Параметры'!C30</f>
        <v>15.049799999999998</v>
      </c>
      <c r="H6" s="56">
        <f>'Ввод данных'!H16*'Параметры'!C27*('Параметры'!C29/'Параметры'!C28)*'Параметры'!C30</f>
        <v>14.447808</v>
      </c>
      <c r="I6" s="56">
        <f>'Ввод данных'!I16*'Параметры'!C27*('Параметры'!C29/'Параметры'!C28)*'Параметры'!C30</f>
        <v>18.05976</v>
      </c>
      <c r="J6" s="56">
        <f>'Ввод данных'!J16*'Параметры'!C27*('Параметры'!C29/'Параметры'!C28)*'Параметры'!C30</f>
        <v>18.05976</v>
      </c>
    </row>
    <row r="7">
      <c r="B7" s="22" t="inlineStr">
        <is>
          <t>Ковшей на самосвал (циклов)</t>
        </is>
      </c>
      <c r="C7" s="24" t="inlineStr">
        <is>
          <t>шт</t>
        </is>
      </c>
      <c r="D7" s="55">
        <f>ROUNDUP('Параметры'!C31/D6,0)</f>
        <v>10.0</v>
      </c>
      <c r="E7" s="55">
        <f>ROUNDUP('Параметры'!C31/E6,0)</f>
        <v>10.0</v>
      </c>
      <c r="F7" s="55">
        <f>ROUNDUP('Параметры'!C31/F6,0)</f>
        <v>10.0</v>
      </c>
      <c r="G7" s="55">
        <f>ROUNDUP('Параметры'!C31/G6,0)</f>
        <v>10.0</v>
      </c>
      <c r="H7" s="55">
        <f>ROUNDUP('Параметры'!C31/H6,0)</f>
        <v>10.0</v>
      </c>
      <c r="I7" s="55">
        <f>ROUNDUP('Параметры'!C31/I6,0)</f>
        <v>8.0</v>
      </c>
      <c r="J7" s="55">
        <f>ROUNDUP('Параметры'!C31/J6,0)</f>
        <v>8.0</v>
      </c>
    </row>
    <row r="8">
      <c r="B8" s="22" t="inlineStr">
        <is>
          <t>Самосвалов за час работы</t>
        </is>
      </c>
      <c r="C8" s="24" t="inlineStr">
        <is>
          <t>а/с/ч</t>
        </is>
      </c>
      <c r="D8" s="56">
        <f>3600/(D7*'Ввод данных'!D17+'Параметры'!C32)</f>
        <v>8.88888888888889</v>
      </c>
      <c r="E8" s="56">
        <f>3600/(E7*'Ввод данных'!E17+'Параметры'!C32)</f>
        <v>8.88888888888889</v>
      </c>
      <c r="F8" s="56">
        <f>3600/(F7*'Ввод данных'!F17+'Параметры'!C32)</f>
        <v>8.88888888888889</v>
      </c>
      <c r="G8" s="56">
        <f>3600/(G7*'Ввод данных'!G17+'Параметры'!C32)</f>
        <v>8.88888888888889</v>
      </c>
      <c r="H8" s="56">
        <f>3600/(H7*'Ввод данных'!H17+'Параметры'!C32)</f>
        <v>8.88888888888889</v>
      </c>
      <c r="I8" s="56">
        <f>3600/(I7*'Ввод данных'!I17+'Параметры'!C32)</f>
        <v>10.89588377723971</v>
      </c>
      <c r="J8" s="56">
        <f>3600/(J7*'Ввод данных'!J17+'Параметры'!C32)</f>
        <v>15.0</v>
      </c>
    </row>
    <row r="9">
      <c r="B9" s="22" t="inlineStr">
        <is>
          <t>Часовая производительность</t>
        </is>
      </c>
      <c r="C9" s="24" t="inlineStr">
        <is>
          <t>т/час</t>
        </is>
      </c>
      <c r="D9" s="55">
        <f>'Параметры'!C31*D8</f>
        <v>1208.888888888889</v>
      </c>
      <c r="E9" s="55">
        <f>'Параметры'!C31*E8</f>
        <v>1208.888888888889</v>
      </c>
      <c r="F9" s="55">
        <f>'Параметры'!C31*F8</f>
        <v>1208.888888888889</v>
      </c>
      <c r="G9" s="55">
        <f>'Параметры'!C31*G8</f>
        <v>1208.888888888889</v>
      </c>
      <c r="H9" s="55">
        <f>'Параметры'!C31*H8</f>
        <v>1208.888888888889</v>
      </c>
      <c r="I9" s="55">
        <f>'Параметры'!C31*I8</f>
        <v>1481.8401937046006</v>
      </c>
      <c r="J9" s="55">
        <f>'Параметры'!C31*J8</f>
        <v>2040.0</v>
      </c>
    </row>
    <row r="10">
      <c r="B10" s="22" t="inlineStr">
        <is>
          <t>Часовая производительность</t>
        </is>
      </c>
      <c r="C10" s="24" t="inlineStr">
        <is>
          <t>м³/час</t>
        </is>
      </c>
      <c r="D10" s="57">
        <f>D9/'Параметры'!C27</f>
        <v>433.75991707531</v>
      </c>
      <c r="E10" s="57">
        <f>E9/'Параметры'!C27</f>
        <v>433.75991707531</v>
      </c>
      <c r="F10" s="57">
        <f>F9/'Параметры'!C27</f>
        <v>433.75991707531</v>
      </c>
      <c r="G10" s="57">
        <f>G9/'Параметры'!C27</f>
        <v>433.75991707531</v>
      </c>
      <c r="H10" s="57">
        <f>H9/'Параметры'!C27</f>
        <v>433.75991707531</v>
      </c>
      <c r="I10" s="57">
        <f>I9/'Параметры'!C27</f>
        <v>531.6972349137426</v>
      </c>
      <c r="J10" s="57">
        <f>J9/'Параметры'!C27</f>
        <v>731.9698600645856</v>
      </c>
    </row>
    <row r="11">
      <c r="B11" s="22" t="inlineStr">
        <is>
          <t>Время техготовности (1-й год)</t>
        </is>
      </c>
      <c r="C11" s="24" t="inlineStr">
        <is>
          <t>час/год</t>
        </is>
      </c>
      <c r="D11" s="55">
        <f>'Параметры'!C26*'Данные по годам'!E7</f>
        <v>8094.790277777779</v>
      </c>
      <c r="E11" s="55">
        <f>'Параметры'!C26*'Данные по годам'!E12</f>
        <v>8094.790277777779</v>
      </c>
      <c r="F11" s="55">
        <f>'Параметры'!C26*'Данные по годам'!E17</f>
        <v>7486.752777777779</v>
      </c>
      <c r="G11" s="55">
        <f>'Параметры'!C26*'Данные по годам'!E22</f>
        <v>7486.752777777779</v>
      </c>
      <c r="H11" s="55">
        <f>'Параметры'!C26*'Данные по годам'!E27</f>
        <v>7486.752777777779</v>
      </c>
      <c r="I11" s="55">
        <f>'Параметры'!C26*'Данные по годам'!E32</f>
        <v>7486.752777777779</v>
      </c>
      <c r="J11" s="55">
        <f>'Параметры'!C26*'Данные по годам'!E37</f>
        <v>8015.0</v>
      </c>
    </row>
    <row r="12">
      <c r="B12" s="22" t="inlineStr">
        <is>
          <t>Эффективное время (1-й год)</t>
        </is>
      </c>
      <c r="C12" s="24" t="inlineStr">
        <is>
          <t>час/год</t>
        </is>
      </c>
      <c r="D12" s="55">
        <f>D11*(1-'Ввод данных'!D18/(60*'Параметры'!C33))</f>
        <v>5103.090704282408</v>
      </c>
      <c r="E12" s="55">
        <f>E11*(1-'Ввод данных'!E18/(60*'Параметры'!C33))</f>
        <v>5103.090704282408</v>
      </c>
      <c r="F12" s="55">
        <f>F11*(1-'Ввод данных'!F18/(60*'Параметры'!C33))</f>
        <v>4719.773730324075</v>
      </c>
      <c r="G12" s="55">
        <f>G11*(1-'Ввод данных'!G18/(60*'Параметры'!C33))</f>
        <v>4719.773730324075</v>
      </c>
      <c r="H12" s="55">
        <f>H11*(1-'Ввод данных'!H18/(60*'Параметры'!C33))</f>
        <v>4719.773730324075</v>
      </c>
      <c r="I12" s="55">
        <f>I11*(1-'Ввод данных'!I18/(60*'Параметры'!C33))</f>
        <v>4719.773730324075</v>
      </c>
      <c r="J12" s="55">
        <f>J11*(1-'Ввод данных'!J18/(60*'Параметры'!C33))</f>
        <v>5052.789583333333</v>
      </c>
    </row>
    <row r="13">
      <c r="B13" s="22" t="inlineStr">
        <is>
          <t>КИО (1-й год)</t>
        </is>
      </c>
      <c r="C13" s="24" t="inlineStr">
        <is>
          <t>коэф.</t>
        </is>
      </c>
      <c r="D13" s="58">
        <f>D12/'Параметры'!C26</f>
        <v>0.5825446009454804</v>
      </c>
      <c r="E13" s="58">
        <f>E12/'Параметры'!C26</f>
        <v>0.5825446009454804</v>
      </c>
      <c r="F13" s="58">
        <f>F12/'Параметры'!C26</f>
        <v>0.5387869555164468</v>
      </c>
      <c r="G13" s="58">
        <f>G12/'Параметры'!C26</f>
        <v>0.5387869555164468</v>
      </c>
      <c r="H13" s="58">
        <f>H12/'Параметры'!C26</f>
        <v>0.5387869555164468</v>
      </c>
      <c r="I13" s="58">
        <f>I12/'Параметры'!C26</f>
        <v>0.5387869555164468</v>
      </c>
      <c r="J13" s="58">
        <f>J12/'Параметры'!C26</f>
        <v>0.5768024638508371</v>
      </c>
    </row>
    <row r="14">
      <c r="B14" s="37" t="inlineStr">
        <is>
          <t>Производительность (1-й год)</t>
        </is>
      </c>
      <c r="C14" s="24" t="inlineStr">
        <is>
          <t>тыс.м³</t>
        </is>
      </c>
      <c r="D14" s="59">
        <f>D10*D12/1000</f>
        <v>2213.5162007173226</v>
      </c>
      <c r="E14" s="59">
        <f>E10*E12/1000</f>
        <v>2213.5162007173226</v>
      </c>
      <c r="F14" s="59">
        <f>F10*F12/1000</f>
        <v>2047.2486618795972</v>
      </c>
      <c r="G14" s="59">
        <f>G10*G12/1000</f>
        <v>2047.2486618795972</v>
      </c>
      <c r="H14" s="59">
        <f>H10*H12/1000</f>
        <v>2047.2486618795972</v>
      </c>
      <c r="I14" s="59">
        <f>I10*I12/1000</f>
        <v>2509.4906418318305</v>
      </c>
      <c r="J14" s="59">
        <f>J10*J12/1000</f>
        <v>3698.4896842482963</v>
      </c>
    </row>
    <row r="16">
      <c r="B16" s="5" t="inlineStr">
        <is>
          <t>ПОГОДОВАЯ ПРОИЗВОДИТЕЛЬНОСТЬ (КТГ по годам из «Данные по годам»; часовая производительность — из геометрии выше)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15" t="inlineStr">
        <is>
          <t>Показатель</t>
        </is>
      </c>
      <c r="C17" s="15" t="inlineStr">
        <is>
          <t>Ед.</t>
        </is>
      </c>
      <c r="E17" s="15" t="inlineStr">
        <is>
          <t>год 1</t>
        </is>
      </c>
      <c r="F17" s="15" t="inlineStr">
        <is>
          <t>год 2</t>
        </is>
      </c>
      <c r="G17" s="15" t="inlineStr">
        <is>
          <t>год 3</t>
        </is>
      </c>
      <c r="H17" s="15" t="inlineStr">
        <is>
          <t>год 4</t>
        </is>
      </c>
      <c r="I17" s="15" t="inlineStr">
        <is>
          <t>год 5</t>
        </is>
      </c>
      <c r="J17" s="15" t="inlineStr">
        <is>
          <t>год 6</t>
        </is>
      </c>
      <c r="K17" s="15" t="inlineStr">
        <is>
          <t>год 7</t>
        </is>
      </c>
      <c r="L17" s="15" t="inlineStr">
        <is>
          <t>год 8</t>
        </is>
      </c>
      <c r="M17" s="15" t="inlineStr">
        <is>
          <t>год 9</t>
        </is>
      </c>
      <c r="N17" s="15" t="inlineStr">
        <is>
          <t>год 10</t>
        </is>
      </c>
    </row>
    <row r="18">
      <c r="B18" s="5" t="str">
        <f>"Вариант 1:  "&amp;'Ввод данных'!D7</f>
        <v>Вариант 1:  Komatsu PC2000-8
Mining Solutions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37" t="inlineStr">
        <is>
          <t>КТГ (по годам)</t>
        </is>
      </c>
      <c r="C19" s="24" t="inlineStr">
        <is>
          <t>коэф.</t>
        </is>
      </c>
      <c r="E19" s="39">
        <f>'Данные по годам'!E7</f>
        <v>0.9240628170979199</v>
      </c>
      <c r="F19" s="39">
        <f>'Данные по годам'!F7</f>
        <v>0.9000003170979199</v>
      </c>
      <c r="G19" s="39">
        <f>'Данные по годам'!G7</f>
        <v>0.8600004756468798</v>
      </c>
      <c r="H19" s="39">
        <f>'Данные по годам'!H7</f>
        <v>0.8499996829020803</v>
      </c>
      <c r="I19" s="39">
        <f>'Данные по годам'!I7</f>
        <v>0.8600004756468798</v>
      </c>
      <c r="J19" s="39">
        <f>'Данные по годам'!J7</f>
        <v>0.81214849695586</v>
      </c>
      <c r="K19" s="39">
        <f>'Данные по годам'!K7</f>
        <v>0.7865632927447997</v>
      </c>
      <c r="L19" s="39">
        <f>'Данные по годам'!L7</f>
        <v>0.8426392059868087</v>
      </c>
      <c r="M19" s="39">
        <f>'Данные по годам'!M7</f>
        <v>0.7373806126331812</v>
      </c>
      <c r="N19" s="39">
        <f>'Данные по годам'!N7</f>
        <v>0.826705194063927</v>
      </c>
    </row>
    <row r="20">
      <c r="B20" s="37" t="inlineStr">
        <is>
          <t>Время техготовности</t>
        </is>
      </c>
      <c r="C20" s="24" t="inlineStr">
        <is>
          <t>час/год</t>
        </is>
      </c>
      <c r="E20" s="38">
        <f>'Параметры'!C26*E19</f>
        <v>8094.790277777779</v>
      </c>
      <c r="F20" s="38">
        <f>'Параметры'!C26*F19</f>
        <v>7884.002777777779</v>
      </c>
      <c r="G20" s="38">
        <f>'Параметры'!C26*G19</f>
        <v>7533.604166666667</v>
      </c>
      <c r="H20" s="38">
        <f>'Параметры'!C26*H19</f>
        <v>7445.997222222223</v>
      </c>
      <c r="I20" s="38">
        <f>'Параметры'!C26*I19</f>
        <v>7533.604166666667</v>
      </c>
      <c r="J20" s="38">
        <f>'Параметры'!C26*J19</f>
        <v>7114.420833333334</v>
      </c>
      <c r="K20" s="38">
        <f>'Параметры'!C26*K19</f>
        <v>6890.294444444446</v>
      </c>
      <c r="L20" s="38">
        <f>'Параметры'!C26*L19</f>
        <v>7381.519444444445</v>
      </c>
      <c r="M20" s="38">
        <f>'Параметры'!C26*M19</f>
        <v>6459.454166666667</v>
      </c>
      <c r="N20" s="38">
        <f>'Параметры'!C26*N19</f>
        <v>7241.9375</v>
      </c>
    </row>
    <row r="21">
      <c r="B21" s="37" t="inlineStr">
        <is>
          <t>Эффективное время</t>
        </is>
      </c>
      <c r="C21" s="24" t="inlineStr">
        <is>
          <t>час/год</t>
        </is>
      </c>
      <c r="E21" s="38">
        <f>E20*(1-'Ввод данных'!D18/(60*'Параметры'!C33))</f>
        <v>5103.090704282408</v>
      </c>
      <c r="F21" s="38">
        <f>F20*(1-'Ввод данных'!D18/(60*'Параметры'!C33))</f>
        <v>4970.206751157408</v>
      </c>
      <c r="G21" s="38">
        <f>G20*(1-'Ввод данных'!D18/(60*'Параметры'!C33))</f>
        <v>4749.309626736111</v>
      </c>
      <c r="H21" s="38">
        <f>H20*(1-'Ввод данных'!D18/(60*'Параметры'!C33))</f>
        <v>4694.080748842593</v>
      </c>
      <c r="I21" s="38">
        <f>I20*(1-'Ввод данных'!D18/(60*'Параметры'!C33))</f>
        <v>4749.309626736111</v>
      </c>
      <c r="J21" s="38">
        <f>J20*(1-'Ввод данных'!D18/(60*'Параметры'!C33))</f>
        <v>4485.049467013889</v>
      </c>
      <c r="K21" s="38">
        <f>K20*(1-'Ввод данных'!D18/(60*'Параметры'!C33))</f>
        <v>4343.756456018519</v>
      </c>
      <c r="L21" s="38">
        <f>L20*(1-'Ввод данных'!D18/(60*'Параметры'!C33))</f>
        <v>4653.432883101852</v>
      </c>
      <c r="M21" s="38">
        <f>M20*(1-'Ввод данных'!D18/(60*'Параметры'!C33))</f>
        <v>4072.147564236111</v>
      </c>
      <c r="N21" s="38">
        <f>N20*(1-'Ввод данных'!D18/(60*'Параметры'!C33))</f>
        <v>4565.438098958333</v>
      </c>
    </row>
    <row r="22">
      <c r="B22" s="37" t="inlineStr">
        <is>
          <t>КИО</t>
        </is>
      </c>
      <c r="C22" s="24" t="inlineStr">
        <is>
          <t>коэф.</t>
        </is>
      </c>
      <c r="E22" s="39">
        <f>E21/'Параметры'!C26</f>
        <v>0.5825446009454804</v>
      </c>
      <c r="F22" s="39">
        <f>F21/'Параметры'!C26</f>
        <v>0.5673751999038137</v>
      </c>
      <c r="G22" s="39">
        <f>G21/'Параметры'!C26</f>
        <v>0.5421586331890538</v>
      </c>
      <c r="H22" s="39">
        <f>H21/'Параметры'!C26</f>
        <v>0.535853966762853</v>
      </c>
      <c r="I22" s="39">
        <f>I21/'Параметры'!C26</f>
        <v>0.5421586331890538</v>
      </c>
      <c r="J22" s="39">
        <f>J21/'Параметры'!C26</f>
        <v>0.5119919482892566</v>
      </c>
      <c r="K22" s="39">
        <f>K21/'Параметры'!C26</f>
        <v>0.49586260913453417</v>
      </c>
      <c r="L22" s="39">
        <f>L21/'Параметры'!C26</f>
        <v>0.5312137994408507</v>
      </c>
      <c r="M22" s="39">
        <f>M21/'Параметры'!C26</f>
        <v>0.4648570278808346</v>
      </c>
      <c r="N22" s="39">
        <f>N21/'Параметры'!C26</f>
        <v>0.5211687327578006</v>
      </c>
    </row>
    <row r="23">
      <c r="B23" s="37" t="inlineStr">
        <is>
          <t>Производительность</t>
        </is>
      </c>
      <c r="C23" s="24" t="inlineStr">
        <is>
          <t>тыс.м³</t>
        </is>
      </c>
      <c r="E23" s="38">
        <f>'Производительность'!D10*E21/1000</f>
        <v>2213.5162007173226</v>
      </c>
      <c r="F23" s="38">
        <f>'Производительность'!D10*F21/1000</f>
        <v>2155.876468229183</v>
      </c>
      <c r="G23" s="38">
        <f>'Производительность'!D10*G21/1000</f>
        <v>2060.0601498580268</v>
      </c>
      <c r="H23" s="38">
        <f>'Производительность'!D10*H21/1000</f>
        <v>2036.1040763627718</v>
      </c>
      <c r="I23" s="38">
        <f>'Производительность'!D10*I21/1000</f>
        <v>2060.0601498580268</v>
      </c>
      <c r="J23" s="38">
        <f>'Производительность'!D10*J21/1000</f>
        <v>1945.4346848906075</v>
      </c>
      <c r="K23" s="38">
        <f>'Производительность'!D10*K21/1000</f>
        <v>1884.1474401579353</v>
      </c>
      <c r="L23" s="38">
        <f>'Производительность'!D10*L21/1000</f>
        <v>2018.47266148978</v>
      </c>
      <c r="M23" s="38">
        <f>'Производительность'!D10*M21/1000</f>
        <v>1766.3343897814811</v>
      </c>
      <c r="N23" s="38">
        <f>'Производительность'!D10*N21/1000</f>
        <v>1980.3040512166274</v>
      </c>
    </row>
    <row r="25">
      <c r="B25" s="5" t="str">
        <f>"Вариант 2:  "&amp;'Ввод данных'!E7</f>
        <v>Вариант 2:  Komatsu PC2000-11R
ИСТК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B26" s="37" t="inlineStr">
        <is>
          <t>КТГ (по годам)</t>
        </is>
      </c>
      <c r="C26" s="24" t="inlineStr">
        <is>
          <t>коэф.</t>
        </is>
      </c>
      <c r="E26" s="39">
        <f>'Данные по годам'!E12</f>
        <v>0.9240628170979199</v>
      </c>
      <c r="F26" s="39">
        <f>'Данные по годам'!F12</f>
        <v>0.797738299086758</v>
      </c>
      <c r="G26" s="39">
        <f>'Данные по годам'!G12</f>
        <v>0.8245343417047185</v>
      </c>
      <c r="H26" s="39">
        <f>'Данные по годам'!H12</f>
        <v>0.7639435882800609</v>
      </c>
      <c r="I26" s="39">
        <f>'Данные по годам'!I12</f>
        <v>0.7628148782343989</v>
      </c>
      <c r="J26" s="39">
        <f>'Данные по годам'!J12</f>
        <v>0.81214849695586</v>
      </c>
      <c r="K26" s="39">
        <f>'Данные по годам'!K12</f>
        <v>0.7865632927447997</v>
      </c>
      <c r="L26" s="39">
        <f>'Данные по годам'!L12</f>
        <v>0.8426392059868087</v>
      </c>
      <c r="M26" s="39">
        <f>'Данные по годам'!M12</f>
        <v>0.7373806126331812</v>
      </c>
      <c r="N26" s="39">
        <f>'Данные по годам'!N12</f>
        <v>0.826705194063927</v>
      </c>
    </row>
    <row r="27">
      <c r="B27" s="37" t="inlineStr">
        <is>
          <t>Время техготовности</t>
        </is>
      </c>
      <c r="C27" s="24" t="inlineStr">
        <is>
          <t>час/год</t>
        </is>
      </c>
      <c r="E27" s="38">
        <f>'Параметры'!C26*E26</f>
        <v>8094.790277777779</v>
      </c>
      <c r="F27" s="38">
        <f>'Параметры'!C26*F26</f>
        <v>6988.1875</v>
      </c>
      <c r="G27" s="38">
        <f>'Параметры'!C26*G26</f>
        <v>7222.9208333333345</v>
      </c>
      <c r="H27" s="38">
        <f>'Параметры'!C26*H26</f>
        <v>6692.145833333334</v>
      </c>
      <c r="I27" s="38">
        <f>'Параметры'!C26*I26</f>
        <v>6682.258333333334</v>
      </c>
      <c r="J27" s="38">
        <f>'Параметры'!C26*J26</f>
        <v>7114.420833333334</v>
      </c>
      <c r="K27" s="38">
        <f>'Параметры'!C26*K26</f>
        <v>6890.294444444446</v>
      </c>
      <c r="L27" s="38">
        <f>'Параметры'!C26*L26</f>
        <v>7381.519444444445</v>
      </c>
      <c r="M27" s="38">
        <f>'Параметры'!C26*M26</f>
        <v>6459.454166666667</v>
      </c>
      <c r="N27" s="38">
        <f>'Параметры'!C26*N26</f>
        <v>7241.9375</v>
      </c>
    </row>
    <row r="28">
      <c r="B28" s="37" t="inlineStr">
        <is>
          <t>Эффективное время</t>
        </is>
      </c>
      <c r="C28" s="24" t="inlineStr">
        <is>
          <t>час/год</t>
        </is>
      </c>
      <c r="E28" s="38">
        <f>E27*(1-'Ввод данных'!E18/(60*'Параметры'!C33))</f>
        <v>5103.090704282408</v>
      </c>
      <c r="F28" s="38">
        <f>F27*(1-'Ввод данных'!E18/(60*'Параметры'!C33))</f>
        <v>4405.4698697916665</v>
      </c>
      <c r="G28" s="38">
        <f>G27*(1-'Ввод данных'!E18/(60*'Параметры'!C33))</f>
        <v>4553.449675347223</v>
      </c>
      <c r="H28" s="38">
        <f>H27*(1-'Ввод данных'!E18/(60*'Параметры'!C33))</f>
        <v>4218.8402690972225</v>
      </c>
      <c r="I28" s="38">
        <f>I27*(1-'Ввод данных'!E18/(60*'Параметры'!C33))</f>
        <v>4212.607024305556</v>
      </c>
      <c r="J28" s="38">
        <f>J27*(1-'Ввод данных'!E18/(60*'Параметры'!C33))</f>
        <v>4485.049467013889</v>
      </c>
      <c r="K28" s="38">
        <f>K27*(1-'Ввод данных'!E18/(60*'Параметры'!C33))</f>
        <v>4343.756456018519</v>
      </c>
      <c r="L28" s="38">
        <f>L27*(1-'Ввод данных'!E18/(60*'Параметры'!C33))</f>
        <v>4653.432883101852</v>
      </c>
      <c r="M28" s="38">
        <f>M27*(1-'Ввод данных'!E18/(60*'Параметры'!C33))</f>
        <v>4072.147564236111</v>
      </c>
      <c r="N28" s="38">
        <f>N27*(1-'Ввод данных'!E18/(60*'Параметры'!C33))</f>
        <v>4565.438098958333</v>
      </c>
    </row>
    <row r="29">
      <c r="B29" s="37" t="inlineStr">
        <is>
          <t>КИО</t>
        </is>
      </c>
      <c r="C29" s="24" t="inlineStr">
        <is>
          <t>коэф.</t>
        </is>
      </c>
      <c r="E29" s="39">
        <f>E28/'Параметры'!C26</f>
        <v>0.5825446009454804</v>
      </c>
      <c r="F29" s="39">
        <f>F28/'Параметры'!C26</f>
        <v>0.5029075193826104</v>
      </c>
      <c r="G29" s="39">
        <f>G28/'Параметры'!C26</f>
        <v>0.519800191249683</v>
      </c>
      <c r="H29" s="39">
        <f>H28/'Параметры'!C26</f>
        <v>0.4816027704448884</v>
      </c>
      <c r="I29" s="39">
        <f>I28/'Параметры'!C26</f>
        <v>0.4808912128202689</v>
      </c>
      <c r="J29" s="39">
        <f>J28/'Параметры'!C26</f>
        <v>0.5119919482892566</v>
      </c>
      <c r="K29" s="39">
        <f>K28/'Параметры'!C26</f>
        <v>0.49586260913453417</v>
      </c>
      <c r="L29" s="39">
        <f>L28/'Параметры'!C26</f>
        <v>0.5312137994408507</v>
      </c>
      <c r="M29" s="39">
        <f>M28/'Параметры'!C26</f>
        <v>0.4648570278808346</v>
      </c>
      <c r="N29" s="39">
        <f>N28/'Параметры'!C26</f>
        <v>0.5211687327578006</v>
      </c>
    </row>
    <row r="30">
      <c r="B30" s="37" t="inlineStr">
        <is>
          <t>Производительность</t>
        </is>
      </c>
      <c r="C30" s="24" t="inlineStr">
        <is>
          <t>тыс.м³</t>
        </is>
      </c>
      <c r="E30" s="38">
        <f>'Производительность'!E10*E28/1000</f>
        <v>2213.5162007173226</v>
      </c>
      <c r="F30" s="38">
        <f>'Производительность'!E10*F28/1000</f>
        <v>1910.9162453986098</v>
      </c>
      <c r="G30" s="38">
        <f>'Производительность'!E10*G28/1000</f>
        <v>1975.1039535852087</v>
      </c>
      <c r="H30" s="38">
        <f>'Производительность'!E10*H28/1000</f>
        <v>1829.9638052775897</v>
      </c>
      <c r="I30" s="38">
        <f>'Производительность'!E10*I28/1000</f>
        <v>1827.2600735336464</v>
      </c>
      <c r="J30" s="38">
        <f>'Производительность'!E10*J28/1000</f>
        <v>1945.4346848906075</v>
      </c>
      <c r="K30" s="38">
        <f>'Производительность'!E10*K28/1000</f>
        <v>1884.1474401579353</v>
      </c>
      <c r="L30" s="38">
        <f>'Производительность'!E10*L28/1000</f>
        <v>2018.47266148978</v>
      </c>
      <c r="M30" s="38">
        <f>'Производительность'!E10*M28/1000</f>
        <v>1766.3343897814811</v>
      </c>
      <c r="N30" s="38">
        <f>'Производительность'!E10*N28/1000</f>
        <v>1980.3040512166274</v>
      </c>
    </row>
    <row r="32">
      <c r="B32" s="5" t="str">
        <f>"Вариант 3:  "&amp;'Ввод данных'!F7</f>
        <v>Вариант 3:  Zoomlion ZE2000G
Орикс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B33" s="37" t="inlineStr">
        <is>
          <t>КТГ (по годам)</t>
        </is>
      </c>
      <c r="C33" s="24" t="inlineStr">
        <is>
          <t>коэф.</t>
        </is>
      </c>
      <c r="E33" s="39">
        <f>'Данные по годам'!E17</f>
        <v>0.8546521435819382</v>
      </c>
      <c r="F33" s="39">
        <f>'Данные по годам'!F17</f>
        <v>0.728326515728057</v>
      </c>
      <c r="G33" s="39">
        <f>'Данные по годам'!G17</f>
        <v>0.7551225583460174</v>
      </c>
      <c r="H33" s="39">
        <f>'Данные по годам'!H17</f>
        <v>0.6945340246067987</v>
      </c>
      <c r="I33" s="39">
        <f>'Данные по годам'!I17</f>
        <v>0.6934042047184171</v>
      </c>
      <c r="J33" s="39">
        <f>'Данные по годам'!J17</f>
        <v>0.7427367135971588</v>
      </c>
      <c r="K33" s="39">
        <f>'Данные по годам'!K17</f>
        <v>0.7171515093860985</v>
      </c>
      <c r="L33" s="39">
        <f>'Данные по годам'!L17</f>
        <v>0.7732285324708271</v>
      </c>
      <c r="M33" s="39">
        <f>'Данные по годам'!M17</f>
        <v>0.6679699391171994</v>
      </c>
      <c r="N33" s="39">
        <f>'Данные по годам'!N17</f>
        <v>0.7572945205479452</v>
      </c>
    </row>
    <row r="34">
      <c r="B34" s="37" t="inlineStr">
        <is>
          <t>Время техготовности</t>
        </is>
      </c>
      <c r="C34" s="24" t="inlineStr">
        <is>
          <t>час/год</t>
        </is>
      </c>
      <c r="E34" s="38">
        <f>'Параметры'!C26*E33</f>
        <v>7486.752777777779</v>
      </c>
      <c r="F34" s="38">
        <f>'Параметры'!C26*F33</f>
        <v>6380.140277777779</v>
      </c>
      <c r="G34" s="38">
        <f>'Параметры'!C26*G33</f>
        <v>6614.873611111112</v>
      </c>
      <c r="H34" s="38">
        <f>'Параметры'!C26*H33</f>
        <v>6084.118055555557</v>
      </c>
      <c r="I34" s="38">
        <f>'Параметры'!C26*I33</f>
        <v>6074.220833333334</v>
      </c>
      <c r="J34" s="38">
        <f>'Параметры'!C26*J33</f>
        <v>6506.373611111111</v>
      </c>
      <c r="K34" s="38">
        <f>'Параметры'!C26*K33</f>
        <v>6282.247222222223</v>
      </c>
      <c r="L34" s="38">
        <f>'Параметры'!C26*L33</f>
        <v>6773.481944444446</v>
      </c>
      <c r="M34" s="38">
        <f>'Параметры'!C26*M33</f>
        <v>5851.416666666666</v>
      </c>
      <c r="N34" s="38">
        <f>'Параметры'!C26*N33</f>
        <v>6633.9</v>
      </c>
    </row>
    <row r="35">
      <c r="B35" s="37" t="inlineStr">
        <is>
          <t>Эффективное время</t>
        </is>
      </c>
      <c r="C35" s="24" t="inlineStr">
        <is>
          <t>час/год</t>
        </is>
      </c>
      <c r="E35" s="38">
        <f>E34*(1-'Ввод данных'!F18/(60*'Параметры'!C33))</f>
        <v>4719.773730324075</v>
      </c>
      <c r="F35" s="38">
        <f>F34*(1-'Ввод данных'!F18/(60*'Параметры'!C33))</f>
        <v>4022.146766782408</v>
      </c>
      <c r="G35" s="38">
        <f>G34*(1-'Ввод данных'!F18/(60*'Параметры'!C33))</f>
        <v>4170.126572337963</v>
      </c>
      <c r="H35" s="38">
        <f>H34*(1-'Ввод данных'!F18/(60*'Параметры'!C33))</f>
        <v>3835.529424189815</v>
      </c>
      <c r="I35" s="38">
        <f>I34*(1-'Ввод данных'!F18/(60*'Параметры'!C33))</f>
        <v>3829.2900503472224</v>
      </c>
      <c r="J35" s="38">
        <f>J34*(1-'Ввод данных'!F18/(60*'Параметры'!C33))</f>
        <v>4101.726364004629</v>
      </c>
      <c r="K35" s="38">
        <f>K34*(1-'Ввод данных'!F18/(60*'Параметры'!C33))</f>
        <v>3960.4333530092595</v>
      </c>
      <c r="L35" s="38">
        <f>L34*(1-'Ввод данных'!F18/(60*'Параметры'!C33))</f>
        <v>4270.115909143519</v>
      </c>
      <c r="M35" s="38">
        <f>M34*(1-'Ввод данных'!F18/(60*'Параметры'!C33))</f>
        <v>3688.830590277777</v>
      </c>
      <c r="N35" s="38">
        <f>N34*(1-'Ввод данных'!F18/(60*'Параметры'!C33))</f>
        <v>4182.121125</v>
      </c>
    </row>
    <row r="36">
      <c r="B36" s="37" t="inlineStr">
        <is>
          <t>КИО</t>
        </is>
      </c>
      <c r="C36" s="24" t="inlineStr">
        <is>
          <t>коэф.</t>
        </is>
      </c>
      <c r="E36" s="39">
        <f>E35/'Параметры'!C26</f>
        <v>0.5387869555164468</v>
      </c>
      <c r="F36" s="39">
        <f>F35/'Параметры'!C26</f>
        <v>0.4591491742902292</v>
      </c>
      <c r="G36" s="39">
        <f>G35/'Параметры'!C26</f>
        <v>0.4760418461573017</v>
      </c>
      <c r="H36" s="39">
        <f>H35/'Параметры'!C26</f>
        <v>0.43784582467920263</v>
      </c>
      <c r="I36" s="39">
        <f>I35/'Параметры'!C26</f>
        <v>0.43713356739123543</v>
      </c>
      <c r="J36" s="39">
        <f>J35/'Параметры'!C26</f>
        <v>0.4682336031968755</v>
      </c>
      <c r="K36" s="39">
        <f>K35/'Параметры'!C26</f>
        <v>0.4521042640421529</v>
      </c>
      <c r="L36" s="39">
        <f>L35/'Параметры'!C26</f>
        <v>0.48745615401181724</v>
      </c>
      <c r="M36" s="39">
        <f>M35/'Параметры'!C26</f>
        <v>0.421099382451801</v>
      </c>
      <c r="N36" s="39">
        <f>N35/'Параметры'!C26</f>
        <v>0.4774110873287671</v>
      </c>
    </row>
    <row r="37">
      <c r="B37" s="37" t="inlineStr">
        <is>
          <t>Производительность</t>
        </is>
      </c>
      <c r="C37" s="24" t="inlineStr">
        <is>
          <t>тыс.м³</t>
        </is>
      </c>
      <c r="E37" s="38">
        <f>'Производительность'!F10*E35/1000</f>
        <v>2047.2486618795972</v>
      </c>
      <c r="F37" s="38">
        <f>'Производительность'!F10*F35/1000</f>
        <v>1744.6460480242636</v>
      </c>
      <c r="G37" s="38">
        <f>'Производительность'!F10*G35/1000</f>
        <v>1808.8337562108616</v>
      </c>
      <c r="H37" s="38">
        <f>'Производительность'!F10*H35/1000</f>
        <v>1663.6989249764858</v>
      </c>
      <c r="I37" s="38">
        <f>'Производительность'!F10*I35/1000</f>
        <v>1660.9925346959208</v>
      </c>
      <c r="J37" s="38">
        <f>'Производительность'!F10*J35/1000</f>
        <v>1779.164487516261</v>
      </c>
      <c r="K37" s="38">
        <f>'Производительность'!F10*K35/1000</f>
        <v>1717.8772427835884</v>
      </c>
      <c r="L37" s="38">
        <f>'Производительность'!F10*L35/1000</f>
        <v>1852.205122652055</v>
      </c>
      <c r="M37" s="38">
        <f>'Производительность'!F10*M35/1000</f>
        <v>1600.0668509437553</v>
      </c>
      <c r="N37" s="38">
        <f>'Производительность'!F10*N35/1000</f>
        <v>1814.036512378902</v>
      </c>
    </row>
    <row r="39">
      <c r="B39" s="5" t="str">
        <f>"Вариант 4:  "&amp;'Ввод данных'!G7</f>
        <v>Вариант 4:  Sany SY2000
АСТ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B40" s="37" t="inlineStr">
        <is>
          <t>КТГ (по годам)</t>
        </is>
      </c>
      <c r="C40" s="24" t="inlineStr">
        <is>
          <t>коэф.</t>
        </is>
      </c>
      <c r="E40" s="39">
        <f>'Данные по годам'!E22</f>
        <v>0.8546521435819382</v>
      </c>
      <c r="F40" s="39">
        <f>'Данные по годам'!F22</f>
        <v>0.728326515728057</v>
      </c>
      <c r="G40" s="39">
        <f>'Данные по годам'!G22</f>
        <v>0.7551225583460174</v>
      </c>
      <c r="H40" s="39">
        <f>'Данные по годам'!H22</f>
        <v>0.6945340246067987</v>
      </c>
      <c r="I40" s="39">
        <f>'Данные по годам'!I22</f>
        <v>0.6934042047184171</v>
      </c>
      <c r="J40" s="39">
        <f>'Данные по годам'!J22</f>
        <v>0.7427367135971588</v>
      </c>
      <c r="K40" s="39">
        <f>'Данные по годам'!K22</f>
        <v>0.7171515093860985</v>
      </c>
      <c r="L40" s="39">
        <f>'Данные по годам'!L22</f>
        <v>0.7732285324708271</v>
      </c>
      <c r="M40" s="39">
        <f>'Данные по годам'!M22</f>
        <v>0.6679699391171994</v>
      </c>
      <c r="N40" s="39">
        <f>'Данные по годам'!N22</f>
        <v>0.7572945205479452</v>
      </c>
    </row>
    <row r="41">
      <c r="B41" s="37" t="inlineStr">
        <is>
          <t>Время техготовности</t>
        </is>
      </c>
      <c r="C41" s="24" t="inlineStr">
        <is>
          <t>час/год</t>
        </is>
      </c>
      <c r="E41" s="38">
        <f>'Параметры'!C26*E40</f>
        <v>7486.752777777779</v>
      </c>
      <c r="F41" s="38">
        <f>'Параметры'!C26*F40</f>
        <v>6380.140277777779</v>
      </c>
      <c r="G41" s="38">
        <f>'Параметры'!C26*G40</f>
        <v>6614.873611111112</v>
      </c>
      <c r="H41" s="38">
        <f>'Параметры'!C26*H40</f>
        <v>6084.118055555557</v>
      </c>
      <c r="I41" s="38">
        <f>'Параметры'!C26*I40</f>
        <v>6074.220833333334</v>
      </c>
      <c r="J41" s="38">
        <f>'Параметры'!C26*J40</f>
        <v>6506.373611111111</v>
      </c>
      <c r="K41" s="38">
        <f>'Параметры'!C26*K40</f>
        <v>6282.247222222223</v>
      </c>
      <c r="L41" s="38">
        <f>'Параметры'!C26*L40</f>
        <v>6773.481944444446</v>
      </c>
      <c r="M41" s="38">
        <f>'Параметры'!C26*M40</f>
        <v>5851.416666666666</v>
      </c>
      <c r="N41" s="38">
        <f>'Параметры'!C26*N40</f>
        <v>6633.9</v>
      </c>
    </row>
    <row r="42">
      <c r="B42" s="37" t="inlineStr">
        <is>
          <t>Эффективное время</t>
        </is>
      </c>
      <c r="C42" s="24" t="inlineStr">
        <is>
          <t>час/год</t>
        </is>
      </c>
      <c r="E42" s="38">
        <f>E41*(1-'Ввод данных'!G18/(60*'Параметры'!C33))</f>
        <v>4719.773730324075</v>
      </c>
      <c r="F42" s="38">
        <f>F41*(1-'Ввод данных'!G18/(60*'Параметры'!C33))</f>
        <v>4022.146766782408</v>
      </c>
      <c r="G42" s="38">
        <f>G41*(1-'Ввод данных'!G18/(60*'Параметры'!C33))</f>
        <v>4170.126572337963</v>
      </c>
      <c r="H42" s="38">
        <f>H41*(1-'Ввод данных'!G18/(60*'Параметры'!C33))</f>
        <v>3835.529424189815</v>
      </c>
      <c r="I42" s="38">
        <f>I41*(1-'Ввод данных'!G18/(60*'Параметры'!C33))</f>
        <v>3829.2900503472224</v>
      </c>
      <c r="J42" s="38">
        <f>J41*(1-'Ввод данных'!G18/(60*'Параметры'!C33))</f>
        <v>4101.726364004629</v>
      </c>
      <c r="K42" s="38">
        <f>K41*(1-'Ввод данных'!G18/(60*'Параметры'!C33))</f>
        <v>3960.4333530092595</v>
      </c>
      <c r="L42" s="38">
        <f>L41*(1-'Ввод данных'!G18/(60*'Параметры'!C33))</f>
        <v>4270.115909143519</v>
      </c>
      <c r="M42" s="38">
        <f>M41*(1-'Ввод данных'!G18/(60*'Параметры'!C33))</f>
        <v>3688.830590277777</v>
      </c>
      <c r="N42" s="38">
        <f>N41*(1-'Ввод данных'!G18/(60*'Параметры'!C33))</f>
        <v>4182.121125</v>
      </c>
    </row>
    <row r="43">
      <c r="B43" s="37" t="inlineStr">
        <is>
          <t>КИО</t>
        </is>
      </c>
      <c r="C43" s="24" t="inlineStr">
        <is>
          <t>коэф.</t>
        </is>
      </c>
      <c r="E43" s="39">
        <f>E42/'Параметры'!C26</f>
        <v>0.5387869555164468</v>
      </c>
      <c r="F43" s="39">
        <f>F42/'Параметры'!C26</f>
        <v>0.4591491742902292</v>
      </c>
      <c r="G43" s="39">
        <f>G42/'Параметры'!C26</f>
        <v>0.4760418461573017</v>
      </c>
      <c r="H43" s="39">
        <f>H42/'Параметры'!C26</f>
        <v>0.43784582467920263</v>
      </c>
      <c r="I43" s="39">
        <f>I42/'Параметры'!C26</f>
        <v>0.43713356739123543</v>
      </c>
      <c r="J43" s="39">
        <f>J42/'Параметры'!C26</f>
        <v>0.4682336031968755</v>
      </c>
      <c r="K43" s="39">
        <f>K42/'Параметры'!C26</f>
        <v>0.4521042640421529</v>
      </c>
      <c r="L43" s="39">
        <f>L42/'Параметры'!C26</f>
        <v>0.48745615401181724</v>
      </c>
      <c r="M43" s="39">
        <f>M42/'Параметры'!C26</f>
        <v>0.421099382451801</v>
      </c>
      <c r="N43" s="39">
        <f>N42/'Параметры'!C26</f>
        <v>0.4774110873287671</v>
      </c>
    </row>
    <row r="44">
      <c r="B44" s="37" t="inlineStr">
        <is>
          <t>Производительность</t>
        </is>
      </c>
      <c r="C44" s="24" t="inlineStr">
        <is>
          <t>тыс.м³</t>
        </is>
      </c>
      <c r="E44" s="38">
        <f>'Производительность'!G10*E42/1000</f>
        <v>2047.2486618795972</v>
      </c>
      <c r="F44" s="38">
        <f>'Производительность'!G10*F42/1000</f>
        <v>1744.6460480242636</v>
      </c>
      <c r="G44" s="38">
        <f>'Производительность'!G10*G42/1000</f>
        <v>1808.8337562108616</v>
      </c>
      <c r="H44" s="38">
        <f>'Производительность'!G10*H42/1000</f>
        <v>1663.6989249764858</v>
      </c>
      <c r="I44" s="38">
        <f>'Производительность'!G10*I42/1000</f>
        <v>1660.9925346959208</v>
      </c>
      <c r="J44" s="38">
        <f>'Производительность'!G10*J42/1000</f>
        <v>1779.164487516261</v>
      </c>
      <c r="K44" s="38">
        <f>'Производительность'!G10*K42/1000</f>
        <v>1717.8772427835884</v>
      </c>
      <c r="L44" s="38">
        <f>'Производительность'!G10*L42/1000</f>
        <v>1852.205122652055</v>
      </c>
      <c r="M44" s="38">
        <f>'Производительность'!G10*M42/1000</f>
        <v>1600.0668509437553</v>
      </c>
      <c r="N44" s="38">
        <f>'Производительность'!G10*N42/1000</f>
        <v>1814.036512378902</v>
      </c>
    </row>
    <row r="46">
      <c r="B46" s="5" t="str">
        <f>"Вариант 5:  "&amp;'Ввод данных'!H7</f>
        <v>Вариант 5:  Shantui SE2000LCW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7" t="inlineStr">
        <is>
          <t>КТГ (по годам)</t>
        </is>
      </c>
      <c r="C47" s="24" t="inlineStr">
        <is>
          <t>коэф.</t>
        </is>
      </c>
      <c r="E47" s="39">
        <f>'Данные по годам'!E27</f>
        <v>0.8546521435819382</v>
      </c>
      <c r="F47" s="39">
        <f>'Данные по годам'!F27</f>
        <v>0.728326515728057</v>
      </c>
      <c r="G47" s="39">
        <f>'Данные по годам'!G27</f>
        <v>0.7551225583460174</v>
      </c>
      <c r="H47" s="39">
        <f>'Данные по годам'!H27</f>
        <v>0.6945340246067987</v>
      </c>
      <c r="I47" s="39">
        <f>'Данные по годам'!I27</f>
        <v>0.6934042047184171</v>
      </c>
      <c r="J47" s="39">
        <f>'Данные по годам'!J27</f>
        <v>0.7427367135971588</v>
      </c>
      <c r="K47" s="39">
        <f>'Данные по годам'!K27</f>
        <v>0.7171515093860985</v>
      </c>
      <c r="L47" s="39">
        <f>'Данные по годам'!L27</f>
        <v>0.7732285324708271</v>
      </c>
      <c r="M47" s="39">
        <f>'Данные по годам'!M27</f>
        <v>0.6679699391171994</v>
      </c>
      <c r="N47" s="39">
        <f>'Данные по годам'!N27</f>
        <v>0.7572945205479452</v>
      </c>
    </row>
    <row r="48">
      <c r="B48" s="37" t="inlineStr">
        <is>
          <t>Время техготовности</t>
        </is>
      </c>
      <c r="C48" s="24" t="inlineStr">
        <is>
          <t>час/год</t>
        </is>
      </c>
      <c r="E48" s="38">
        <f>'Параметры'!C26*E47</f>
        <v>7486.752777777779</v>
      </c>
      <c r="F48" s="38">
        <f>'Параметры'!C26*F47</f>
        <v>6380.140277777779</v>
      </c>
      <c r="G48" s="38">
        <f>'Параметры'!C26*G47</f>
        <v>6614.873611111112</v>
      </c>
      <c r="H48" s="38">
        <f>'Параметры'!C26*H47</f>
        <v>6084.118055555557</v>
      </c>
      <c r="I48" s="38">
        <f>'Параметры'!C26*I47</f>
        <v>6074.220833333334</v>
      </c>
      <c r="J48" s="38">
        <f>'Параметры'!C26*J47</f>
        <v>6506.373611111111</v>
      </c>
      <c r="K48" s="38">
        <f>'Параметры'!C26*K47</f>
        <v>6282.247222222223</v>
      </c>
      <c r="L48" s="38">
        <f>'Параметры'!C26*L47</f>
        <v>6773.481944444446</v>
      </c>
      <c r="M48" s="38">
        <f>'Параметры'!C26*M47</f>
        <v>5851.416666666666</v>
      </c>
      <c r="N48" s="38">
        <f>'Параметры'!C26*N47</f>
        <v>6633.9</v>
      </c>
    </row>
    <row r="49">
      <c r="B49" s="37" t="inlineStr">
        <is>
          <t>Эффективное время</t>
        </is>
      </c>
      <c r="C49" s="24" t="inlineStr">
        <is>
          <t>час/год</t>
        </is>
      </c>
      <c r="E49" s="38">
        <f>E48*(1-'Ввод данных'!H18/(60*'Параметры'!C33))</f>
        <v>4719.773730324075</v>
      </c>
      <c r="F49" s="38">
        <f>F48*(1-'Ввод данных'!H18/(60*'Параметры'!C33))</f>
        <v>4022.146766782408</v>
      </c>
      <c r="G49" s="38">
        <f>G48*(1-'Ввод данных'!H18/(60*'Параметры'!C33))</f>
        <v>4170.126572337963</v>
      </c>
      <c r="H49" s="38">
        <f>H48*(1-'Ввод данных'!H18/(60*'Параметры'!C33))</f>
        <v>3835.529424189815</v>
      </c>
      <c r="I49" s="38">
        <f>I48*(1-'Ввод данных'!H18/(60*'Параметры'!C33))</f>
        <v>3829.2900503472224</v>
      </c>
      <c r="J49" s="38">
        <f>J48*(1-'Ввод данных'!H18/(60*'Параметры'!C33))</f>
        <v>4101.726364004629</v>
      </c>
      <c r="K49" s="38">
        <f>K48*(1-'Ввод данных'!H18/(60*'Параметры'!C33))</f>
        <v>3960.4333530092595</v>
      </c>
      <c r="L49" s="38">
        <f>L48*(1-'Ввод данных'!H18/(60*'Параметры'!C33))</f>
        <v>4270.115909143519</v>
      </c>
      <c r="M49" s="38">
        <f>M48*(1-'Ввод данных'!H18/(60*'Параметры'!C33))</f>
        <v>3688.830590277777</v>
      </c>
      <c r="N49" s="38">
        <f>N48*(1-'Ввод данных'!H18/(60*'Параметры'!C33))</f>
        <v>4182.121125</v>
      </c>
    </row>
    <row r="50">
      <c r="B50" s="37" t="inlineStr">
        <is>
          <t>КИО</t>
        </is>
      </c>
      <c r="C50" s="24" t="inlineStr">
        <is>
          <t>коэф.</t>
        </is>
      </c>
      <c r="E50" s="39">
        <f>E49/'Параметры'!C26</f>
        <v>0.5387869555164468</v>
      </c>
      <c r="F50" s="39">
        <f>F49/'Параметры'!C26</f>
        <v>0.4591491742902292</v>
      </c>
      <c r="G50" s="39">
        <f>G49/'Параметры'!C26</f>
        <v>0.4760418461573017</v>
      </c>
      <c r="H50" s="39">
        <f>H49/'Параметры'!C26</f>
        <v>0.43784582467920263</v>
      </c>
      <c r="I50" s="39">
        <f>I49/'Параметры'!C26</f>
        <v>0.43713356739123543</v>
      </c>
      <c r="J50" s="39">
        <f>J49/'Параметры'!C26</f>
        <v>0.4682336031968755</v>
      </c>
      <c r="K50" s="39">
        <f>K49/'Параметры'!C26</f>
        <v>0.4521042640421529</v>
      </c>
      <c r="L50" s="39">
        <f>L49/'Параметры'!C26</f>
        <v>0.48745615401181724</v>
      </c>
      <c r="M50" s="39">
        <f>M49/'Параметры'!C26</f>
        <v>0.421099382451801</v>
      </c>
      <c r="N50" s="39">
        <f>N49/'Параметры'!C26</f>
        <v>0.4774110873287671</v>
      </c>
    </row>
    <row r="51">
      <c r="B51" s="37" t="inlineStr">
        <is>
          <t>Производительность</t>
        </is>
      </c>
      <c r="C51" s="24" t="inlineStr">
        <is>
          <t>тыс.м³</t>
        </is>
      </c>
      <c r="E51" s="38">
        <f>'Производительность'!H10*E49/1000</f>
        <v>2047.2486618795972</v>
      </c>
      <c r="F51" s="38">
        <f>'Производительность'!H10*F49/1000</f>
        <v>1744.6460480242636</v>
      </c>
      <c r="G51" s="38">
        <f>'Производительность'!H10*G49/1000</f>
        <v>1808.8337562108616</v>
      </c>
      <c r="H51" s="38">
        <f>'Производительность'!H10*H49/1000</f>
        <v>1663.6989249764858</v>
      </c>
      <c r="I51" s="38">
        <f>'Производительность'!H10*I49/1000</f>
        <v>1660.9925346959208</v>
      </c>
      <c r="J51" s="38">
        <f>'Производительность'!H10*J49/1000</f>
        <v>1779.164487516261</v>
      </c>
      <c r="K51" s="38">
        <f>'Производительность'!H10*K49/1000</f>
        <v>1717.8772427835884</v>
      </c>
      <c r="L51" s="38">
        <f>'Производительность'!H10*L49/1000</f>
        <v>1852.205122652055</v>
      </c>
      <c r="M51" s="38">
        <f>'Производительность'!H10*M49/1000</f>
        <v>1600.0668509437553</v>
      </c>
      <c r="N51" s="38">
        <f>'Производительность'!H10*N49/1000</f>
        <v>1814.036512378902</v>
      </c>
    </row>
    <row r="53">
      <c r="B53" s="5" t="str">
        <f>"Вариант 6:  "&amp;'Ввод данных'!I7</f>
        <v>Вариант 6:  TZCO TZ2000
Дзикай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B54" s="37" t="inlineStr">
        <is>
          <t>КТГ (по годам)</t>
        </is>
      </c>
      <c r="C54" s="24" t="inlineStr">
        <is>
          <t>коэф.</t>
        </is>
      </c>
      <c r="E54" s="39">
        <f>'Данные по годам'!E32</f>
        <v>0.8546521435819382</v>
      </c>
      <c r="F54" s="39">
        <f>'Данные по годам'!F32</f>
        <v>0.728326515728057</v>
      </c>
      <c r="G54" s="39">
        <f>'Данные по годам'!G32</f>
        <v>0.7551225583460174</v>
      </c>
      <c r="H54" s="39">
        <f>'Данные по годам'!H32</f>
        <v>0.6945340246067987</v>
      </c>
      <c r="I54" s="39">
        <f>'Данные по годам'!I32</f>
        <v>0.6934042047184171</v>
      </c>
      <c r="J54" s="39">
        <f>'Данные по годам'!J32</f>
        <v>0.7427367135971588</v>
      </c>
      <c r="K54" s="39">
        <f>'Данные по годам'!K32</f>
        <v>0.7171515093860985</v>
      </c>
      <c r="L54" s="39">
        <f>'Данные по годам'!L32</f>
        <v>0.7732285324708271</v>
      </c>
      <c r="M54" s="39">
        <f>'Данные по годам'!M32</f>
        <v>0.6679699391171994</v>
      </c>
      <c r="N54" s="39">
        <f>'Данные по годам'!N32</f>
        <v>0.7572945205479452</v>
      </c>
    </row>
    <row r="55">
      <c r="B55" s="37" t="inlineStr">
        <is>
          <t>Время техготовности</t>
        </is>
      </c>
      <c r="C55" s="24" t="inlineStr">
        <is>
          <t>час/год</t>
        </is>
      </c>
      <c r="E55" s="38">
        <f>'Параметры'!C26*E54</f>
        <v>7486.752777777779</v>
      </c>
      <c r="F55" s="38">
        <f>'Параметры'!C26*F54</f>
        <v>6380.140277777779</v>
      </c>
      <c r="G55" s="38">
        <f>'Параметры'!C26*G54</f>
        <v>6614.873611111112</v>
      </c>
      <c r="H55" s="38">
        <f>'Параметры'!C26*H54</f>
        <v>6084.118055555557</v>
      </c>
      <c r="I55" s="38">
        <f>'Параметры'!C26*I54</f>
        <v>6074.220833333334</v>
      </c>
      <c r="J55" s="38">
        <f>'Параметры'!C26*J54</f>
        <v>6506.373611111111</v>
      </c>
      <c r="K55" s="38">
        <f>'Параметры'!C26*K54</f>
        <v>6282.247222222223</v>
      </c>
      <c r="L55" s="38">
        <f>'Параметры'!C26*L54</f>
        <v>6773.481944444446</v>
      </c>
      <c r="M55" s="38">
        <f>'Параметры'!C26*M54</f>
        <v>5851.416666666666</v>
      </c>
      <c r="N55" s="38">
        <f>'Параметры'!C26*N54</f>
        <v>6633.9</v>
      </c>
    </row>
    <row r="56">
      <c r="B56" s="37" t="inlineStr">
        <is>
          <t>Эффективное время</t>
        </is>
      </c>
      <c r="C56" s="24" t="inlineStr">
        <is>
          <t>час/год</t>
        </is>
      </c>
      <c r="E56" s="38">
        <f>E55*(1-'Ввод данных'!I18/(60*'Параметры'!C33))</f>
        <v>4719.773730324075</v>
      </c>
      <c r="F56" s="38">
        <f>F55*(1-'Ввод данных'!I18/(60*'Параметры'!C33))</f>
        <v>4022.146766782408</v>
      </c>
      <c r="G56" s="38">
        <f>G55*(1-'Ввод данных'!I18/(60*'Параметры'!C33))</f>
        <v>4170.126572337963</v>
      </c>
      <c r="H56" s="38">
        <f>H55*(1-'Ввод данных'!I18/(60*'Параметры'!C33))</f>
        <v>3835.529424189815</v>
      </c>
      <c r="I56" s="38">
        <f>I55*(1-'Ввод данных'!I18/(60*'Параметры'!C33))</f>
        <v>3829.2900503472224</v>
      </c>
      <c r="J56" s="38">
        <f>J55*(1-'Ввод данных'!I18/(60*'Параметры'!C33))</f>
        <v>4101.726364004629</v>
      </c>
      <c r="K56" s="38">
        <f>K55*(1-'Ввод данных'!I18/(60*'Параметры'!C33))</f>
        <v>3960.4333530092595</v>
      </c>
      <c r="L56" s="38">
        <f>L55*(1-'Ввод данных'!I18/(60*'Параметры'!C33))</f>
        <v>4270.115909143519</v>
      </c>
      <c r="M56" s="38">
        <f>M55*(1-'Ввод данных'!I18/(60*'Параметры'!C33))</f>
        <v>3688.830590277777</v>
      </c>
      <c r="N56" s="38">
        <f>N55*(1-'Ввод данных'!I18/(60*'Параметры'!C33))</f>
        <v>4182.121125</v>
      </c>
    </row>
    <row r="57">
      <c r="B57" s="37" t="inlineStr">
        <is>
          <t>КИО</t>
        </is>
      </c>
      <c r="C57" s="24" t="inlineStr">
        <is>
          <t>коэф.</t>
        </is>
      </c>
      <c r="E57" s="39">
        <f>E56/'Параметры'!C26</f>
        <v>0.5387869555164468</v>
      </c>
      <c r="F57" s="39">
        <f>F56/'Параметры'!C26</f>
        <v>0.4591491742902292</v>
      </c>
      <c r="G57" s="39">
        <f>G56/'Параметры'!C26</f>
        <v>0.4760418461573017</v>
      </c>
      <c r="H57" s="39">
        <f>H56/'Параметры'!C26</f>
        <v>0.43784582467920263</v>
      </c>
      <c r="I57" s="39">
        <f>I56/'Параметры'!C26</f>
        <v>0.43713356739123543</v>
      </c>
      <c r="J57" s="39">
        <f>J56/'Параметры'!C26</f>
        <v>0.4682336031968755</v>
      </c>
      <c r="K57" s="39">
        <f>K56/'Параметры'!C26</f>
        <v>0.4521042640421529</v>
      </c>
      <c r="L57" s="39">
        <f>L56/'Параметры'!C26</f>
        <v>0.48745615401181724</v>
      </c>
      <c r="M57" s="39">
        <f>M56/'Параметры'!C26</f>
        <v>0.421099382451801</v>
      </c>
      <c r="N57" s="39">
        <f>N56/'Параметры'!C26</f>
        <v>0.4774110873287671</v>
      </c>
    </row>
    <row r="58">
      <c r="B58" s="37" t="inlineStr">
        <is>
          <t>Производительность</t>
        </is>
      </c>
      <c r="C58" s="24" t="inlineStr">
        <is>
          <t>тыс.м³</t>
        </is>
      </c>
      <c r="E58" s="38">
        <f>'Производительность'!I10*E56/1000</f>
        <v>2509.4906418318305</v>
      </c>
      <c r="F58" s="38">
        <f>'Производительность'!I10*F56/1000</f>
        <v>2138.5643143154566</v>
      </c>
      <c r="G58" s="38">
        <f>'Производительность'!I10*G56/1000</f>
        <v>2217.244767752418</v>
      </c>
      <c r="H58" s="38">
        <f>'Производительность'!I10*H56/1000</f>
        <v>2039.340389272024</v>
      </c>
      <c r="I58" s="38">
        <f>'Производительность'!I10*I56/1000</f>
        <v>2036.0229314523244</v>
      </c>
      <c r="J58" s="38">
        <f>'Производительность'!I10*J56/1000</f>
        <v>2180.8765661140606</v>
      </c>
      <c r="K58" s="38">
        <f>'Производительность'!I10*K56/1000</f>
        <v>2105.7514628551853</v>
      </c>
      <c r="L58" s="38">
        <f>'Производительность'!I10*L56/1000</f>
        <v>2270.4088216527916</v>
      </c>
      <c r="M58" s="38">
        <f>'Производительность'!I10*M56/1000</f>
        <v>1961.3410249159228</v>
      </c>
      <c r="N58" s="38">
        <f>'Производительность'!I10*N56/1000</f>
        <v>2223.62223823685</v>
      </c>
    </row>
    <row r="60">
      <c r="B60" s="5" t="str">
        <f>"Вариант 7:  "&amp;'Ввод данных'!J7</f>
        <v>Вариант 7:  XCMG ESTAR ESE2000
(поставщик не указан)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B61" s="37" t="inlineStr">
        <is>
          <t>КТГ (по годам)</t>
        </is>
      </c>
      <c r="C61" s="24" t="inlineStr">
        <is>
          <t>коэф.</t>
        </is>
      </c>
      <c r="E61" s="39">
        <f>'Данные по годам'!E37</f>
        <v>0.9149543378995434</v>
      </c>
      <c r="F61" s="39">
        <f>'Данные по годам'!F37</f>
        <v>0.9104039827498731</v>
      </c>
      <c r="G61" s="39">
        <f>'Данные по годам'!G37</f>
        <v>0.8236142820903096</v>
      </c>
      <c r="H61" s="39">
        <f>'Данные по годам'!H37</f>
        <v>0.9095716007102994</v>
      </c>
      <c r="I61" s="39">
        <f>'Данные по годам'!I37</f>
        <v>0.9044108320649418</v>
      </c>
      <c r="J61" s="39">
        <f>'Данные по годам'!J37</f>
        <v>0.8074105783866059</v>
      </c>
      <c r="K61" s="39">
        <f>'Данные по годам'!K37</f>
        <v>0.8933124048706241</v>
      </c>
      <c r="L61" s="39">
        <f>'Данные по годам'!L37</f>
        <v>0.814125126839168</v>
      </c>
      <c r="M61" s="39">
        <f>'Данные по годам'!M37</f>
        <v>0.8302733384069001</v>
      </c>
      <c r="N61" s="39">
        <f>'Данные по годам'!N37</f>
        <v>0.8100742009132421</v>
      </c>
    </row>
    <row r="62">
      <c r="B62" s="37" t="inlineStr">
        <is>
          <t>Время техготовности</t>
        </is>
      </c>
      <c r="C62" s="24" t="inlineStr">
        <is>
          <t>час/год</t>
        </is>
      </c>
      <c r="E62" s="38">
        <f>'Параметры'!C26*E61</f>
        <v>8015.0</v>
      </c>
      <c r="F62" s="38">
        <f>'Параметры'!C26*F61</f>
        <v>7975.138888888889</v>
      </c>
      <c r="G62" s="38">
        <f>'Параметры'!C26*G61</f>
        <v>7214.861111111112</v>
      </c>
      <c r="H62" s="38">
        <f>'Параметры'!C26*H61</f>
        <v>7967.847222222223</v>
      </c>
      <c r="I62" s="38">
        <f>'Параметры'!C26*I61</f>
        <v>7922.63888888889</v>
      </c>
      <c r="J62" s="38">
        <f>'Параметры'!C26*J61</f>
        <v>7072.916666666668</v>
      </c>
      <c r="K62" s="38">
        <f>'Параметры'!C26*K61</f>
        <v>7825.416666666667</v>
      </c>
      <c r="L62" s="38">
        <f>'Параметры'!C26*L61</f>
        <v>7131.736111111112</v>
      </c>
      <c r="M62" s="38">
        <f>'Параметры'!C26*M61</f>
        <v>7273.194444444445</v>
      </c>
      <c r="N62" s="38">
        <f>'Параметры'!C26*N61</f>
        <v>7096.250000000001</v>
      </c>
    </row>
    <row r="63">
      <c r="B63" s="37" t="inlineStr">
        <is>
          <t>Эффективное время</t>
        </is>
      </c>
      <c r="C63" s="24" t="inlineStr">
        <is>
          <t>час/год</t>
        </is>
      </c>
      <c r="E63" s="38">
        <f>E62*(1-'Ввод данных'!J18/(60*'Параметры'!C33))</f>
        <v>5052.789583333333</v>
      </c>
      <c r="F63" s="38">
        <f>F62*(1-'Ввод данных'!J18/(60*'Параметры'!C33))</f>
        <v>5027.660474537037</v>
      </c>
      <c r="G63" s="38">
        <f>G62*(1-'Ввод данных'!J18/(60*'Параметры'!C33))</f>
        <v>4548.36869212963</v>
      </c>
      <c r="H63" s="38">
        <f>H62*(1-'Ввод данных'!J18/(60*'Параметры'!C33))</f>
        <v>5023.0636863425925</v>
      </c>
      <c r="I63" s="38">
        <f>I62*(1-'Ввод данных'!J18/(60*'Параметры'!C33))</f>
        <v>4994.563599537038</v>
      </c>
      <c r="J63" s="38">
        <f>J62*(1-'Ввод данных'!J18/(60*'Параметры'!C33))</f>
        <v>4458.884548611111</v>
      </c>
      <c r="K63" s="38">
        <f>K62*(1-'Ввод данных'!J18/(60*'Параметры'!C33))</f>
        <v>4933.273090277778</v>
      </c>
      <c r="L63" s="38">
        <f>L62*(1-'Ввод данных'!J18/(60*'Параметры'!C33))</f>
        <v>4495.965306712963</v>
      </c>
      <c r="M63" s="38">
        <f>M62*(1-'Ввод данных'!J18/(60*'Параметры'!C33))</f>
        <v>4585.142997685185</v>
      </c>
      <c r="N63" s="38">
        <f>N62*(1-'Ввод данных'!J18/(60*'Параметры'!C33))</f>
        <v>4473.594270833333</v>
      </c>
    </row>
    <row r="64">
      <c r="B64" s="37" t="inlineStr">
        <is>
          <t>КИО</t>
        </is>
      </c>
      <c r="C64" s="24" t="inlineStr">
        <is>
          <t>коэф.</t>
        </is>
      </c>
      <c r="E64" s="39">
        <f>E63/'Параметры'!C26</f>
        <v>0.5768024638508371</v>
      </c>
      <c r="F64" s="39">
        <f>F63/'Параметры'!C26</f>
        <v>0.5739338441252325</v>
      </c>
      <c r="G64" s="39">
        <f>G63/'Параметры'!C26</f>
        <v>0.5192201703344327</v>
      </c>
      <c r="H64" s="39">
        <f>H63/'Параметры'!C26</f>
        <v>0.5734090966144512</v>
      </c>
      <c r="I64" s="39">
        <f>I63/'Параметры'!C26</f>
        <v>0.570155662047607</v>
      </c>
      <c r="J64" s="39">
        <f>J63/'Параметры'!C26</f>
        <v>0.5090050854578895</v>
      </c>
      <c r="K64" s="39">
        <f>K63/'Параметры'!C26</f>
        <v>0.5631590285705226</v>
      </c>
      <c r="L64" s="39">
        <f>L63/'Параметры'!C26</f>
        <v>0.5132380487115255</v>
      </c>
      <c r="M64" s="39">
        <f>M63/'Параметры'!C26</f>
        <v>0.5234181504206832</v>
      </c>
      <c r="N64" s="39">
        <f>N63/'Параметры'!C26</f>
        <v>0.5106842774923896</v>
      </c>
    </row>
    <row r="65">
      <c r="B65" s="37" t="inlineStr">
        <is>
          <t>Производительность</t>
        </is>
      </c>
      <c r="C65" s="24" t="inlineStr">
        <is>
          <t>тыс.м³</t>
        </is>
      </c>
      <c r="E65" s="38">
        <f>'Производительность'!J10*E63/1000</f>
        <v>3698.4896842482963</v>
      </c>
      <c r="F65" s="38">
        <f>'Производительность'!J10*F63/1000</f>
        <v>3680.095933999123</v>
      </c>
      <c r="G65" s="38">
        <f>'Производительность'!J10*G63/1000</f>
        <v>3329.268795100268</v>
      </c>
      <c r="H65" s="38">
        <f>'Производительность'!J10*H63/1000</f>
        <v>3676.731223587689</v>
      </c>
      <c r="I65" s="38">
        <f>'Производительность'!J10*I63/1000</f>
        <v>3655.8700190367986</v>
      </c>
      <c r="J65" s="38">
        <f>'Производительность'!J10*J63/1000</f>
        <v>3263.7690990910182</v>
      </c>
      <c r="K65" s="38">
        <f>'Производительность'!J10*K63/1000</f>
        <v>3611.007213551011</v>
      </c>
      <c r="L65" s="38">
        <f>'Производительность'!J10*L63/1000</f>
        <v>3290.911096409919</v>
      </c>
      <c r="M65" s="38">
        <f>'Производительность'!J10*M63/1000</f>
        <v>3356.1864783917395</v>
      </c>
      <c r="N65" s="38">
        <f>'Производительность'!J10*N63/1000</f>
        <v>3274.536172407607</v>
      </c>
    </row>
  </sheetData>
  <mergeCells count="10">
    <mergeCell ref="B46:N46"/>
    <mergeCell ref="B16:N16"/>
    <mergeCell ref="B60:N60"/>
    <mergeCell ref="B1:N1"/>
    <mergeCell ref="B32:N32"/>
    <mergeCell ref="B18:N18"/>
    <mergeCell ref="B53:N53"/>
    <mergeCell ref="B39:N39"/>
    <mergeCell ref="B25:N25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N139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0" t="inlineStr">
        <is>
          <t>Период</t>
        </is>
      </c>
      <c r="D4" s="61" t="n">
        <v>0</v>
      </c>
      <c r="E4" s="61" t="n">
        <v>1</v>
      </c>
      <c r="F4" s="61" t="n">
        <v>2</v>
      </c>
      <c r="G4" s="61" t="n">
        <v>3</v>
      </c>
      <c r="H4" s="61" t="n">
        <v>4</v>
      </c>
      <c r="I4" s="61" t="n">
        <v>5</v>
      </c>
      <c r="J4" s="61" t="n">
        <v>6</v>
      </c>
      <c r="K4" s="61" t="n">
        <v>7</v>
      </c>
      <c r="L4" s="61" t="n">
        <v>8</v>
      </c>
      <c r="M4" s="61" t="n">
        <v>9</v>
      </c>
      <c r="N4" s="61" t="n">
        <v>10</v>
      </c>
    </row>
    <row r="5">
      <c r="B5" s="62" t="inlineStr">
        <is>
          <t>Календарный год</t>
        </is>
      </c>
      <c r="D5" s="24" t="n">
        <v>2026</v>
      </c>
      <c r="E5" s="24" t="n">
        <v>2027</v>
      </c>
      <c r="F5" s="24" t="n">
        <v>2028</v>
      </c>
      <c r="G5" s="24" t="n">
        <v>2029</v>
      </c>
      <c r="H5" s="24" t="n">
        <v>2030</v>
      </c>
      <c r="I5" s="24" t="n">
        <v>2031</v>
      </c>
      <c r="J5" s="24" t="n">
        <v>2032</v>
      </c>
      <c r="K5" s="24" t="n">
        <v>2033</v>
      </c>
      <c r="L5" s="24" t="n">
        <v>2034</v>
      </c>
      <c r="M5" s="24" t="n">
        <v>2035</v>
      </c>
      <c r="N5" s="24" t="n">
        <v>2036</v>
      </c>
    </row>
    <row r="6">
      <c r="B6" s="60" t="inlineStr">
        <is>
          <t>Дисконт-фактор</t>
        </is>
      </c>
      <c r="D6" s="63">
        <f>1/(1+'Параметры'!C6)^D$4</f>
        <v>1.0</v>
      </c>
      <c r="E6" s="63">
        <f>1/(1+'Параметры'!C6)^E$4</f>
        <v>0.8928571428571428</v>
      </c>
      <c r="F6" s="63">
        <f>1/(1+'Параметры'!C6)^F$4</f>
        <v>0.7971938775510203</v>
      </c>
      <c r="G6" s="63">
        <f>1/(1+'Параметры'!C6)^G$4</f>
        <v>0.7117802478134109</v>
      </c>
      <c r="H6" s="63">
        <f>1/(1+'Параметры'!C6)^H$4</f>
        <v>0.6355180784048311</v>
      </c>
      <c r="I6" s="63">
        <f>1/(1+'Параметры'!C6)^I$4</f>
        <v>0.5674268557185992</v>
      </c>
      <c r="J6" s="63">
        <f>1/(1+'Параметры'!C6)^J$4</f>
        <v>0.5066311211773206</v>
      </c>
      <c r="K6" s="63">
        <f>1/(1+'Параметры'!C6)^K$4</f>
        <v>0.4523492153368934</v>
      </c>
      <c r="L6" s="63">
        <f>1/(1+'Параметры'!C6)^L$4</f>
        <v>0.40388322797936904</v>
      </c>
      <c r="M6" s="63">
        <f>1/(1+'Параметры'!C6)^M$4</f>
        <v>0.36061002498157946</v>
      </c>
      <c r="N6" s="63">
        <f>1/(1+'Параметры'!C6)^N$4</f>
        <v>0.32197323659069593</v>
      </c>
    </row>
    <row r="8">
      <c r="B8" s="5" t="str">
        <f>"Вариант 1:  "&amp;'Ввод данных'!D7</f>
        <v>Вариант 1:  Komatsu PC2000-8
Mining Solutions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8" t="n"/>
      <c r="E9" s="58">
        <f>'Данные по годам'!E7</f>
        <v>0.9240628170979199</v>
      </c>
      <c r="F9" s="58">
        <f>'Данные по годам'!F7</f>
        <v>0.9000003170979199</v>
      </c>
      <c r="G9" s="58">
        <f>'Данные по годам'!G7</f>
        <v>0.8600004756468798</v>
      </c>
      <c r="H9" s="58">
        <f>'Данные по годам'!H7</f>
        <v>0.8499996829020803</v>
      </c>
      <c r="I9" s="58">
        <f>'Данные по годам'!I7</f>
        <v>0.8600004756468798</v>
      </c>
      <c r="J9" s="58">
        <f>'Данные по годам'!J7</f>
        <v>0.81214849695586</v>
      </c>
      <c r="K9" s="58">
        <f>'Данные по годам'!K7</f>
        <v>0.7865632927447997</v>
      </c>
      <c r="L9" s="58">
        <f>'Данные по годам'!L7</f>
        <v>0.8426392059868087</v>
      </c>
      <c r="M9" s="58">
        <f>'Данные по годам'!M7</f>
        <v>0.7373806126331812</v>
      </c>
      <c r="N9" s="58">
        <f>'Данные по годам'!N7</f>
        <v>0.826705194063927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5" t="n"/>
      <c r="E10" s="55">
        <f>'Параметры'!C26*E9*(1-'Ввод данных'!D18/(60*'Параметры'!C33))</f>
        <v>5103.090704282408</v>
      </c>
      <c r="F10" s="55">
        <f>'Параметры'!C26*F9*(1-'Ввод данных'!D18/(60*'Параметры'!C33))</f>
        <v>4970.206751157408</v>
      </c>
      <c r="G10" s="55">
        <f>'Параметры'!C26*G9*(1-'Ввод данных'!D18/(60*'Параметры'!C33))</f>
        <v>4749.309626736111</v>
      </c>
      <c r="H10" s="55">
        <f>'Параметры'!C26*H9*(1-'Ввод данных'!D18/(60*'Параметры'!C33))</f>
        <v>4694.080748842593</v>
      </c>
      <c r="I10" s="55">
        <f>'Параметры'!C26*I9*(1-'Ввод данных'!D18/(60*'Параметры'!C33))</f>
        <v>4749.309626736111</v>
      </c>
      <c r="J10" s="55">
        <f>'Параметры'!C26*J9*(1-'Ввод данных'!D18/(60*'Параметры'!C33))</f>
        <v>4485.049467013889</v>
      </c>
      <c r="K10" s="55">
        <f>'Параметры'!C26*K9*(1-'Ввод данных'!D18/(60*'Параметры'!C33))</f>
        <v>4343.756456018519</v>
      </c>
      <c r="L10" s="55">
        <f>'Параметры'!C26*L9*(1-'Ввод данных'!D18/(60*'Параметры'!C33))</f>
        <v>4653.432883101852</v>
      </c>
      <c r="M10" s="55">
        <f>'Параметры'!C26*M9*(1-'Ввод данных'!D18/(60*'Параметры'!C33))</f>
        <v>4072.147564236111</v>
      </c>
      <c r="N10" s="55">
        <f>'Параметры'!C26*N9*(1-'Ввод данных'!D18/(60*'Параметры'!C33))</f>
        <v>4565.438098958333</v>
      </c>
    </row>
    <row r="11">
      <c r="B11" s="22" t="inlineStr">
        <is>
          <t>Производительность</t>
        </is>
      </c>
      <c r="C11" s="24" t="inlineStr">
        <is>
          <t>тыс.м³</t>
        </is>
      </c>
      <c r="D11" s="55" t="n"/>
      <c r="E11" s="55">
        <f>'Производительность'!D10*E10/1000</f>
        <v>2213.5162007173226</v>
      </c>
      <c r="F11" s="55">
        <f>'Производительность'!D10*F10/1000</f>
        <v>2155.876468229183</v>
      </c>
      <c r="G11" s="55">
        <f>'Производительность'!D10*G10/1000</f>
        <v>2060.0601498580268</v>
      </c>
      <c r="H11" s="55">
        <f>'Производительность'!D10*H10/1000</f>
        <v>2036.1040763627718</v>
      </c>
      <c r="I11" s="55">
        <f>'Производительность'!D10*I10/1000</f>
        <v>2060.0601498580268</v>
      </c>
      <c r="J11" s="55">
        <f>'Производительность'!D10*J10/1000</f>
        <v>1945.4346848906075</v>
      </c>
      <c r="K11" s="55">
        <f>'Производительность'!D10*K10/1000</f>
        <v>1884.1474401579353</v>
      </c>
      <c r="L11" s="55">
        <f>'Производительность'!D10*L10/1000</f>
        <v>2018.47266148978</v>
      </c>
      <c r="M11" s="55">
        <f>'Производительность'!D10*M10/1000</f>
        <v>1766.3343897814811</v>
      </c>
      <c r="N11" s="55">
        <f>'Производительность'!D10*N10/1000</f>
        <v>1980.3040512166274</v>
      </c>
    </row>
    <row r="12">
      <c r="B12" s="22" t="inlineStr">
        <is>
          <t>Дизтопливо</t>
        </is>
      </c>
      <c r="C12" s="24" t="inlineStr">
        <is>
          <t>тыс.руб</t>
        </is>
      </c>
      <c r="D12" s="55" t="n"/>
      <c r="E12" s="55">
        <f>E10*'Данные по годам'!E9*'Параметры'!C10*(1+'Параметры'!C14)^(E$4-1)/1000</f>
        <v>24751.32590491606</v>
      </c>
      <c r="F12" s="55">
        <f>F10*'Данные по годам'!F9*'Параметры'!C10*(1+'Параметры'!C14)^(F$4-1)/1000</f>
        <v>24106.803943240877</v>
      </c>
      <c r="G12" s="55">
        <f>G10*'Данные по годам'!G9*'Параметры'!C10*(1+'Параметры'!C14)^(G$4-1)/1000</f>
        <v>23035.39505893041</v>
      </c>
      <c r="H12" s="55">
        <f>H10*'Данные по годам'!H9*'Параметры'!C10*(1+'Параметры'!C14)^(H$4-1)/1000</f>
        <v>22767.52054222662</v>
      </c>
      <c r="I12" s="55">
        <f>I10*'Данные по годам'!I9*'Параметры'!C10*(1+'Параметры'!C14)^(I$4-1)/1000</f>
        <v>23035.39505893041</v>
      </c>
      <c r="J12" s="55">
        <f>J10*'Данные по годам'!J9*'Параметры'!C10*(1+'Параметры'!C14)^(J$4-1)/1000</f>
        <v>21753.66410096782</v>
      </c>
      <c r="K12" s="55">
        <f>K10*'Данные по годам'!K9*'Параметры'!C10*(1+'Параметры'!C14)^(K$4-1)/1000</f>
        <v>21068.35600713</v>
      </c>
      <c r="L12" s="55">
        <f>L10*'Данные по годам'!L9*'Параметры'!C10*(1+'Параметры'!C14)^(L$4-1)/1000</f>
        <v>22570.367751772777</v>
      </c>
      <c r="M12" s="55">
        <f>M10*'Данные по годам'!M9*'Параметры'!C10*(1+'Параметры'!C14)^(M$4-1)/1000</f>
        <v>19750.981774777454</v>
      </c>
      <c r="N12" s="55">
        <f>N10*'Данные по годам'!N9*'Параметры'!C10*(1+'Параметры'!C14)^(N$4-1)/1000</f>
        <v>22143.570011642223</v>
      </c>
    </row>
    <row r="13">
      <c r="B13" s="22" t="inlineStr">
        <is>
          <t>ТОиР и сервис (по годам)</t>
        </is>
      </c>
      <c r="C13" s="24" t="inlineStr">
        <is>
          <t>тыс.руб</t>
        </is>
      </c>
      <c r="D13" s="55" t="n"/>
      <c r="E13" s="55">
        <f>'Данные по годам'!E8*IF('Данные по годам'!$D$8="CNY",'Параметры'!C20,IF('Данные по годам'!$D$8="USD",'Параметры'!C21,IF('Данные по годам'!$D$8="EUR",'Параметры'!C22,1)))</f>
        <v>10397.468826176</v>
      </c>
      <c r="F13" s="55">
        <f>'Данные по годам'!F8*IF('Данные по годам'!$D$8="CNY",'Параметры'!C20,IF('Данные по годам'!$D$8="USD",'Параметры'!C21,IF('Данные по годам'!$D$8="EUR",'Параметры'!C22,1)))</f>
        <v>114386.864592496</v>
      </c>
      <c r="G13" s="55">
        <f>'Данные по годам'!G8*IF('Данные по годам'!$D$8="CNY",'Параметры'!C20,IF('Данные по годам'!$D$8="USD",'Параметры'!C21,IF('Данные по годам'!$D$8="EUR",'Параметры'!C22,1)))</f>
        <v>121846.91893961599</v>
      </c>
      <c r="H13" s="55">
        <f>'Данные по годам'!H8*IF('Данные по годам'!$D$8="CNY",'Параметры'!C20,IF('Данные по годам'!$D$8="USD",'Параметры'!C21,IF('Данные по годам'!$D$8="EUR",'Параметры'!C22,1)))</f>
        <v>114254.253448896</v>
      </c>
      <c r="I13" s="55">
        <f>'Данные по годам'!I8*IF('Данные по годам'!$D$8="CNY",'Параметры'!C20,IF('Данные по годам'!$D$8="USD",'Параметры'!C21,IF('Данные по годам'!$D$8="EUR",'Параметры'!C22,1)))</f>
        <v>10999.524940635998</v>
      </c>
      <c r="J13" s="55">
        <f>'Данные по годам'!J8*IF('Данные по годам'!$D$8="CNY",'Параметры'!C20,IF('Данные по годам'!$D$8="USD",'Параметры'!C21,IF('Данные по годам'!$D$8="EUR",'Параметры'!C22,1)))</f>
        <v>221645.04892275596</v>
      </c>
      <c r="K13" s="55">
        <f>'Данные по годам'!K8*IF('Данные по годам'!$D$8="CNY",'Параметры'!C20,IF('Данные по годам'!$D$8="USD",'Параметры'!C21,IF('Данные по годам'!$D$8="EUR",'Параметры'!C22,1)))</f>
        <v>14522.429037555998</v>
      </c>
      <c r="L13" s="55">
        <f>'Данные по годам'!L8*IF('Данные по годам'!$D$8="CNY",'Параметры'!C20,IF('Данные по годам'!$D$8="USD",'Параметры'!C21,IF('Данные по годам'!$D$8="EUR",'Параметры'!C22,1)))</f>
        <v>221578.743350956</v>
      </c>
      <c r="M13" s="55">
        <f>'Данные по годам'!M8*IF('Данные по годам'!$D$8="CNY",'Параметры'!C20,IF('Данные по годам'!$D$8="USD",'Параметры'!C21,IF('Данные по годам'!$D$8="EUR",'Параметры'!C22,1)))</f>
        <v>14655.040181155999</v>
      </c>
      <c r="N13" s="55">
        <f>'Данные по годам'!N8*IF('Данные по годам'!$D$8="CNY",'Параметры'!C20,IF('Данные по годам'!$D$8="USD",'Параметры'!C21,IF('Данные по годам'!$D$8="EUR",'Параметры'!C22,1)))</f>
        <v>110731.34935197598</v>
      </c>
    </row>
    <row r="14">
      <c r="B14" s="22" t="inlineStr">
        <is>
          <t>Расходники на ковш</t>
        </is>
      </c>
      <c r="C14" s="24" t="inlineStr">
        <is>
          <t>тыс.руб</t>
        </is>
      </c>
      <c r="D14" s="55" t="n"/>
      <c r="E14" s="55">
        <f>'Данные по годам'!E10*E11*(1+'Параметры'!C15)^(E$4-1)</f>
        <v>1925.7590946240707</v>
      </c>
      <c r="F14" s="55">
        <f>'Данные по годам'!F10*F11*(1+'Параметры'!C15)^(F$4-1)</f>
        <v>1875.6125273593893</v>
      </c>
      <c r="G14" s="55">
        <f>'Данные по годам'!G10*G11*(1+'Параметры'!C15)^(G$4-1)</f>
        <v>1792.2523303764833</v>
      </c>
      <c r="H14" s="55">
        <f>'Данные по годам'!H10*H11*(1+'Параметры'!C15)^(H$4-1)</f>
        <v>1771.4105464356114</v>
      </c>
      <c r="I14" s="55">
        <f>'Данные по годам'!I10*I11*(1+'Параметры'!C15)^(I$4-1)</f>
        <v>1792.2523303764833</v>
      </c>
      <c r="J14" s="55">
        <f>'Данные по годам'!J10*J11*(1+'Параметры'!C15)^(J$4-1)</f>
        <v>1692.5281758548285</v>
      </c>
      <c r="K14" s="55">
        <f>'Данные по годам'!K10*K11*(1+'Параметры'!C15)^(K$4-1)</f>
        <v>1639.2082729374038</v>
      </c>
      <c r="L14" s="55">
        <f>'Данные по годам'!L10*L11*(1+'Параметры'!C15)^(L$4-1)</f>
        <v>1756.0712154961086</v>
      </c>
      <c r="M14" s="55">
        <f>'Данные по годам'!M10*M11*(1+'Параметры'!C15)^(M$4-1)</f>
        <v>1536.7109191098887</v>
      </c>
      <c r="N14" s="55">
        <f>'Данные по годам'!N10*N11*(1+'Параметры'!C15)^(N$4-1)</f>
        <v>1722.8645245584657</v>
      </c>
    </row>
    <row r="15">
      <c r="B15" s="22" t="inlineStr">
        <is>
          <t>Персонал</t>
        </is>
      </c>
      <c r="C15" s="24" t="inlineStr">
        <is>
          <t>тыс.руб</t>
        </is>
      </c>
      <c r="D15" s="55" t="n"/>
      <c r="E15" s="55">
        <f>'Ввод данных'!D20*(1+'Параметры'!C16)^(E$4-1)</f>
        <v>10015.0</v>
      </c>
      <c r="F15" s="55">
        <f>'Ввод данных'!D20*(1+'Параметры'!C16)^(F$4-1)</f>
        <v>10015.0</v>
      </c>
      <c r="G15" s="55">
        <f>'Ввод данных'!D20*(1+'Параметры'!C16)^(G$4-1)</f>
        <v>10015.0</v>
      </c>
      <c r="H15" s="55">
        <f>'Ввод данных'!D20*(1+'Параметры'!C16)^(H$4-1)</f>
        <v>10015.0</v>
      </c>
      <c r="I15" s="55">
        <f>'Ввод данных'!D20*(1+'Параметры'!C16)^(I$4-1)</f>
        <v>10015.0</v>
      </c>
      <c r="J15" s="55">
        <f>'Ввод данных'!D20*(1+'Параметры'!C16)^(J$4-1)</f>
        <v>10015.0</v>
      </c>
      <c r="K15" s="55">
        <f>'Ввод данных'!D20*(1+'Параметры'!C16)^(K$4-1)</f>
        <v>10015.0</v>
      </c>
      <c r="L15" s="55">
        <f>'Ввод данных'!D20*(1+'Параметры'!C16)^(L$4-1)</f>
        <v>10015.0</v>
      </c>
      <c r="M15" s="55">
        <f>'Ввод данных'!D20*(1+'Параметры'!C16)^(M$4-1)</f>
        <v>10015.0</v>
      </c>
      <c r="N15" s="55">
        <f>'Ввод данных'!D20*(1+'Параметры'!C16)^(N$4-1)</f>
        <v>10015.0</v>
      </c>
    </row>
    <row r="16">
      <c r="B16" s="22" t="inlineStr">
        <is>
          <t>Итого денежные затраты</t>
        </is>
      </c>
      <c r="C16" s="24" t="inlineStr">
        <is>
          <t>тыс.руб</t>
        </is>
      </c>
      <c r="D16" s="55" t="n"/>
      <c r="E16" s="64">
        <f>E12+E13+E14+E15</f>
        <v>47089.553825716124</v>
      </c>
      <c r="F16" s="64">
        <f>F12+F13+F14+F15</f>
        <v>150384.28106309628</v>
      </c>
      <c r="G16" s="64">
        <f>G12+G13+G14+G15</f>
        <v>156689.56632892287</v>
      </c>
      <c r="H16" s="64">
        <f>H12+H13+H14+H15</f>
        <v>148808.18453755823</v>
      </c>
      <c r="I16" s="64">
        <f>I12+I13+I14+I15</f>
        <v>45842.17232994289</v>
      </c>
      <c r="J16" s="64">
        <f>J12+J13+J14+J15</f>
        <v>255106.2411995786</v>
      </c>
      <c r="K16" s="64">
        <f>K12+K13+K14+K15</f>
        <v>47244.9933176234</v>
      </c>
      <c r="L16" s="64">
        <f>L12+L13+L14+L15</f>
        <v>255920.1823182249</v>
      </c>
      <c r="M16" s="64">
        <f>M12+M13+M14+M15</f>
        <v>45957.73287504334</v>
      </c>
      <c r="N16" s="64">
        <f>N12+N13+N14+N15</f>
        <v>144612.78388817667</v>
      </c>
    </row>
    <row r="17">
      <c r="B17" s="22" t="inlineStr">
        <is>
          <t>Амортизация (НУ)</t>
        </is>
      </c>
      <c r="C17" s="24" t="inlineStr">
        <is>
          <t>тыс.руб</t>
        </is>
      </c>
      <c r="D17" s="55" t="n"/>
      <c r="E17" s="55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55953.19922630561</v>
      </c>
      <c r="F17" s="55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55953.19922630561</v>
      </c>
      <c r="G17" s="55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55953.19922630561</v>
      </c>
      <c r="H17" s="55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55953.19922630561</v>
      </c>
      <c r="I17" s="55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55953.19922630561</v>
      </c>
      <c r="J17" s="55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9512.043868471948</v>
      </c>
      <c r="K17" s="55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17" s="55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17" s="55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17" s="55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18">
      <c r="B18" s="22" t="inlineStr">
        <is>
          <t>Налогооблагаемая база</t>
        </is>
      </c>
      <c r="C18" s="24" t="inlineStr">
        <is>
          <t>тыс.руб</t>
        </is>
      </c>
      <c r="D18" s="55" t="n"/>
      <c r="E18" s="55">
        <f>E16+E17</f>
        <v>103042.75305202173</v>
      </c>
      <c r="F18" s="55">
        <f>F16+F17</f>
        <v>206337.4802894019</v>
      </c>
      <c r="G18" s="55">
        <f>G16+G17</f>
        <v>212642.76555522849</v>
      </c>
      <c r="H18" s="55">
        <f>H16+H17</f>
        <v>204761.38376386385</v>
      </c>
      <c r="I18" s="55">
        <f>I16+I17</f>
        <v>101795.3715562485</v>
      </c>
      <c r="J18" s="55">
        <f>J16+J17</f>
        <v>264618.28506805055</v>
      </c>
      <c r="K18" s="55">
        <f>K16+K17</f>
        <v>47244.9933176234</v>
      </c>
      <c r="L18" s="55">
        <f>L16+L17</f>
        <v>255920.1823182249</v>
      </c>
      <c r="M18" s="55">
        <f>M16+M17</f>
        <v>45957.73287504334</v>
      </c>
      <c r="N18" s="55">
        <f>N16+N17</f>
        <v>144612.78388817667</v>
      </c>
    </row>
    <row r="19">
      <c r="B19" s="22" t="inlineStr">
        <is>
          <t>Налог на прибыль (щит)</t>
        </is>
      </c>
      <c r="C19" s="24" t="inlineStr">
        <is>
          <t>тыс.руб</t>
        </is>
      </c>
      <c r="D19" s="55" t="n"/>
      <c r="E19" s="55">
        <f>-E18*'Параметры'!C7</f>
        <v>-25760.68826300543</v>
      </c>
      <c r="F19" s="55">
        <f>-F18*'Параметры'!C7</f>
        <v>-51584.37007235047</v>
      </c>
      <c r="G19" s="55">
        <f>-G18*'Параметры'!C7</f>
        <v>-53160.69138880712</v>
      </c>
      <c r="H19" s="55">
        <f>-H18*'Параметры'!C7</f>
        <v>-51190.34594096596</v>
      </c>
      <c r="I19" s="55">
        <f>-I18*'Параметры'!C7</f>
        <v>-25448.842889062125</v>
      </c>
      <c r="J19" s="55">
        <f>-J18*'Параметры'!C7</f>
        <v>-66154.57126701264</v>
      </c>
      <c r="K19" s="55">
        <f>-K18*'Параметры'!C7</f>
        <v>-11811.24832940585</v>
      </c>
      <c r="L19" s="55">
        <f>-L18*'Параметры'!C7</f>
        <v>-63980.04557955622</v>
      </c>
      <c r="M19" s="55">
        <f>-M18*'Параметры'!C7</f>
        <v>-11489.433218760834</v>
      </c>
      <c r="N19" s="55">
        <f>-N18*'Параметры'!C7</f>
        <v>-36153.19597204417</v>
      </c>
    </row>
    <row r="20">
      <c r="B20" s="22" t="inlineStr">
        <is>
          <t>Операц. денежный поток</t>
        </is>
      </c>
      <c r="C20" s="24" t="inlineStr">
        <is>
          <t>тыс.руб</t>
        </is>
      </c>
      <c r="D20" s="55" t="n"/>
      <c r="E20" s="64">
        <f>E18+E19-E17</f>
        <v>21328.865562710685</v>
      </c>
      <c r="F20" s="64">
        <f>F18+F19-F17</f>
        <v>98799.91099074579</v>
      </c>
      <c r="G20" s="64">
        <f>G18+G19-G17</f>
        <v>103528.87494011575</v>
      </c>
      <c r="H20" s="64">
        <f>H18+H19-H17</f>
        <v>97617.83859659228</v>
      </c>
      <c r="I20" s="64">
        <f>I18+I19-I17</f>
        <v>20393.329440880763</v>
      </c>
      <c r="J20" s="64">
        <f>J18+J19-J17</f>
        <v>188951.66993256597</v>
      </c>
      <c r="K20" s="64">
        <f>K18+K19-K17</f>
        <v>35433.74498821755</v>
      </c>
      <c r="L20" s="64">
        <f>L18+L19-L17</f>
        <v>191940.13673866866</v>
      </c>
      <c r="M20" s="64">
        <f>M18+M19-M17</f>
        <v>34468.2996562825</v>
      </c>
      <c r="N20" s="64">
        <f>N18+N19-N17</f>
        <v>108459.5879161325</v>
      </c>
    </row>
    <row r="21">
      <c r="B21" s="22" t="inlineStr">
        <is>
          <t>Инвестиции / остаточная ст-ть</t>
        </is>
      </c>
      <c r="C21" s="24" t="inlineStr">
        <is>
          <t>тыс.руб</t>
        </is>
      </c>
      <c r="D21" s="55">
        <f>IF(D$4=0,'Производительность'!D5,IF(D$4='Параметры'!C8,-'Ввод данных'!D14*'Производительность'!D5,0))</f>
        <v>289278.04</v>
      </c>
      <c r="E21" s="55">
        <f>IF(E$4=0,'Производительность'!D5,IF(E$4='Параметры'!C8,-'Ввод данных'!D14*'Производительность'!D5,0))</f>
        <v>0.0</v>
      </c>
      <c r="F21" s="55">
        <f>IF(F$4=0,'Производительность'!D5,IF(F$4='Параметры'!C8,-'Ввод данных'!D14*'Производительность'!D5,0))</f>
        <v>0.0</v>
      </c>
      <c r="G21" s="55">
        <f>IF(G$4=0,'Производительность'!D5,IF(G$4='Параметры'!C8,-'Ввод данных'!D14*'Производительность'!D5,0))</f>
        <v>0.0</v>
      </c>
      <c r="H21" s="55">
        <f>IF(H$4=0,'Производительность'!D5,IF(H$4='Параметры'!C8,-'Ввод данных'!D14*'Производительность'!D5,0))</f>
        <v>0.0</v>
      </c>
      <c r="I21" s="55">
        <f>IF(I$4=0,'Производительность'!D5,IF(I$4='Параметры'!C8,-'Ввод данных'!D14*'Производительность'!D5,0))</f>
        <v>0.0</v>
      </c>
      <c r="J21" s="55">
        <f>IF(J$4=0,'Производительность'!D5,IF(J$4='Параметры'!C8,-'Ввод данных'!D14*'Производительность'!D5,0))</f>
        <v>0.0</v>
      </c>
      <c r="K21" s="55">
        <f>IF(K$4=0,'Производительность'!D5,IF(K$4='Параметры'!C8,-'Ввод данных'!D14*'Производительность'!D5,0))</f>
        <v>0.0</v>
      </c>
      <c r="L21" s="55">
        <f>IF(L$4=0,'Производительность'!D5,IF(L$4='Параметры'!C8,-'Ввод данных'!D14*'Производительность'!D5,0))</f>
        <v>0.0</v>
      </c>
      <c r="M21" s="55">
        <f>IF(M$4=0,'Производительность'!D5,IF(M$4='Параметры'!C8,-'Ввод данных'!D14*'Производительность'!D5,0))</f>
        <v>0.0</v>
      </c>
      <c r="N21" s="55">
        <f>IF(N$4=0,'Производительность'!D5,IF(N$4='Параметры'!C8,-'Ввод данных'!D14*'Производительность'!D5,0))</f>
        <v>-0.0</v>
      </c>
    </row>
    <row r="22">
      <c r="B22" s="22" t="inlineStr">
        <is>
          <t>Чистый денежный поток</t>
        </is>
      </c>
      <c r="C22" s="24" t="inlineStr">
        <is>
          <t>тыс.руб</t>
        </is>
      </c>
      <c r="D22" s="64">
        <f>0+D21</f>
        <v>289278.04</v>
      </c>
      <c r="E22" s="64">
        <f>E20+E21</f>
        <v>21328.865562710685</v>
      </c>
      <c r="F22" s="64">
        <f>F20+F21</f>
        <v>98799.91099074579</v>
      </c>
      <c r="G22" s="64">
        <f>G20+G21</f>
        <v>103528.87494011575</v>
      </c>
      <c r="H22" s="64">
        <f>H20+H21</f>
        <v>97617.83859659228</v>
      </c>
      <c r="I22" s="64">
        <f>I20+I21</f>
        <v>20393.329440880763</v>
      </c>
      <c r="J22" s="64">
        <f>J20+J21</f>
        <v>188951.66993256597</v>
      </c>
      <c r="K22" s="64">
        <f>K20+K21</f>
        <v>35433.74498821755</v>
      </c>
      <c r="L22" s="64">
        <f>L20+L21</f>
        <v>191940.13673866866</v>
      </c>
      <c r="M22" s="64">
        <f>M20+M21</f>
        <v>34468.2996562825</v>
      </c>
      <c r="N22" s="64">
        <f>N20+N21</f>
        <v>108459.5879161325</v>
      </c>
    </row>
    <row r="23">
      <c r="B23" s="22" t="inlineStr">
        <is>
          <t>Дисконтированный поток</t>
        </is>
      </c>
      <c r="C23" s="24" t="inlineStr">
        <is>
          <t>тыс.руб</t>
        </is>
      </c>
      <c r="D23" s="55">
        <f>D22*D$6</f>
        <v>289278.04</v>
      </c>
      <c r="E23" s="55">
        <f>E22*E$6</f>
        <v>19043.62996670597</v>
      </c>
      <c r="F23" s="55">
        <f>F22*F$6</f>
        <v>78762.68414440831</v>
      </c>
      <c r="G23" s="55">
        <f>G22*G$6</f>
        <v>73689.80826071922</v>
      </c>
      <c r="H23" s="55">
        <f>H22*H$6</f>
        <v>62037.901202939276</v>
      </c>
      <c r="I23" s="55">
        <f>I22*I$6</f>
        <v>11571.72280227251</v>
      </c>
      <c r="J23" s="55">
        <f>J22*J$6</f>
        <v>95728.79638626291</v>
      </c>
      <c r="K23" s="55">
        <f>K22*K$6</f>
        <v>16028.426741867786</v>
      </c>
      <c r="L23" s="55">
        <f>L22*L$6</f>
        <v>77521.40200481498</v>
      </c>
      <c r="M23" s="55">
        <f>M22*M$6</f>
        <v>12429.6144001246</v>
      </c>
      <c r="N23" s="55">
        <f>N22*N$6</f>
        <v>34921.08456065031</v>
      </c>
    </row>
    <row r="24">
      <c r="B24" s="22" t="inlineStr">
        <is>
          <t>Кумул. дисконт. поток</t>
        </is>
      </c>
      <c r="C24" s="24" t="inlineStr">
        <is>
          <t>тыс.руб</t>
        </is>
      </c>
      <c r="D24" s="55">
        <f>SUM($D23:D23)</f>
        <v>289278.04</v>
      </c>
      <c r="E24" s="55">
        <f>SUM($D23:E23)</f>
        <v>308321.66996670596</v>
      </c>
      <c r="F24" s="55">
        <f>SUM($D23:F23)</f>
        <v>387084.3541111143</v>
      </c>
      <c r="G24" s="55">
        <f>SUM($D23:G23)</f>
        <v>460774.1623718335</v>
      </c>
      <c r="H24" s="55">
        <f>SUM($D23:H23)</f>
        <v>522812.0635747728</v>
      </c>
      <c r="I24" s="55">
        <f>SUM($D23:I23)</f>
        <v>534383.7863770453</v>
      </c>
      <c r="J24" s="55">
        <f>SUM($D23:J23)</f>
        <v>630112.5827633082</v>
      </c>
      <c r="K24" s="55">
        <f>SUM($D23:K23)</f>
        <v>646141.009505176</v>
      </c>
      <c r="L24" s="55">
        <f>SUM($D23:L23)</f>
        <v>723662.4115099909</v>
      </c>
      <c r="M24" s="55">
        <f>SUM($D23:M23)</f>
        <v>736092.0259101156</v>
      </c>
      <c r="N24" s="55">
        <f>SUM($D23:N23)</f>
        <v>771013.1104707659</v>
      </c>
    </row>
    <row r="25">
      <c r="B25" s="37" t="inlineStr">
        <is>
          <t>Аннуитет по году</t>
        </is>
      </c>
      <c r="C25" s="24" t="inlineStr">
        <is>
          <t>руб/м³</t>
        </is>
      </c>
      <c r="D25" s="65" t="n"/>
      <c r="E25" s="65">
        <f>SUM($D23:E23)/SUM($E$6:E$6)/(SUM($E11:E11)/E$4)</f>
        <v>156.00530515692842</v>
      </c>
      <c r="F25" s="65">
        <f>SUM($D23:F23)/SUM($E$6:F$6)/(SUM($E11:F11)/F$4)</f>
        <v>104.83703312246871</v>
      </c>
      <c r="G25" s="65">
        <f>SUM($D23:G23)/SUM($E$6:G$6)/(SUM($E11:G11)/G$4)</f>
        <v>89.5143917429092</v>
      </c>
      <c r="H25" s="65">
        <f>SUM($D23:H23)/SUM($E$6:H$6)/(SUM($E11:H11)/H$4)</f>
        <v>81.33085025658106</v>
      </c>
      <c r="I25" s="65">
        <f>SUM($D23:I23)/SUM($E$6:I$6)/(SUM($E11:I11)/I$4)</f>
        <v>70.42022443832039</v>
      </c>
      <c r="J25" s="65">
        <f>SUM($D23:J23)/SUM($E$6:J$6)/(SUM($E11:J11)/J$4)</f>
        <v>73.73536199678843</v>
      </c>
      <c r="K25" s="65">
        <f>SUM($D23:K23)/SUM($E$6:K$6)/(SUM($E11:K11)/K$4)</f>
        <v>69.03886694910919</v>
      </c>
      <c r="L25" s="65">
        <f>SUM($D23:L23)/SUM($E$6:L$6)/(SUM($E11:L11)/L$4)</f>
        <v>71.17538503664615</v>
      </c>
      <c r="M25" s="65">
        <f>SUM($D23:M23)/SUM($E$6:M$6)/(SUM($E11:M11)/M$4)</f>
        <v>68.54134369657879</v>
      </c>
      <c r="N25" s="65">
        <f>SUM($D23:N23)/SUM($E$6:N$6)/(SUM($E11:N11)/N$4)</f>
        <v>67.82057983421747</v>
      </c>
    </row>
    <row r="27">
      <c r="B27" s="5" t="str">
        <f>"Вариант 2:  "&amp;'Ввод данных'!E7</f>
        <v>Вариант 2:  Komatsu PC2000-11R
ИСТК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B28" s="22" t="inlineStr">
        <is>
          <t>КТГ</t>
        </is>
      </c>
      <c r="C28" s="24" t="inlineStr">
        <is>
          <t>коэф.</t>
        </is>
      </c>
      <c r="D28" s="58" t="n"/>
      <c r="E28" s="58">
        <f>'Данные по годам'!E12</f>
        <v>0.9240628170979199</v>
      </c>
      <c r="F28" s="58">
        <f>'Данные по годам'!F12</f>
        <v>0.797738299086758</v>
      </c>
      <c r="G28" s="58">
        <f>'Данные по годам'!G12</f>
        <v>0.8245343417047185</v>
      </c>
      <c r="H28" s="58">
        <f>'Данные по годам'!H12</f>
        <v>0.7639435882800609</v>
      </c>
      <c r="I28" s="58">
        <f>'Данные по годам'!I12</f>
        <v>0.7628148782343989</v>
      </c>
      <c r="J28" s="58">
        <f>'Данные по годам'!J12</f>
        <v>0.81214849695586</v>
      </c>
      <c r="K28" s="58">
        <f>'Данные по годам'!K12</f>
        <v>0.7865632927447997</v>
      </c>
      <c r="L28" s="58">
        <f>'Данные по годам'!L12</f>
        <v>0.8426392059868087</v>
      </c>
      <c r="M28" s="58">
        <f>'Данные по годам'!M12</f>
        <v>0.7373806126331812</v>
      </c>
      <c r="N28" s="58">
        <f>'Данные по годам'!N12</f>
        <v>0.826705194063927</v>
      </c>
    </row>
    <row r="29">
      <c r="B29" s="22" t="inlineStr">
        <is>
          <t>Эффективное время</t>
        </is>
      </c>
      <c r="C29" s="24" t="inlineStr">
        <is>
          <t>час/год</t>
        </is>
      </c>
      <c r="D29" s="55" t="n"/>
      <c r="E29" s="55">
        <f>'Параметры'!C26*E28*(1-'Ввод данных'!E18/(60*'Параметры'!C33))</f>
        <v>5103.090704282408</v>
      </c>
      <c r="F29" s="55">
        <f>'Параметры'!C26*F28*(1-'Ввод данных'!E18/(60*'Параметры'!C33))</f>
        <v>4405.4698697916665</v>
      </c>
      <c r="G29" s="55">
        <f>'Параметры'!C26*G28*(1-'Ввод данных'!E18/(60*'Параметры'!C33))</f>
        <v>4553.449675347223</v>
      </c>
      <c r="H29" s="55">
        <f>'Параметры'!C26*H28*(1-'Ввод данных'!E18/(60*'Параметры'!C33))</f>
        <v>4218.8402690972225</v>
      </c>
      <c r="I29" s="55">
        <f>'Параметры'!C26*I28*(1-'Ввод данных'!E18/(60*'Параметры'!C33))</f>
        <v>4212.607024305556</v>
      </c>
      <c r="J29" s="55">
        <f>'Параметры'!C26*J28*(1-'Ввод данных'!E18/(60*'Параметры'!C33))</f>
        <v>4485.049467013889</v>
      </c>
      <c r="K29" s="55">
        <f>'Параметры'!C26*K28*(1-'Ввод данных'!E18/(60*'Параметры'!C33))</f>
        <v>4343.756456018519</v>
      </c>
      <c r="L29" s="55">
        <f>'Параметры'!C26*L28*(1-'Ввод данных'!E18/(60*'Параметры'!C33))</f>
        <v>4653.432883101852</v>
      </c>
      <c r="M29" s="55">
        <f>'Параметры'!C26*M28*(1-'Ввод данных'!E18/(60*'Параметры'!C33))</f>
        <v>4072.147564236111</v>
      </c>
      <c r="N29" s="55">
        <f>'Параметры'!C26*N28*(1-'Ввод данных'!E18/(60*'Параметры'!C33))</f>
        <v>4565.438098958333</v>
      </c>
    </row>
    <row r="30">
      <c r="B30" s="22" t="inlineStr">
        <is>
          <t>Производительность</t>
        </is>
      </c>
      <c r="C30" s="24" t="inlineStr">
        <is>
          <t>тыс.м³</t>
        </is>
      </c>
      <c r="D30" s="55" t="n"/>
      <c r="E30" s="55">
        <f>'Производительность'!E10*E29/1000</f>
        <v>2213.5162007173226</v>
      </c>
      <c r="F30" s="55">
        <f>'Производительность'!E10*F29/1000</f>
        <v>1910.9162453986098</v>
      </c>
      <c r="G30" s="55">
        <f>'Производительность'!E10*G29/1000</f>
        <v>1975.1039535852087</v>
      </c>
      <c r="H30" s="55">
        <f>'Производительность'!E10*H29/1000</f>
        <v>1829.9638052775897</v>
      </c>
      <c r="I30" s="55">
        <f>'Производительность'!E10*I29/1000</f>
        <v>1827.2600735336464</v>
      </c>
      <c r="J30" s="55">
        <f>'Производительность'!E10*J29/1000</f>
        <v>1945.4346848906075</v>
      </c>
      <c r="K30" s="55">
        <f>'Производительность'!E10*K29/1000</f>
        <v>1884.1474401579353</v>
      </c>
      <c r="L30" s="55">
        <f>'Производительность'!E10*L29/1000</f>
        <v>2018.47266148978</v>
      </c>
      <c r="M30" s="55">
        <f>'Производительность'!E10*M29/1000</f>
        <v>1766.3343897814811</v>
      </c>
      <c r="N30" s="55">
        <f>'Производительность'!E10*N29/1000</f>
        <v>1980.3040512166274</v>
      </c>
    </row>
    <row r="31">
      <c r="B31" s="22" t="inlineStr">
        <is>
          <t>Дизтопливо</t>
        </is>
      </c>
      <c r="C31" s="24" t="inlineStr">
        <is>
          <t>тыс.руб</t>
        </is>
      </c>
      <c r="D31" s="55" t="n"/>
      <c r="E31" s="55">
        <f>E29*'Данные по годам'!E14*'Параметры'!C10*(1+'Параметры'!C14)^(E$4-1)/1000</f>
        <v>24009.849377129183</v>
      </c>
      <c r="F31" s="55">
        <f>F29*'Данные по годам'!F14*'Параметры'!C10*(1+'Параметры'!C14)^(F$4-1)/1000</f>
        <v>20727.5696511557</v>
      </c>
      <c r="G31" s="55">
        <f>G29*'Данные по годам'!G14*'Параметры'!C10*(1+'Параметры'!C14)^(G$4-1)/1000</f>
        <v>21423.809057455925</v>
      </c>
      <c r="H31" s="55">
        <f>H29*'Данные по годам'!H14*'Параметры'!C10*(1+'Параметры'!C14)^(H$4-1)/1000</f>
        <v>19849.484415824285</v>
      </c>
      <c r="I31" s="55">
        <f>I29*'Данные по годам'!I14*'Параметры'!C10*(1+'Параметры'!C14)^(I$4-1)/1000</f>
        <v>19820.157234072823</v>
      </c>
      <c r="J31" s="55">
        <f>J29*'Данные по годам'!J14*'Параметры'!C10*(1+'Параметры'!C14)^(J$4-1)/1000</f>
        <v>21101.98865593544</v>
      </c>
      <c r="K31" s="55">
        <f>K29*'Данные по годам'!K14*'Параметры'!C10*(1+'Параметры'!C14)^(K$4-1)/1000</f>
        <v>20437.21036594874</v>
      </c>
      <c r="L31" s="55">
        <f>L29*'Данные по годам'!L14*'Параметры'!C10*(1+'Параметры'!C14)^(L$4-1)/1000</f>
        <v>21894.226280574523</v>
      </c>
      <c r="M31" s="55">
        <f>M29*'Данные по годам'!M14*'Параметры'!C10*(1+'Параметры'!C14)^(M$4-1)/1000</f>
        <v>19159.30076976773</v>
      </c>
      <c r="N31" s="55">
        <f>N29*'Данные по годам'!N14*'Параметры'!C10*(1+'Параметры'!C14)^(N$4-1)/1000</f>
        <v>21480.21413858263</v>
      </c>
    </row>
    <row r="32">
      <c r="B32" s="22" t="inlineStr">
        <is>
          <t>ТОиР и сервис (по годам)</t>
        </is>
      </c>
      <c r="C32" s="24" t="inlineStr">
        <is>
          <t>тыс.руб</t>
        </is>
      </c>
      <c r="D32" s="55" t="n"/>
      <c r="E32" s="55">
        <f>'Данные по годам'!E13*IF('Данные по годам'!$D$13="CNY",'Параметры'!C20,IF('Данные по годам'!$D$13="USD",'Параметры'!C21,IF('Данные по годам'!$D$13="EUR",'Параметры'!C22,1)))</f>
        <v>10264.857682575997</v>
      </c>
      <c r="F32" s="55">
        <f>'Данные по годам'!F13*IF('Данные по годам'!$D$13="CNY",'Параметры'!C20,IF('Данные по годам'!$D$13="USD",'Параметры'!C21,IF('Данные по годам'!$D$13="EUR",'Параметры'!C22,1)))</f>
        <v>13331.517022356</v>
      </c>
      <c r="G32" s="55">
        <f>'Данные по годам'!G13*IF('Данные по годам'!$D$13="CNY",'Параметры'!C20,IF('Данные по годам'!$D$13="USD",'Параметры'!C21,IF('Данные по годам'!$D$13="EUR",'Параметры'!C22,1)))</f>
        <v>50861.00354175599</v>
      </c>
      <c r="H32" s="55">
        <f>'Данные по годам'!H13*IF('Данные по годам'!$D$13="CNY",'Параметры'!C20,IF('Данные по годам'!$D$13="USD",'Параметры'!C21,IF('Данные по годам'!$D$13="EUR",'Параметры'!C22,1)))</f>
        <v>111422.83805627598</v>
      </c>
      <c r="I32" s="55">
        <f>'Данные по годам'!I13*IF('Данные по годам'!$D$13="CNY",'Параметры'!C20,IF('Данные по годам'!$D$13="USD",'Параметры'!C21,IF('Данные по годам'!$D$13="EUR",'Параметры'!C22,1)))</f>
        <v>18730.046642576</v>
      </c>
      <c r="J32" s="55">
        <f>'Данные по годам'!J13*IF('Данные по годам'!$D$13="CNY",'Параметры'!C20,IF('Данные по годам'!$D$13="USD",'Параметры'!C21,IF('Данные по годам'!$D$13="EUR",'Параметры'!C22,1)))</f>
        <v>53927.662881536</v>
      </c>
      <c r="K32" s="55">
        <f>'Данные по годам'!K13*IF('Данные по годам'!$D$13="CNY",'Параметры'!C20,IF('Данные по годам'!$D$13="USD",'Параметры'!C21,IF('Данные по годам'!$D$13="EUR",'Параметры'!C22,1)))</f>
        <v>13331.517022356</v>
      </c>
      <c r="L32" s="55">
        <f>'Данные по годам'!L13*IF('Данные по годам'!$D$13="CNY",'Параметры'!C20,IF('Данные по годам'!$D$13="USD",'Параметры'!C21,IF('Данные по годам'!$D$13="EUR",'Параметры'!C22,1)))</f>
        <v>108356.178716496</v>
      </c>
      <c r="M32" s="55">
        <f>'Данные по годам'!M13*IF('Данные по годам'!$D$13="CNY",'Параметры'!C20,IF('Данные по годам'!$D$13="USD",'Параметры'!C21,IF('Данные по годам'!$D$13="EUR",'Параметры'!C22,1)))</f>
        <v>62392.851841536</v>
      </c>
      <c r="N32" s="55">
        <f>'Данные по годам'!N13*IF('Данные по годам'!$D$13="CNY",'Параметры'!C20,IF('Данные по годам'!$D$13="USD",'Параметры'!C21,IF('Данные по годам'!$D$13="EUR",'Параметры'!C22,1)))</f>
        <v>10264.857682575997</v>
      </c>
    </row>
    <row r="33">
      <c r="B33" s="22" t="inlineStr">
        <is>
          <t>Расходники на ковш</t>
        </is>
      </c>
      <c r="C33" s="24" t="inlineStr">
        <is>
          <t>тыс.руб</t>
        </is>
      </c>
      <c r="D33" s="55" t="n"/>
      <c r="E33" s="55">
        <f>'Данные по годам'!E15*E30*(1+'Параметры'!C15)^(E$4-1)</f>
        <v>1925.7590946240707</v>
      </c>
      <c r="F33" s="55">
        <f>'Данные по годам'!F15*F30*(1+'Параметры'!C15)^(F$4-1)</f>
        <v>1662.4971334967906</v>
      </c>
      <c r="G33" s="55">
        <f>'Данные по годам'!G15*G30*(1+'Параметры'!C15)^(G$4-1)</f>
        <v>1718.3404396191315</v>
      </c>
      <c r="H33" s="55">
        <f>'Данные по годам'!H15*H30*(1+'Параметры'!C15)^(H$4-1)</f>
        <v>1592.0685105915031</v>
      </c>
      <c r="I33" s="55">
        <f>'Данные по годам'!I15*I30*(1+'Параметры'!C15)^(I$4-1)</f>
        <v>1589.7162639742724</v>
      </c>
      <c r="J33" s="55">
        <f>'Данные по годам'!J15*J30*(1+'Параметры'!C15)^(J$4-1)</f>
        <v>1692.5281758548285</v>
      </c>
      <c r="K33" s="55">
        <f>'Данные по годам'!K15*K30*(1+'Параметры'!C15)^(K$4-1)</f>
        <v>1639.2082729374038</v>
      </c>
      <c r="L33" s="55">
        <f>'Данные по годам'!L15*L30*(1+'Параметры'!C15)^(L$4-1)</f>
        <v>1756.0712154961086</v>
      </c>
      <c r="M33" s="55">
        <f>'Данные по годам'!M15*M30*(1+'Параметры'!C15)^(M$4-1)</f>
        <v>1536.7109191098887</v>
      </c>
      <c r="N33" s="55">
        <f>'Данные по годам'!N15*N30*(1+'Параметры'!C15)^(N$4-1)</f>
        <v>1722.8645245584657</v>
      </c>
    </row>
    <row r="34">
      <c r="B34" s="22" t="inlineStr">
        <is>
          <t>Персонал</t>
        </is>
      </c>
      <c r="C34" s="24" t="inlineStr">
        <is>
          <t>тыс.руб</t>
        </is>
      </c>
      <c r="D34" s="55" t="n"/>
      <c r="E34" s="55">
        <f>'Ввод данных'!E20*(1+'Параметры'!C16)^(E$4-1)</f>
        <v>10015.0</v>
      </c>
      <c r="F34" s="55">
        <f>'Ввод данных'!E20*(1+'Параметры'!C16)^(F$4-1)</f>
        <v>10015.0</v>
      </c>
      <c r="G34" s="55">
        <f>'Ввод данных'!E20*(1+'Параметры'!C16)^(G$4-1)</f>
        <v>10015.0</v>
      </c>
      <c r="H34" s="55">
        <f>'Ввод данных'!E20*(1+'Параметры'!C16)^(H$4-1)</f>
        <v>10015.0</v>
      </c>
      <c r="I34" s="55">
        <f>'Ввод данных'!E20*(1+'Параметры'!C16)^(I$4-1)</f>
        <v>10015.0</v>
      </c>
      <c r="J34" s="55">
        <f>'Ввод данных'!E20*(1+'Параметры'!C16)^(J$4-1)</f>
        <v>10015.0</v>
      </c>
      <c r="K34" s="55">
        <f>'Ввод данных'!E20*(1+'Параметры'!C16)^(K$4-1)</f>
        <v>10015.0</v>
      </c>
      <c r="L34" s="55">
        <f>'Ввод данных'!E20*(1+'Параметры'!C16)^(L$4-1)</f>
        <v>10015.0</v>
      </c>
      <c r="M34" s="55">
        <f>'Ввод данных'!E20*(1+'Параметры'!C16)^(M$4-1)</f>
        <v>10015.0</v>
      </c>
      <c r="N34" s="55">
        <f>'Ввод данных'!E20*(1+'Параметры'!C16)^(N$4-1)</f>
        <v>10015.0</v>
      </c>
    </row>
    <row r="35">
      <c r="B35" s="22" t="inlineStr">
        <is>
          <t>Итого денежные затраты</t>
        </is>
      </c>
      <c r="C35" s="24" t="inlineStr">
        <is>
          <t>тыс.руб</t>
        </is>
      </c>
      <c r="D35" s="55" t="n"/>
      <c r="E35" s="64">
        <f>E31+E32+E33+E34</f>
        <v>46215.466154329246</v>
      </c>
      <c r="F35" s="64">
        <f>F31+F32+F33+F34</f>
        <v>45736.583807008494</v>
      </c>
      <c r="G35" s="64">
        <f>G31+G32+G33+G34</f>
        <v>84018.15303883105</v>
      </c>
      <c r="H35" s="64">
        <f>H31+H32+H33+H34</f>
        <v>142879.39098269175</v>
      </c>
      <c r="I35" s="64">
        <f>I31+I32+I33+I34</f>
        <v>50154.9201406231</v>
      </c>
      <c r="J35" s="64">
        <f>J31+J32+J33+J34</f>
        <v>86737.17971332627</v>
      </c>
      <c r="K35" s="64">
        <f>K31+K32+K33+K34</f>
        <v>45422.93566124214</v>
      </c>
      <c r="L35" s="64">
        <f>L31+L32+L33+L34</f>
        <v>142021.47621256663</v>
      </c>
      <c r="M35" s="64">
        <f>M31+M32+M33+M34</f>
        <v>93103.86353041361</v>
      </c>
      <c r="N35" s="64">
        <f>N31+N32+N33+N34</f>
        <v>43482.93634571709</v>
      </c>
    </row>
    <row r="36">
      <c r="B36" s="22" t="inlineStr">
        <is>
          <t>Амортизация (НУ)</t>
        </is>
      </c>
      <c r="C36" s="24" t="inlineStr">
        <is>
          <t>тыс.руб</t>
        </is>
      </c>
      <c r="D36" s="55" t="n"/>
      <c r="E36" s="55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50087.53700425532</v>
      </c>
      <c r="F36" s="55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50087.53700425532</v>
      </c>
      <c r="G36" s="55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50087.53700425532</v>
      </c>
      <c r="H36" s="55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50087.53700425532</v>
      </c>
      <c r="I36" s="55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50087.53700425532</v>
      </c>
      <c r="J36" s="55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8514.8812907234</v>
      </c>
      <c r="K36" s="55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36" s="55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36" s="55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36" s="55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37">
      <c r="B37" s="22" t="inlineStr">
        <is>
          <t>Налогооблагаемая база</t>
        </is>
      </c>
      <c r="C37" s="24" t="inlineStr">
        <is>
          <t>тыс.руб</t>
        </is>
      </c>
      <c r="D37" s="55" t="n"/>
      <c r="E37" s="55">
        <f>E35+E36</f>
        <v>96303.00315858456</v>
      </c>
      <c r="F37" s="55">
        <f>F35+F36</f>
        <v>95824.12081126381</v>
      </c>
      <c r="G37" s="55">
        <f>G35+G36</f>
        <v>134105.69004308636</v>
      </c>
      <c r="H37" s="55">
        <f>H35+H36</f>
        <v>192966.92798694706</v>
      </c>
      <c r="I37" s="55">
        <f>I35+I36</f>
        <v>100242.45714487843</v>
      </c>
      <c r="J37" s="55">
        <f>J35+J36</f>
        <v>95252.06100404967</v>
      </c>
      <c r="K37" s="55">
        <f>K35+K36</f>
        <v>45422.93566124214</v>
      </c>
      <c r="L37" s="55">
        <f>L35+L36</f>
        <v>142021.47621256663</v>
      </c>
      <c r="M37" s="55">
        <f>M35+M36</f>
        <v>93103.86353041361</v>
      </c>
      <c r="N37" s="55">
        <f>N35+N36</f>
        <v>43482.93634571709</v>
      </c>
    </row>
    <row r="38">
      <c r="B38" s="22" t="inlineStr">
        <is>
          <t>Налог на прибыль (щит)</t>
        </is>
      </c>
      <c r="C38" s="24" t="inlineStr">
        <is>
          <t>тыс.руб</t>
        </is>
      </c>
      <c r="D38" s="55" t="n"/>
      <c r="E38" s="55">
        <f>-E37*'Параметры'!C7</f>
        <v>-24075.75078964614</v>
      </c>
      <c r="F38" s="55">
        <f>-F37*'Параметры'!C7</f>
        <v>-23956.030202815953</v>
      </c>
      <c r="G38" s="55">
        <f>-G37*'Параметры'!C7</f>
        <v>-33526.42251077159</v>
      </c>
      <c r="H38" s="55">
        <f>-H37*'Параметры'!C7</f>
        <v>-48241.731996736766</v>
      </c>
      <c r="I38" s="55">
        <f>-I37*'Параметры'!C7</f>
        <v>-25060.614286219607</v>
      </c>
      <c r="J38" s="55">
        <f>-J37*'Параметры'!C7</f>
        <v>-23813.015251012417</v>
      </c>
      <c r="K38" s="55">
        <f>-K37*'Параметры'!C7</f>
        <v>-11355.733915310535</v>
      </c>
      <c r="L38" s="55">
        <f>-L37*'Параметры'!C7</f>
        <v>-35505.36905314166</v>
      </c>
      <c r="M38" s="55">
        <f>-M37*'Параметры'!C7</f>
        <v>-23275.965882603403</v>
      </c>
      <c r="N38" s="55">
        <f>-N37*'Параметры'!C7</f>
        <v>-10870.734086429273</v>
      </c>
    </row>
    <row r="39">
      <c r="B39" s="22" t="inlineStr">
        <is>
          <t>Операц. денежный поток</t>
        </is>
      </c>
      <c r="C39" s="24" t="inlineStr">
        <is>
          <t>тыс.руб</t>
        </is>
      </c>
      <c r="D39" s="55" t="n"/>
      <c r="E39" s="64">
        <f>E37+E38-E36</f>
        <v>22139.715364683092</v>
      </c>
      <c r="F39" s="64">
        <f>F37+F38-F36</f>
        <v>21780.553604192544</v>
      </c>
      <c r="G39" s="64">
        <f>G37+G38-G36</f>
        <v>50491.73052805945</v>
      </c>
      <c r="H39" s="64">
        <f>H37+H38-H36</f>
        <v>94637.65898595497</v>
      </c>
      <c r="I39" s="64">
        <f>I37+I38-I36</f>
        <v>25094.305854403494</v>
      </c>
      <c r="J39" s="64">
        <f>J37+J38-J36</f>
        <v>62924.16446231385</v>
      </c>
      <c r="K39" s="64">
        <f>K37+K38-K36</f>
        <v>34067.201745931605</v>
      </c>
      <c r="L39" s="64">
        <f>L37+L38-L36</f>
        <v>106516.10715942498</v>
      </c>
      <c r="M39" s="64">
        <f>M37+M38-M36</f>
        <v>69827.89764781021</v>
      </c>
      <c r="N39" s="64">
        <f>N37+N38-N36</f>
        <v>32612.20225928782</v>
      </c>
    </row>
    <row r="40">
      <c r="B40" s="22" t="inlineStr">
        <is>
          <t>Инвестиции / остаточная ст-ть</t>
        </is>
      </c>
      <c r="C40" s="24" t="inlineStr">
        <is>
          <t>тыс.руб</t>
        </is>
      </c>
      <c r="D40" s="55">
        <f>IF(D$4=0,'Производительность'!E5,IF(D$4='Параметры'!C8,-'Ввод данных'!E14*'Производительность'!E5,0))</f>
        <v>258952.56631199998</v>
      </c>
      <c r="E40" s="55">
        <f>IF(E$4=0,'Производительность'!E5,IF(E$4='Параметры'!C8,-'Ввод данных'!E14*'Производительность'!E5,0))</f>
        <v>0.0</v>
      </c>
      <c r="F40" s="55">
        <f>IF(F$4=0,'Производительность'!E5,IF(F$4='Параметры'!C8,-'Ввод данных'!E14*'Производительность'!E5,0))</f>
        <v>0.0</v>
      </c>
      <c r="G40" s="55">
        <f>IF(G$4=0,'Производительность'!E5,IF(G$4='Параметры'!C8,-'Ввод данных'!E14*'Производительность'!E5,0))</f>
        <v>0.0</v>
      </c>
      <c r="H40" s="55">
        <f>IF(H$4=0,'Производительность'!E5,IF(H$4='Параметры'!C8,-'Ввод данных'!E14*'Производительность'!E5,0))</f>
        <v>0.0</v>
      </c>
      <c r="I40" s="55">
        <f>IF(I$4=0,'Производительность'!E5,IF(I$4='Параметры'!C8,-'Ввод данных'!E14*'Производительность'!E5,0))</f>
        <v>0.0</v>
      </c>
      <c r="J40" s="55">
        <f>IF(J$4=0,'Производительность'!E5,IF(J$4='Параметры'!C8,-'Ввод данных'!E14*'Производительность'!E5,0))</f>
        <v>0.0</v>
      </c>
      <c r="K40" s="55">
        <f>IF(K$4=0,'Производительность'!E5,IF(K$4='Параметры'!C8,-'Ввод данных'!E14*'Производительность'!E5,0))</f>
        <v>0.0</v>
      </c>
      <c r="L40" s="55">
        <f>IF(L$4=0,'Производительность'!E5,IF(L$4='Параметры'!C8,-'Ввод данных'!E14*'Производительность'!E5,0))</f>
        <v>0.0</v>
      </c>
      <c r="M40" s="55">
        <f>IF(M$4=0,'Производительность'!E5,IF(M$4='Параметры'!C8,-'Ввод данных'!E14*'Производительность'!E5,0))</f>
        <v>0.0</v>
      </c>
      <c r="N40" s="55">
        <f>IF(N$4=0,'Производительность'!E5,IF(N$4='Параметры'!C8,-'Ввод данных'!E14*'Производительность'!E5,0))</f>
        <v>-0.0</v>
      </c>
    </row>
    <row r="41">
      <c r="B41" s="22" t="inlineStr">
        <is>
          <t>Чистый денежный поток</t>
        </is>
      </c>
      <c r="C41" s="24" t="inlineStr">
        <is>
          <t>тыс.руб</t>
        </is>
      </c>
      <c r="D41" s="64">
        <f>0+D40</f>
        <v>258952.56631199998</v>
      </c>
      <c r="E41" s="64">
        <f>E39+E40</f>
        <v>22139.715364683092</v>
      </c>
      <c r="F41" s="64">
        <f>F39+F40</f>
        <v>21780.553604192544</v>
      </c>
      <c r="G41" s="64">
        <f>G39+G40</f>
        <v>50491.73052805945</v>
      </c>
      <c r="H41" s="64">
        <f>H39+H40</f>
        <v>94637.65898595497</v>
      </c>
      <c r="I41" s="64">
        <f>I39+I40</f>
        <v>25094.305854403494</v>
      </c>
      <c r="J41" s="64">
        <f>J39+J40</f>
        <v>62924.16446231385</v>
      </c>
      <c r="K41" s="64">
        <f>K39+K40</f>
        <v>34067.201745931605</v>
      </c>
      <c r="L41" s="64">
        <f>L39+L40</f>
        <v>106516.10715942498</v>
      </c>
      <c r="M41" s="64">
        <f>M39+M40</f>
        <v>69827.89764781021</v>
      </c>
      <c r="N41" s="64">
        <f>N39+N40</f>
        <v>32612.20225928782</v>
      </c>
    </row>
    <row r="42">
      <c r="B42" s="22" t="inlineStr">
        <is>
          <t>Дисконтированный поток</t>
        </is>
      </c>
      <c r="C42" s="24" t="inlineStr">
        <is>
          <t>тыс.руб</t>
        </is>
      </c>
      <c r="D42" s="55">
        <f>D41*D$6</f>
        <v>258952.56631199998</v>
      </c>
      <c r="E42" s="55">
        <f>E41*E$6</f>
        <v>19767.603004181332</v>
      </c>
      <c r="F42" s="55">
        <f>F41*F$6</f>
        <v>17363.323982934107</v>
      </c>
      <c r="G42" s="55">
        <f>G41*G$6</f>
        <v>35939.01646779012</v>
      </c>
      <c r="H42" s="55">
        <f>H41*H$6</f>
        <v>60143.9431834858</v>
      </c>
      <c r="I42" s="55">
        <f>I41*I$6</f>
        <v>14239.18306740501</v>
      </c>
      <c r="J42" s="55">
        <f>J41*J$6</f>
        <v>31879.339990688175</v>
      </c>
      <c r="K42" s="55">
        <f>K41*K$6</f>
        <v>15410.271978495806</v>
      </c>
      <c r="L42" s="55">
        <f>L41*L$6</f>
        <v>43020.06919134494</v>
      </c>
      <c r="M42" s="55">
        <f>M41*M$6</f>
        <v>25180.639915188014</v>
      </c>
      <c r="N42" s="55">
        <f>N41*N$6</f>
        <v>10500.256313773305</v>
      </c>
    </row>
    <row r="43">
      <c r="B43" s="22" t="inlineStr">
        <is>
          <t>Кумул. дисконт. поток</t>
        </is>
      </c>
      <c r="C43" s="24" t="inlineStr">
        <is>
          <t>тыс.руб</t>
        </is>
      </c>
      <c r="D43" s="55">
        <f>SUM($D42:D42)</f>
        <v>258952.56631199998</v>
      </c>
      <c r="E43" s="55">
        <f>SUM($D42:E42)</f>
        <v>278720.16931618133</v>
      </c>
      <c r="F43" s="55">
        <f>SUM($D42:F42)</f>
        <v>296083.49329911545</v>
      </c>
      <c r="G43" s="55">
        <f>SUM($D42:G42)</f>
        <v>332022.50976690557</v>
      </c>
      <c r="H43" s="55">
        <f>SUM($D42:H42)</f>
        <v>392166.45295039134</v>
      </c>
      <c r="I43" s="55">
        <f>SUM($D42:I42)</f>
        <v>406405.63601779635</v>
      </c>
      <c r="J43" s="55">
        <f>SUM($D42:J42)</f>
        <v>438284.97600848455</v>
      </c>
      <c r="K43" s="55">
        <f>SUM($D42:K42)</f>
        <v>453695.24798698036</v>
      </c>
      <c r="L43" s="55">
        <f>SUM($D42:L42)</f>
        <v>496715.3171783253</v>
      </c>
      <c r="M43" s="55">
        <f>SUM($D42:M42)</f>
        <v>521895.95709351334</v>
      </c>
      <c r="N43" s="55">
        <f>SUM($D42:N42)</f>
        <v>532396.2134072867</v>
      </c>
    </row>
    <row r="44">
      <c r="B44" s="37" t="inlineStr">
        <is>
          <t>Аннуитет по году</t>
        </is>
      </c>
      <c r="C44" s="24" t="inlineStr">
        <is>
          <t>руб/м³</t>
        </is>
      </c>
      <c r="D44" s="65" t="n"/>
      <c r="E44" s="65">
        <f>SUM($D42:E42)/SUM($E$6:E$6)/(SUM($E30:E30)/E$4)</f>
        <v>141.02747001940213</v>
      </c>
      <c r="F44" s="65">
        <f>SUM($D42:F42)/SUM($E$6:F$6)/(SUM($E30:F30)/F$4)</f>
        <v>84.95328587668746</v>
      </c>
      <c r="G44" s="65">
        <f>SUM($D42:G42)/SUM($E$6:G$6)/(SUM($E30:G30)/G$4)</f>
        <v>67.99069195047346</v>
      </c>
      <c r="H44" s="65">
        <f>SUM($D42:H42)/SUM($E$6:H$6)/(SUM($E30:H30)/H$4)</f>
        <v>65.13131861403126</v>
      </c>
      <c r="I44" s="65">
        <f>SUM($D42:I42)/SUM($E$6:I$6)/(SUM($E30:I30)/I$4)</f>
        <v>57.77577563083168</v>
      </c>
      <c r="J44" s="65">
        <f>SUM($D42:J42)/SUM($E$6:J$6)/(SUM($E30:J30)/J$4)</f>
        <v>54.657529718707735</v>
      </c>
      <c r="K44" s="65">
        <f>SUM($D42:K42)/SUM($E$6:K$6)/(SUM($E30:K30)/K$4)</f>
        <v>51.21972551748006</v>
      </c>
      <c r="L44" s="65">
        <f>SUM($D42:L42)/SUM($E$6:L$6)/(SUM($E30:L30)/L$4)</f>
        <v>51.26120587085665</v>
      </c>
      <c r="M44" s="65">
        <f>SUM($D42:M42)/SUM($E$6:M$6)/(SUM($E30:M30)/M$4)</f>
        <v>50.747342989838266</v>
      </c>
      <c r="N44" s="65">
        <f>SUM($D42:N42)/SUM($E$6:N$6)/(SUM($E30:N30)/N$4)</f>
        <v>48.691794031028174</v>
      </c>
    </row>
    <row r="46">
      <c r="B46" s="5" t="str">
        <f>"Вариант 3:  "&amp;'Ввод данных'!F7</f>
        <v>Вариант 3:  Zoomlion ZE2000G
Орикс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22" t="inlineStr">
        <is>
          <t>КТГ</t>
        </is>
      </c>
      <c r="C47" s="24" t="inlineStr">
        <is>
          <t>коэф.</t>
        </is>
      </c>
      <c r="D47" s="58" t="n"/>
      <c r="E47" s="58">
        <f>'Данные по годам'!E17</f>
        <v>0.8546521435819382</v>
      </c>
      <c r="F47" s="58">
        <f>'Данные по годам'!F17</f>
        <v>0.728326515728057</v>
      </c>
      <c r="G47" s="58">
        <f>'Данные по годам'!G17</f>
        <v>0.7551225583460174</v>
      </c>
      <c r="H47" s="58">
        <f>'Данные по годам'!H17</f>
        <v>0.6945340246067987</v>
      </c>
      <c r="I47" s="58">
        <f>'Данные по годам'!I17</f>
        <v>0.6934042047184171</v>
      </c>
      <c r="J47" s="58">
        <f>'Данные по годам'!J17</f>
        <v>0.7427367135971588</v>
      </c>
      <c r="K47" s="58">
        <f>'Данные по годам'!K17</f>
        <v>0.7171515093860985</v>
      </c>
      <c r="L47" s="58">
        <f>'Данные по годам'!L17</f>
        <v>0.7732285324708271</v>
      </c>
      <c r="M47" s="58">
        <f>'Данные по годам'!M17</f>
        <v>0.6679699391171994</v>
      </c>
      <c r="N47" s="58">
        <f>'Данные по годам'!N17</f>
        <v>0.7572945205479452</v>
      </c>
    </row>
    <row r="48">
      <c r="B48" s="22" t="inlineStr">
        <is>
          <t>Эффективное время</t>
        </is>
      </c>
      <c r="C48" s="24" t="inlineStr">
        <is>
          <t>час/год</t>
        </is>
      </c>
      <c r="D48" s="55" t="n"/>
      <c r="E48" s="55">
        <f>'Параметры'!C26*E47*(1-'Ввод данных'!F18/(60*'Параметры'!C33))</f>
        <v>4719.773730324075</v>
      </c>
      <c r="F48" s="55">
        <f>'Параметры'!C26*F47*(1-'Ввод данных'!F18/(60*'Параметры'!C33))</f>
        <v>4022.146766782408</v>
      </c>
      <c r="G48" s="55">
        <f>'Параметры'!C26*G47*(1-'Ввод данных'!F18/(60*'Параметры'!C33))</f>
        <v>4170.126572337963</v>
      </c>
      <c r="H48" s="55">
        <f>'Параметры'!C26*H47*(1-'Ввод данных'!F18/(60*'Параметры'!C33))</f>
        <v>3835.529424189815</v>
      </c>
      <c r="I48" s="55">
        <f>'Параметры'!C26*I47*(1-'Ввод данных'!F18/(60*'Параметры'!C33))</f>
        <v>3829.2900503472224</v>
      </c>
      <c r="J48" s="55">
        <f>'Параметры'!C26*J47*(1-'Ввод данных'!F18/(60*'Параметры'!C33))</f>
        <v>4101.726364004629</v>
      </c>
      <c r="K48" s="55">
        <f>'Параметры'!C26*K47*(1-'Ввод данных'!F18/(60*'Параметры'!C33))</f>
        <v>3960.4333530092595</v>
      </c>
      <c r="L48" s="55">
        <f>'Параметры'!C26*L47*(1-'Ввод данных'!F18/(60*'Параметры'!C33))</f>
        <v>4270.115909143519</v>
      </c>
      <c r="M48" s="55">
        <f>'Параметры'!C26*M47*(1-'Ввод данных'!F18/(60*'Параметры'!C33))</f>
        <v>3688.830590277777</v>
      </c>
      <c r="N48" s="55">
        <f>'Параметры'!C26*N47*(1-'Ввод данных'!F18/(60*'Параметры'!C33))</f>
        <v>4182.121125</v>
      </c>
    </row>
    <row r="49">
      <c r="B49" s="22" t="inlineStr">
        <is>
          <t>Производительность</t>
        </is>
      </c>
      <c r="C49" s="24" t="inlineStr">
        <is>
          <t>тыс.м³</t>
        </is>
      </c>
      <c r="D49" s="55" t="n"/>
      <c r="E49" s="55">
        <f>'Производительность'!F10*E48/1000</f>
        <v>2047.2486618795972</v>
      </c>
      <c r="F49" s="55">
        <f>'Производительность'!F10*F48/1000</f>
        <v>1744.6460480242636</v>
      </c>
      <c r="G49" s="55">
        <f>'Производительность'!F10*G48/1000</f>
        <v>1808.8337562108616</v>
      </c>
      <c r="H49" s="55">
        <f>'Производительность'!F10*H48/1000</f>
        <v>1663.6989249764858</v>
      </c>
      <c r="I49" s="55">
        <f>'Производительность'!F10*I48/1000</f>
        <v>1660.9925346959208</v>
      </c>
      <c r="J49" s="55">
        <f>'Производительность'!F10*J48/1000</f>
        <v>1779.164487516261</v>
      </c>
      <c r="K49" s="55">
        <f>'Производительность'!F10*K48/1000</f>
        <v>1717.8772427835884</v>
      </c>
      <c r="L49" s="55">
        <f>'Производительность'!F10*L48/1000</f>
        <v>1852.205122652055</v>
      </c>
      <c r="M49" s="55">
        <f>'Производительность'!F10*M48/1000</f>
        <v>1600.0668509437553</v>
      </c>
      <c r="N49" s="55">
        <f>'Производительность'!F10*N48/1000</f>
        <v>1814.036512378902</v>
      </c>
    </row>
    <row r="50">
      <c r="B50" s="22" t="inlineStr">
        <is>
          <t>Дизтопливо</t>
        </is>
      </c>
      <c r="C50" s="24" t="inlineStr">
        <is>
          <t>тыс.руб</t>
        </is>
      </c>
      <c r="D50" s="55" t="n"/>
      <c r="E50" s="55">
        <f>E48*'Данные по годам'!E19*'Параметры'!C10*(1+'Параметры'!C14)^(E$4-1)/1000</f>
        <v>23350.188021565955</v>
      </c>
      <c r="F50" s="55">
        <f>F48*'Данные по годам'!F19*'Параметры'!C10*(1+'Параметры'!C14)^(F$4-1)/1000</f>
        <v>19898.810540702365</v>
      </c>
      <c r="G50" s="55">
        <f>G48*'Данные по годам'!G19*'Параметры'!C10*(1+'Параметры'!C14)^(G$4-1)/1000</f>
        <v>20630.91264570724</v>
      </c>
      <c r="H50" s="55">
        <f>H48*'Данные по годам'!H19*'Параметры'!C10*(1+'Параметры'!C14)^(H$4-1)/1000</f>
        <v>18975.556527564993</v>
      </c>
      <c r="I50" s="55">
        <f>I48*'Данные по годам'!I19*'Параметры'!C10*(1+'Параметры'!C14)^(I$4-1)/1000</f>
        <v>18944.688405344365</v>
      </c>
      <c r="J50" s="55">
        <f>J48*'Данные по годам'!J19*'Параметры'!C10*(1+'Параметры'!C14)^(J$4-1)/1000</f>
        <v>20292.515549457472</v>
      </c>
      <c r="K50" s="55">
        <f>K48*'Данные по годам'!K19*'Параметры'!C10*(1+'Параметры'!C14)^(K$4-1)/1000</f>
        <v>19593.495096066257</v>
      </c>
      <c r="L50" s="55">
        <f>L48*'Данные по годам'!L19*'Параметры'!C10*(1+'Параметры'!C14)^(L$4-1)/1000</f>
        <v>21125.59098156914</v>
      </c>
      <c r="M50" s="55">
        <f>M48*'Данные по годам'!M19*'Параметры'!C10*(1+'Параметры'!C14)^(M$4-1)/1000</f>
        <v>18249.79178753468</v>
      </c>
      <c r="N50" s="55">
        <f>N48*'Данные по годам'!N19*'Параметры'!C10*(1+'Параметры'!C14)^(N$4-1)/1000</f>
        <v>20690.25342683276</v>
      </c>
    </row>
    <row r="51">
      <c r="B51" s="22" t="inlineStr">
        <is>
          <t>ТОиР и сервис (по годам)</t>
        </is>
      </c>
      <c r="C51" s="24" t="inlineStr">
        <is>
          <t>тыс.руб</t>
        </is>
      </c>
      <c r="D51" s="55" t="n"/>
      <c r="E51" s="55">
        <f>'Данные по годам'!E18*IF('Данные по годам'!$D$18="CNY",'Параметры'!C20,IF('Данные по годам'!$D$18="USD",'Параметры'!C21,IF('Данные по годам'!$D$18="EUR",'Параметры'!C22,1)))</f>
        <v>12787.895071975998</v>
      </c>
      <c r="F51" s="55">
        <f>'Данные по годам'!F18*IF('Данные по годам'!$D$18="CNY",'Параметры'!C20,IF('Данные по годам'!$D$18="USD",'Параметры'!C21,IF('Данные по годам'!$D$18="EUR",'Параметры'!C22,1)))</f>
        <v>14837.886740175998</v>
      </c>
      <c r="G51" s="55">
        <f>'Данные по годам'!G18*IF('Данные по годам'!$D$18="CNY",'Параметры'!C20,IF('Данные по годам'!$D$18="USD",'Параметры'!C21,IF('Данные по годам'!$D$18="EUR",'Параметры'!C22,1)))</f>
        <v>60828.984306975995</v>
      </c>
      <c r="H51" s="55">
        <f>'Данные по годам'!H18*IF('Данные по годам'!$D$18="CNY",'Параметры'!C20,IF('Данные по годам'!$D$18="USD",'Параметры'!C21,IF('Данные по годам'!$D$18="EUR",'Параметры'!C22,1)))</f>
        <v>19867.594471975997</v>
      </c>
      <c r="I51" s="55">
        <f>'Данные по годам'!I18*IF('Данные по годам'!$D$18="CNY",'Параметры'!C20,IF('Данные по годам'!$D$18="USD",'Параметры'!C21,IF('Данные по годам'!$D$18="EUR",'Параметры'!C22,1)))</f>
        <v>60699.874950175996</v>
      </c>
      <c r="J51" s="55">
        <f>'Данные по годам'!J18*IF('Данные по годам'!$D$18="CNY",'Параметры'!C20,IF('Данные по годам'!$D$18="USD",'Параметры'!C21,IF('Данные по годам'!$D$18="EUR",'Параметры'!C22,1)))</f>
        <v>14966.996096976</v>
      </c>
      <c r="K51" s="55">
        <f>'Данные по годам'!K18*IF('Данные по годам'!$D$18="CNY",'Параметры'!C20,IF('Данные по годам'!$D$18="USD",'Параметры'!C21,IF('Данные по годам'!$D$18="EUR",'Параметры'!C22,1)))</f>
        <v>58649.883281976</v>
      </c>
      <c r="L51" s="55">
        <f>'Данные по годам'!L18*IF('Данные по годам'!$D$18="CNY",'Параметры'!C20,IF('Данные по годам'!$D$18="USD",'Параметры'!C21,IF('Данные по годам'!$D$18="EUR",'Параметры'!C22,1)))</f>
        <v>21917.586140175998</v>
      </c>
      <c r="M51" s="55">
        <f>'Данные по годам'!M18*IF('Данные по годам'!$D$18="CNY",'Параметры'!C20,IF('Данные по годам'!$D$18="USD",'Параметры'!C21,IF('Данные по годам'!$D$18="EUR",'Параметры'!C22,1)))</f>
        <v>60828.984306975995</v>
      </c>
      <c r="N51" s="55">
        <f>'Данные по годам'!N18*IF('Данные по годам'!$D$18="CNY",'Параметры'!C20,IF('Данные по годам'!$D$18="USD",'Параметры'!C21,IF('Данные по годам'!$D$18="EUR",'Параметры'!C22,1)))</f>
        <v>14837.886740175998</v>
      </c>
    </row>
    <row r="52">
      <c r="B52" s="22" t="inlineStr">
        <is>
          <t>Расходники на ковш</t>
        </is>
      </c>
      <c r="C52" s="24" t="inlineStr">
        <is>
          <t>тыс.руб</t>
        </is>
      </c>
      <c r="D52" s="55" t="n"/>
      <c r="E52" s="55">
        <f>'Данные по годам'!E20*E49*(1+'Параметры'!C15)^(E$4-1)</f>
        <v>1781.1063358352496</v>
      </c>
      <c r="F52" s="55">
        <f>'Данные по годам'!F20*F49*(1+'Параметры'!C15)^(F$4-1)</f>
        <v>1517.8420617811094</v>
      </c>
      <c r="G52" s="55">
        <f>'Данные по годам'!G20*G49*(1+'Параметры'!C15)^(G$4-1)</f>
        <v>1573.6853679034496</v>
      </c>
      <c r="H52" s="55">
        <f>'Данные по годам'!H20*H49*(1+'Параметры'!C15)^(H$4-1)</f>
        <v>1447.4180647295427</v>
      </c>
      <c r="I52" s="55">
        <f>'Данные по годам'!I20*I49*(1+'Параметры'!C15)^(I$4-1)</f>
        <v>1445.063505185451</v>
      </c>
      <c r="J52" s="55">
        <f>'Данные по годам'!J20*J49*(1+'Параметры'!C15)^(J$4-1)</f>
        <v>1547.873104139147</v>
      </c>
      <c r="K52" s="55">
        <f>'Данные по годам'!K20*K49*(1+'Параметры'!C15)^(K$4-1)</f>
        <v>1494.5532012217218</v>
      </c>
      <c r="L52" s="55">
        <f>'Данные по годам'!L20*L49*(1+'Параметры'!C15)^(L$4-1)</f>
        <v>1611.4184567072878</v>
      </c>
      <c r="M52" s="55">
        <f>'Данные по годам'!M20*M49*(1+'Параметры'!C15)^(M$4-1)</f>
        <v>1392.0581603210671</v>
      </c>
      <c r="N52" s="55">
        <f>'Данные по годам'!N20*N49*(1+'Параметры'!C15)^(N$4-1)</f>
        <v>1578.2117657696447</v>
      </c>
    </row>
    <row r="53">
      <c r="B53" s="22" t="inlineStr">
        <is>
          <t>Персонал</t>
        </is>
      </c>
      <c r="C53" s="24" t="inlineStr">
        <is>
          <t>тыс.руб</t>
        </is>
      </c>
      <c r="D53" s="55" t="n"/>
      <c r="E53" s="55">
        <f>'Ввод данных'!F20*(1+'Параметры'!C16)^(E$4-1)</f>
        <v>10015.0</v>
      </c>
      <c r="F53" s="55">
        <f>'Ввод данных'!F20*(1+'Параметры'!C16)^(F$4-1)</f>
        <v>10015.0</v>
      </c>
      <c r="G53" s="55">
        <f>'Ввод данных'!F20*(1+'Параметры'!C16)^(G$4-1)</f>
        <v>10015.0</v>
      </c>
      <c r="H53" s="55">
        <f>'Ввод данных'!F20*(1+'Параметры'!C16)^(H$4-1)</f>
        <v>10015.0</v>
      </c>
      <c r="I53" s="55">
        <f>'Ввод данных'!F20*(1+'Параметры'!C16)^(I$4-1)</f>
        <v>10015.0</v>
      </c>
      <c r="J53" s="55">
        <f>'Ввод данных'!F20*(1+'Параметры'!C16)^(J$4-1)</f>
        <v>10015.0</v>
      </c>
      <c r="K53" s="55">
        <f>'Ввод данных'!F20*(1+'Параметры'!C16)^(K$4-1)</f>
        <v>10015.0</v>
      </c>
      <c r="L53" s="55">
        <f>'Ввод данных'!F20*(1+'Параметры'!C16)^(L$4-1)</f>
        <v>10015.0</v>
      </c>
      <c r="M53" s="55">
        <f>'Ввод данных'!F20*(1+'Параметры'!C16)^(M$4-1)</f>
        <v>10015.0</v>
      </c>
      <c r="N53" s="55">
        <f>'Ввод данных'!F20*(1+'Параметры'!C16)^(N$4-1)</f>
        <v>10015.0</v>
      </c>
    </row>
    <row r="54">
      <c r="B54" s="22" t="inlineStr">
        <is>
          <t>Итого денежные затраты</t>
        </is>
      </c>
      <c r="C54" s="24" t="inlineStr">
        <is>
          <t>тыс.руб</t>
        </is>
      </c>
      <c r="D54" s="55" t="n"/>
      <c r="E54" s="64">
        <f>E50+E51+E52+E53</f>
        <v>47934.1894293772</v>
      </c>
      <c r="F54" s="64">
        <f>F50+F51+F52+F53</f>
        <v>46269.53934265947</v>
      </c>
      <c r="G54" s="64">
        <f>G50+G51+G52+G53</f>
        <v>93048.58232058669</v>
      </c>
      <c r="H54" s="64">
        <f>H50+H51+H52+H53</f>
        <v>50305.56906427053</v>
      </c>
      <c r="I54" s="64">
        <f>I50+I51+I52+I53</f>
        <v>91104.62686070582</v>
      </c>
      <c r="J54" s="64">
        <f>J50+J51+J52+J53</f>
        <v>46822.384750572615</v>
      </c>
      <c r="K54" s="64">
        <f>K50+K51+K52+K53</f>
        <v>89752.93157926397</v>
      </c>
      <c r="L54" s="64">
        <f>L50+L51+L52+L53</f>
        <v>54669.59557845243</v>
      </c>
      <c r="M54" s="64">
        <f>M50+M51+M52+M53</f>
        <v>90485.83425483175</v>
      </c>
      <c r="N54" s="64">
        <f>N50+N51+N52+N53</f>
        <v>47121.3519327784</v>
      </c>
    </row>
    <row r="55">
      <c r="B55" s="22" t="inlineStr">
        <is>
          <t>Амортизация (НУ)</t>
        </is>
      </c>
      <c r="C55" s="24" t="inlineStr">
        <is>
          <t>тыс.руб</t>
        </is>
      </c>
      <c r="D55" s="55" t="n"/>
      <c r="E55" s="55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43632.81957446808</v>
      </c>
      <c r="F55" s="55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43632.81957446808</v>
      </c>
      <c r="G55" s="55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43632.81957446808</v>
      </c>
      <c r="H55" s="55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43632.81957446808</v>
      </c>
      <c r="I55" s="55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43632.81957446808</v>
      </c>
      <c r="J55" s="55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7417.5793276595705</v>
      </c>
      <c r="K55" s="55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55" s="55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55" s="55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55" s="55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56">
      <c r="B56" s="22" t="inlineStr">
        <is>
          <t>Налогооблагаемая база</t>
        </is>
      </c>
      <c r="C56" s="24" t="inlineStr">
        <is>
          <t>тыс.руб</t>
        </is>
      </c>
      <c r="D56" s="55" t="n"/>
      <c r="E56" s="55">
        <f>E54+E55</f>
        <v>91567.00900384528</v>
      </c>
      <c r="F56" s="55">
        <f>F54+F55</f>
        <v>89902.35891712754</v>
      </c>
      <c r="G56" s="55">
        <f>G54+G55</f>
        <v>136681.40189505476</v>
      </c>
      <c r="H56" s="55">
        <f>H54+H55</f>
        <v>93938.3886387386</v>
      </c>
      <c r="I56" s="55">
        <f>I54+I55</f>
        <v>134737.4464351739</v>
      </c>
      <c r="J56" s="55">
        <f>J54+J55</f>
        <v>54239.96407823219</v>
      </c>
      <c r="K56" s="55">
        <f>K54+K55</f>
        <v>89752.93157926397</v>
      </c>
      <c r="L56" s="55">
        <f>L54+L55</f>
        <v>54669.59557845243</v>
      </c>
      <c r="M56" s="55">
        <f>M54+M55</f>
        <v>90485.83425483175</v>
      </c>
      <c r="N56" s="55">
        <f>N54+N55</f>
        <v>47121.3519327784</v>
      </c>
    </row>
    <row r="57">
      <c r="B57" s="22" t="inlineStr">
        <is>
          <t>Налог на прибыль (щит)</t>
        </is>
      </c>
      <c r="C57" s="24" t="inlineStr">
        <is>
          <t>тыс.руб</t>
        </is>
      </c>
      <c r="D57" s="55" t="n"/>
      <c r="E57" s="55">
        <f>-E56*'Параметры'!C7</f>
        <v>-22891.75225096132</v>
      </c>
      <c r="F57" s="55">
        <f>-F56*'Параметры'!C7</f>
        <v>-22475.589729281885</v>
      </c>
      <c r="G57" s="55">
        <f>-G56*'Параметры'!C7</f>
        <v>-34170.35047376369</v>
      </c>
      <c r="H57" s="55">
        <f>-H56*'Параметры'!C7</f>
        <v>-23484.59715968465</v>
      </c>
      <c r="I57" s="55">
        <f>-I56*'Параметры'!C7</f>
        <v>-33684.36160879347</v>
      </c>
      <c r="J57" s="55">
        <f>-J56*'Параметры'!C7</f>
        <v>-13559.991019558047</v>
      </c>
      <c r="K57" s="55">
        <f>-K56*'Параметры'!C7</f>
        <v>-22438.232894815992</v>
      </c>
      <c r="L57" s="55">
        <f>-L56*'Параметры'!C7</f>
        <v>-13667.398894613107</v>
      </c>
      <c r="M57" s="55">
        <f>-M56*'Параметры'!C7</f>
        <v>-22621.458563707936</v>
      </c>
      <c r="N57" s="55">
        <f>-N56*'Параметры'!C7</f>
        <v>-11780.3379831946</v>
      </c>
    </row>
    <row r="58">
      <c r="B58" s="22" t="inlineStr">
        <is>
          <t>Операц. денежный поток</t>
        </is>
      </c>
      <c r="C58" s="24" t="inlineStr">
        <is>
          <t>тыс.руб</t>
        </is>
      </c>
      <c r="D58" s="55" t="n"/>
      <c r="E58" s="64">
        <f>E56+E57-E55</f>
        <v>25042.43717841588</v>
      </c>
      <c r="F58" s="64">
        <f>F56+F57-F55</f>
        <v>23793.949613377576</v>
      </c>
      <c r="G58" s="64">
        <f>G56+G57-G55</f>
        <v>58878.231846823</v>
      </c>
      <c r="H58" s="64">
        <f>H56+H57-H55</f>
        <v>26820.971904585873</v>
      </c>
      <c r="I58" s="64">
        <f>I56+I57-I55</f>
        <v>57420.265251912344</v>
      </c>
      <c r="J58" s="64">
        <f>J56+J57-J55</f>
        <v>33262.39373101457</v>
      </c>
      <c r="K58" s="64">
        <f>K56+K57-K55</f>
        <v>67314.69868444797</v>
      </c>
      <c r="L58" s="64">
        <f>L56+L57-L55</f>
        <v>41002.19668383932</v>
      </c>
      <c r="M58" s="64">
        <f>M56+M57-M55</f>
        <v>67864.3756911238</v>
      </c>
      <c r="N58" s="64">
        <f>N56+N57-N55</f>
        <v>35341.0139495838</v>
      </c>
    </row>
    <row r="59">
      <c r="B59" s="22" t="inlineStr">
        <is>
          <t>Инвестиции / остаточная ст-ть</t>
        </is>
      </c>
      <c r="C59" s="24" t="inlineStr">
        <is>
          <t>тыс.руб</t>
        </is>
      </c>
      <c r="D59" s="55">
        <f>IF(D$4=0,'Производительность'!F5,IF(D$4='Параметры'!C8,-'Ввод данных'!F14*'Производительность'!F5,0))</f>
        <v>225581.67719999998</v>
      </c>
      <c r="E59" s="55">
        <f>IF(E$4=0,'Производительность'!F5,IF(E$4='Параметры'!C8,-'Ввод данных'!F14*'Производительность'!F5,0))</f>
        <v>0.0</v>
      </c>
      <c r="F59" s="55">
        <f>IF(F$4=0,'Производительность'!F5,IF(F$4='Параметры'!C8,-'Ввод данных'!F14*'Производительность'!F5,0))</f>
        <v>0.0</v>
      </c>
      <c r="G59" s="55">
        <f>IF(G$4=0,'Производительность'!F5,IF(G$4='Параметры'!C8,-'Ввод данных'!F14*'Производительность'!F5,0))</f>
        <v>0.0</v>
      </c>
      <c r="H59" s="55">
        <f>IF(H$4=0,'Производительность'!F5,IF(H$4='Параметры'!C8,-'Ввод данных'!F14*'Производительность'!F5,0))</f>
        <v>0.0</v>
      </c>
      <c r="I59" s="55">
        <f>IF(I$4=0,'Производительность'!F5,IF(I$4='Параметры'!C8,-'Ввод данных'!F14*'Производительность'!F5,0))</f>
        <v>0.0</v>
      </c>
      <c r="J59" s="55">
        <f>IF(J$4=0,'Производительность'!F5,IF(J$4='Параметры'!C8,-'Ввод данных'!F14*'Производительность'!F5,0))</f>
        <v>0.0</v>
      </c>
      <c r="K59" s="55">
        <f>IF(K$4=0,'Производительность'!F5,IF(K$4='Параметры'!C8,-'Ввод данных'!F14*'Производительность'!F5,0))</f>
        <v>0.0</v>
      </c>
      <c r="L59" s="55">
        <f>IF(L$4=0,'Производительность'!F5,IF(L$4='Параметры'!C8,-'Ввод данных'!F14*'Производительность'!F5,0))</f>
        <v>0.0</v>
      </c>
      <c r="M59" s="55">
        <f>IF(M$4=0,'Производительность'!F5,IF(M$4='Параметры'!C8,-'Ввод данных'!F14*'Производительность'!F5,0))</f>
        <v>0.0</v>
      </c>
      <c r="N59" s="55">
        <f>IF(N$4=0,'Производительность'!F5,IF(N$4='Параметры'!C8,-'Ввод данных'!F14*'Производительность'!F5,0))</f>
        <v>-0.0</v>
      </c>
    </row>
    <row r="60">
      <c r="B60" s="22" t="inlineStr">
        <is>
          <t>Чистый денежный поток</t>
        </is>
      </c>
      <c r="C60" s="24" t="inlineStr">
        <is>
          <t>тыс.руб</t>
        </is>
      </c>
      <c r="D60" s="64">
        <f>0+D59</f>
        <v>225581.67719999998</v>
      </c>
      <c r="E60" s="64">
        <f>E58+E59</f>
        <v>25042.43717841588</v>
      </c>
      <c r="F60" s="64">
        <f>F58+F59</f>
        <v>23793.949613377576</v>
      </c>
      <c r="G60" s="64">
        <f>G58+G59</f>
        <v>58878.231846823</v>
      </c>
      <c r="H60" s="64">
        <f>H58+H59</f>
        <v>26820.971904585873</v>
      </c>
      <c r="I60" s="64">
        <f>I58+I59</f>
        <v>57420.265251912344</v>
      </c>
      <c r="J60" s="64">
        <f>J58+J59</f>
        <v>33262.39373101457</v>
      </c>
      <c r="K60" s="64">
        <f>K58+K59</f>
        <v>67314.69868444797</v>
      </c>
      <c r="L60" s="64">
        <f>L58+L59</f>
        <v>41002.19668383932</v>
      </c>
      <c r="M60" s="64">
        <f>M58+M59</f>
        <v>67864.3756911238</v>
      </c>
      <c r="N60" s="64">
        <f>N58+N59</f>
        <v>35341.0139495838</v>
      </c>
    </row>
    <row r="61">
      <c r="B61" s="22" t="inlineStr">
        <is>
          <t>Дисконтированный поток</t>
        </is>
      </c>
      <c r="C61" s="24" t="inlineStr">
        <is>
          <t>тыс.руб</t>
        </is>
      </c>
      <c r="D61" s="55">
        <f>D60*D$6</f>
        <v>225581.67719999998</v>
      </c>
      <c r="E61" s="55">
        <f>E60*E$6</f>
        <v>22359.31890929989</v>
      </c>
      <c r="F61" s="55">
        <f>F60*F$6</f>
        <v>18968.390954542072</v>
      </c>
      <c r="G61" s="55">
        <f>G60*G$6</f>
        <v>41908.36245474713</v>
      </c>
      <c r="H61" s="55">
        <f>H60*H$6</f>
        <v>17045.212525752377</v>
      </c>
      <c r="I61" s="55">
        <f>I60*I$6</f>
        <v>32581.80056642056</v>
      </c>
      <c r="J61" s="55">
        <f>J60*J$6</f>
        <v>16851.76382898539</v>
      </c>
      <c r="K61" s="55">
        <f>K60*K$6</f>
        <v>30449.751130549448</v>
      </c>
      <c r="L61" s="55">
        <f>L60*L$6</f>
        <v>16560.099550914005</v>
      </c>
      <c r="M61" s="55">
        <f>M60*M$6</f>
        <v>24472.574213335447</v>
      </c>
      <c r="N61" s="55">
        <f>N60*N$6</f>
        <v>11378.860645744431</v>
      </c>
    </row>
    <row r="62">
      <c r="B62" s="22" t="inlineStr">
        <is>
          <t>Кумул. дисконт. поток</t>
        </is>
      </c>
      <c r="C62" s="24" t="inlineStr">
        <is>
          <t>тыс.руб</t>
        </is>
      </c>
      <c r="D62" s="55">
        <f>SUM($D61:D61)</f>
        <v>225581.67719999998</v>
      </c>
      <c r="E62" s="55">
        <f>SUM($D61:E61)</f>
        <v>247940.99610929986</v>
      </c>
      <c r="F62" s="55">
        <f>SUM($D61:F61)</f>
        <v>266909.3870638419</v>
      </c>
      <c r="G62" s="55">
        <f>SUM($D61:G61)</f>
        <v>308817.74951858906</v>
      </c>
      <c r="H62" s="55">
        <f>SUM($D61:H61)</f>
        <v>325862.96204434143</v>
      </c>
      <c r="I62" s="55">
        <f>SUM($D61:I61)</f>
        <v>358444.762610762</v>
      </c>
      <c r="J62" s="55">
        <f>SUM($D61:J61)</f>
        <v>375296.52643974737</v>
      </c>
      <c r="K62" s="55">
        <f>SUM($D61:K61)</f>
        <v>405746.27757029684</v>
      </c>
      <c r="L62" s="55">
        <f>SUM($D61:L61)</f>
        <v>422306.37712121085</v>
      </c>
      <c r="M62" s="55">
        <f>SUM($D61:M61)</f>
        <v>446778.9513345463</v>
      </c>
      <c r="N62" s="55">
        <f>SUM($D61:N61)</f>
        <v>458157.81198029075</v>
      </c>
    </row>
    <row r="63">
      <c r="B63" s="37" t="inlineStr">
        <is>
          <t>Аннуитет по году</t>
        </is>
      </c>
      <c r="C63" s="24" t="inlineStr">
        <is>
          <t>руб/м³</t>
        </is>
      </c>
      <c r="D63" s="65" t="n"/>
      <c r="E63" s="65">
        <f>SUM($D61:E61)/SUM($E$6:E$6)/(SUM($E49:E49)/E$4)</f>
        <v>135.6424946383712</v>
      </c>
      <c r="F63" s="65">
        <f>SUM($D61:F61)/SUM($E$6:F$6)/(SUM($E49:F49)/F$4)</f>
        <v>83.2986107502243</v>
      </c>
      <c r="G63" s="65">
        <f>SUM($D61:G61)/SUM($E$6:G$6)/(SUM($E49:G49)/G$4)</f>
        <v>68.87101703036501</v>
      </c>
      <c r="H63" s="65">
        <f>SUM($D61:H61)/SUM($E$6:H$6)/(SUM($E49:H49)/H$4)</f>
        <v>59.074337367948054</v>
      </c>
      <c r="I63" s="65">
        <f>SUM($D61:I61)/SUM($E$6:I$6)/(SUM($E49:I49)/I$4)</f>
        <v>55.703858383310276</v>
      </c>
      <c r="J63" s="65">
        <f>SUM($D61:J61)/SUM($E$6:J$6)/(SUM($E49:J49)/J$4)</f>
        <v>51.16411646142905</v>
      </c>
      <c r="K63" s="65">
        <f>SUM($D61:K61)/SUM($E$6:K$6)/(SUM($E49:K49)/K$4)</f>
        <v>50.09823793953097</v>
      </c>
      <c r="L63" s="65">
        <f>SUM($D61:L61)/SUM($E$6:L$6)/(SUM($E49:L49)/L$4)</f>
        <v>47.643268995995406</v>
      </c>
      <c r="M63" s="65">
        <f>SUM($D61:M61)/SUM($E$6:M$6)/(SUM($E49:M49)/M$4)</f>
        <v>47.53835948378646</v>
      </c>
      <c r="N63" s="65">
        <f>SUM($D61:N61)/SUM($E$6:N$6)/(SUM($E49:N49)/N$4)</f>
        <v>45.84076606536979</v>
      </c>
    </row>
    <row r="65">
      <c r="B65" s="5" t="str">
        <f>"Вариант 4:  "&amp;'Ввод данных'!G7</f>
        <v>Вариант 4:  Sany SY2000
АСТ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B66" s="22" t="inlineStr">
        <is>
          <t>КТГ</t>
        </is>
      </c>
      <c r="C66" s="24" t="inlineStr">
        <is>
          <t>коэф.</t>
        </is>
      </c>
      <c r="D66" s="58" t="n"/>
      <c r="E66" s="58">
        <f>'Данные по годам'!E22</f>
        <v>0.8546521435819382</v>
      </c>
      <c r="F66" s="58">
        <f>'Данные по годам'!F22</f>
        <v>0.728326515728057</v>
      </c>
      <c r="G66" s="58">
        <f>'Данные по годам'!G22</f>
        <v>0.7551225583460174</v>
      </c>
      <c r="H66" s="58">
        <f>'Данные по годам'!H22</f>
        <v>0.6945340246067987</v>
      </c>
      <c r="I66" s="58">
        <f>'Данные по годам'!I22</f>
        <v>0.6934042047184171</v>
      </c>
      <c r="J66" s="58">
        <f>'Данные по годам'!J22</f>
        <v>0.7427367135971588</v>
      </c>
      <c r="K66" s="58">
        <f>'Данные по годам'!K22</f>
        <v>0.7171515093860985</v>
      </c>
      <c r="L66" s="58">
        <f>'Данные по годам'!L22</f>
        <v>0.7732285324708271</v>
      </c>
      <c r="M66" s="58">
        <f>'Данные по годам'!M22</f>
        <v>0.6679699391171994</v>
      </c>
      <c r="N66" s="58">
        <f>'Данные по годам'!N22</f>
        <v>0.7572945205479452</v>
      </c>
    </row>
    <row r="67">
      <c r="B67" s="22" t="inlineStr">
        <is>
          <t>Эффективное время</t>
        </is>
      </c>
      <c r="C67" s="24" t="inlineStr">
        <is>
          <t>час/год</t>
        </is>
      </c>
      <c r="D67" s="55" t="n"/>
      <c r="E67" s="55">
        <f>'Параметры'!C26*E66*(1-'Ввод данных'!G18/(60*'Параметры'!C33))</f>
        <v>4719.773730324075</v>
      </c>
      <c r="F67" s="55">
        <f>'Параметры'!C26*F66*(1-'Ввод данных'!G18/(60*'Параметры'!C33))</f>
        <v>4022.146766782408</v>
      </c>
      <c r="G67" s="55">
        <f>'Параметры'!C26*G66*(1-'Ввод данных'!G18/(60*'Параметры'!C33))</f>
        <v>4170.126572337963</v>
      </c>
      <c r="H67" s="55">
        <f>'Параметры'!C26*H66*(1-'Ввод данных'!G18/(60*'Параметры'!C33))</f>
        <v>3835.529424189815</v>
      </c>
      <c r="I67" s="55">
        <f>'Параметры'!C26*I66*(1-'Ввод данных'!G18/(60*'Параметры'!C33))</f>
        <v>3829.2900503472224</v>
      </c>
      <c r="J67" s="55">
        <f>'Параметры'!C26*J66*(1-'Ввод данных'!G18/(60*'Параметры'!C33))</f>
        <v>4101.726364004629</v>
      </c>
      <c r="K67" s="55">
        <f>'Параметры'!C26*K66*(1-'Ввод данных'!G18/(60*'Параметры'!C33))</f>
        <v>3960.4333530092595</v>
      </c>
      <c r="L67" s="55">
        <f>'Параметры'!C26*L66*(1-'Ввод данных'!G18/(60*'Параметры'!C33))</f>
        <v>4270.115909143519</v>
      </c>
      <c r="M67" s="55">
        <f>'Параметры'!C26*M66*(1-'Ввод данных'!G18/(60*'Параметры'!C33))</f>
        <v>3688.830590277777</v>
      </c>
      <c r="N67" s="55">
        <f>'Параметры'!C26*N66*(1-'Ввод данных'!G18/(60*'Параметры'!C33))</f>
        <v>4182.121125</v>
      </c>
    </row>
    <row r="68">
      <c r="B68" s="22" t="inlineStr">
        <is>
          <t>Производительность</t>
        </is>
      </c>
      <c r="C68" s="24" t="inlineStr">
        <is>
          <t>тыс.м³</t>
        </is>
      </c>
      <c r="D68" s="55" t="n"/>
      <c r="E68" s="55">
        <f>'Производительность'!G10*E67/1000</f>
        <v>2047.2486618795972</v>
      </c>
      <c r="F68" s="55">
        <f>'Производительность'!G10*F67/1000</f>
        <v>1744.6460480242636</v>
      </c>
      <c r="G68" s="55">
        <f>'Производительность'!G10*G67/1000</f>
        <v>1808.8337562108616</v>
      </c>
      <c r="H68" s="55">
        <f>'Производительность'!G10*H67/1000</f>
        <v>1663.6989249764858</v>
      </c>
      <c r="I68" s="55">
        <f>'Производительность'!G10*I67/1000</f>
        <v>1660.9925346959208</v>
      </c>
      <c r="J68" s="55">
        <f>'Производительность'!G10*J67/1000</f>
        <v>1779.164487516261</v>
      </c>
      <c r="K68" s="55">
        <f>'Производительность'!G10*K67/1000</f>
        <v>1717.8772427835884</v>
      </c>
      <c r="L68" s="55">
        <f>'Производительность'!G10*L67/1000</f>
        <v>1852.205122652055</v>
      </c>
      <c r="M68" s="55">
        <f>'Производительность'!G10*M67/1000</f>
        <v>1600.0668509437553</v>
      </c>
      <c r="N68" s="55">
        <f>'Производительность'!G10*N67/1000</f>
        <v>1814.036512378902</v>
      </c>
    </row>
    <row r="69">
      <c r="B69" s="22" t="inlineStr">
        <is>
          <t>Дизтопливо</t>
        </is>
      </c>
      <c r="C69" s="24" t="inlineStr">
        <is>
          <t>тыс.руб</t>
        </is>
      </c>
      <c r="D69" s="55" t="n"/>
      <c r="E69" s="55">
        <f>E67*'Данные по годам'!E24*'Параметры'!C10*(1+'Параметры'!C14)^(E$4-1)/1000</f>
        <v>23818.5892220429</v>
      </c>
      <c r="F69" s="55">
        <f>F67*'Данные по годам'!F24*'Параметры'!C10*(1+'Параметры'!C14)^(F$4-1)/1000</f>
        <v>20297.977636775417</v>
      </c>
      <c r="G69" s="55">
        <f>G67*'Данные по годам'!G24*'Параметры'!C10*(1+'Параметры'!C14)^(G$4-1)/1000</f>
        <v>21044.765598037175</v>
      </c>
      <c r="H69" s="55">
        <f>H67*'Данные по годам'!H24*'Параметры'!C10*(1+'Параметры'!C14)^(H$4-1)/1000</f>
        <v>19356.20328933927</v>
      </c>
      <c r="I69" s="55">
        <f>I67*'Данные по годам'!I24*'Параметры'!C10*(1+'Параметры'!C14)^(I$4-1)/1000</f>
        <v>19324.715957307937</v>
      </c>
      <c r="J69" s="55">
        <f>J67*'Данные по годам'!J24*'Параметры'!C10*(1+'Параметры'!C14)^(J$4-1)/1000</f>
        <v>20699.58030779193</v>
      </c>
      <c r="K69" s="55">
        <f>K67*'Данные по годам'!K24*'Параметры'!C10*(1+'Параметры'!C14)^(K$4-1)/1000</f>
        <v>19986.53761101561</v>
      </c>
      <c r="L69" s="55">
        <f>L67*'Данные по годам'!L24*'Параметры'!C10*(1+'Параметры'!C14)^(L$4-1)/1000</f>
        <v>21549.367105659137</v>
      </c>
      <c r="M69" s="55">
        <f>M67*'Данные по годам'!M24*'Параметры'!C10*(1+'Параметры'!C14)^(M$4-1)/1000</f>
        <v>18615.879819624206</v>
      </c>
      <c r="N69" s="55">
        <f>N67*'Данные по годам'!N24*'Параметры'!C10*(1+'Параметры'!C14)^(N$4-1)/1000</f>
        <v>21105.29674615635</v>
      </c>
    </row>
    <row r="70">
      <c r="B70" s="22" t="inlineStr">
        <is>
          <t>ТОиР и сервис (по годам)</t>
        </is>
      </c>
      <c r="C70" s="24" t="inlineStr">
        <is>
          <t>тыс.руб</t>
        </is>
      </c>
      <c r="D70" s="55" t="n"/>
      <c r="E70" s="55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12787.895071975998</v>
      </c>
      <c r="F70" s="55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14837.886740175998</v>
      </c>
      <c r="G70" s="55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60828.984306975995</v>
      </c>
      <c r="H70" s="55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19867.594471975997</v>
      </c>
      <c r="I70" s="55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60699.874950175996</v>
      </c>
      <c r="J70" s="55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14966.996096976</v>
      </c>
      <c r="K70" s="55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58649.883281976</v>
      </c>
      <c r="L70" s="55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21917.586140175998</v>
      </c>
      <c r="M70" s="55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60828.984306975995</v>
      </c>
      <c r="N70" s="55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14837.886740175998</v>
      </c>
    </row>
    <row r="71">
      <c r="B71" s="22" t="inlineStr">
        <is>
          <t>Расходники на ковш</t>
        </is>
      </c>
      <c r="C71" s="24" t="inlineStr">
        <is>
          <t>тыс.руб</t>
        </is>
      </c>
      <c r="D71" s="55" t="n"/>
      <c r="E71" s="55">
        <f>'Данные по годам'!E25*E68*(1+'Параметры'!C15)^(E$4-1)</f>
        <v>1781.1063358352496</v>
      </c>
      <c r="F71" s="55">
        <f>'Данные по годам'!F25*F68*(1+'Параметры'!C15)^(F$4-1)</f>
        <v>1517.8420617811094</v>
      </c>
      <c r="G71" s="55">
        <f>'Данные по годам'!G25*G68*(1+'Параметры'!C15)^(G$4-1)</f>
        <v>1573.6853679034496</v>
      </c>
      <c r="H71" s="55">
        <f>'Данные по годам'!H25*H68*(1+'Параметры'!C15)^(H$4-1)</f>
        <v>1447.4180647295427</v>
      </c>
      <c r="I71" s="55">
        <f>'Данные по годам'!I25*I68*(1+'Параметры'!C15)^(I$4-1)</f>
        <v>1445.063505185451</v>
      </c>
      <c r="J71" s="55">
        <f>'Данные по годам'!J25*J68*(1+'Параметры'!C15)^(J$4-1)</f>
        <v>1547.873104139147</v>
      </c>
      <c r="K71" s="55">
        <f>'Данные по годам'!K25*K68*(1+'Параметры'!C15)^(K$4-1)</f>
        <v>1494.5532012217218</v>
      </c>
      <c r="L71" s="55">
        <f>'Данные по годам'!L25*L68*(1+'Параметры'!C15)^(L$4-1)</f>
        <v>1611.4184567072878</v>
      </c>
      <c r="M71" s="55">
        <f>'Данные по годам'!M25*M68*(1+'Параметры'!C15)^(M$4-1)</f>
        <v>1392.0581603210671</v>
      </c>
      <c r="N71" s="55">
        <f>'Данные по годам'!N25*N68*(1+'Параметры'!C15)^(N$4-1)</f>
        <v>1578.2117657696447</v>
      </c>
    </row>
    <row r="72">
      <c r="B72" s="22" t="inlineStr">
        <is>
          <t>Персонал</t>
        </is>
      </c>
      <c r="C72" s="24" t="inlineStr">
        <is>
          <t>тыс.руб</t>
        </is>
      </c>
      <c r="D72" s="55" t="n"/>
      <c r="E72" s="55">
        <f>'Ввод данных'!G20*(1+'Параметры'!C16)^(E$4-1)</f>
        <v>10015.0</v>
      </c>
      <c r="F72" s="55">
        <f>'Ввод данных'!G20*(1+'Параметры'!C16)^(F$4-1)</f>
        <v>10015.0</v>
      </c>
      <c r="G72" s="55">
        <f>'Ввод данных'!G20*(1+'Параметры'!C16)^(G$4-1)</f>
        <v>10015.0</v>
      </c>
      <c r="H72" s="55">
        <f>'Ввод данных'!G20*(1+'Параметры'!C16)^(H$4-1)</f>
        <v>10015.0</v>
      </c>
      <c r="I72" s="55">
        <f>'Ввод данных'!G20*(1+'Параметры'!C16)^(I$4-1)</f>
        <v>10015.0</v>
      </c>
      <c r="J72" s="55">
        <f>'Ввод данных'!G20*(1+'Параметры'!C16)^(J$4-1)</f>
        <v>10015.0</v>
      </c>
      <c r="K72" s="55">
        <f>'Ввод данных'!G20*(1+'Параметры'!C16)^(K$4-1)</f>
        <v>10015.0</v>
      </c>
      <c r="L72" s="55">
        <f>'Ввод данных'!G20*(1+'Параметры'!C16)^(L$4-1)</f>
        <v>10015.0</v>
      </c>
      <c r="M72" s="55">
        <f>'Ввод данных'!G20*(1+'Параметры'!C16)^(M$4-1)</f>
        <v>10015.0</v>
      </c>
      <c r="N72" s="55">
        <f>'Ввод данных'!G20*(1+'Параметры'!C16)^(N$4-1)</f>
        <v>10015.0</v>
      </c>
    </row>
    <row r="73">
      <c r="B73" s="22" t="inlineStr">
        <is>
          <t>Итого денежные затраты</t>
        </is>
      </c>
      <c r="C73" s="24" t="inlineStr">
        <is>
          <t>тыс.руб</t>
        </is>
      </c>
      <c r="D73" s="55" t="n"/>
      <c r="E73" s="64">
        <f>E69+E70+E71+E72</f>
        <v>48402.590629854145</v>
      </c>
      <c r="F73" s="64">
        <f>F69+F70+F71+F72</f>
        <v>46668.70643873252</v>
      </c>
      <c r="G73" s="64">
        <f>G69+G70+G71+G72</f>
        <v>93462.43527291663</v>
      </c>
      <c r="H73" s="64">
        <f>H69+H70+H71+H72</f>
        <v>50686.21582604481</v>
      </c>
      <c r="I73" s="64">
        <f>I69+I70+I71+I72</f>
        <v>91484.65441266938</v>
      </c>
      <c r="J73" s="64">
        <f>J69+J70+J71+J72</f>
        <v>47229.44950890707</v>
      </c>
      <c r="K73" s="64">
        <f>K69+K70+K71+K72</f>
        <v>90145.97409421332</v>
      </c>
      <c r="L73" s="64">
        <f>L69+L70+L71+L72</f>
        <v>55093.37170254242</v>
      </c>
      <c r="M73" s="64">
        <f>M69+M70+M71+M72</f>
        <v>90851.92228692128</v>
      </c>
      <c r="N73" s="64">
        <f>N69+N70+N71+N72</f>
        <v>47536.39525210199</v>
      </c>
    </row>
    <row r="74">
      <c r="B74" s="22" t="inlineStr">
        <is>
          <t>Амортизация (НУ)</t>
        </is>
      </c>
      <c r="C74" s="24" t="inlineStr">
        <is>
          <t>тыс.руб</t>
        </is>
      </c>
      <c r="D74" s="55" t="n"/>
      <c r="E74" s="55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42532.99245957447</v>
      </c>
      <c r="F74" s="55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42532.99245957447</v>
      </c>
      <c r="G74" s="55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42532.99245957447</v>
      </c>
      <c r="H74" s="55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42532.99245957447</v>
      </c>
      <c r="I74" s="55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42532.99245957447</v>
      </c>
      <c r="J74" s="55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7230.608718127655</v>
      </c>
      <c r="K74" s="55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74" s="55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74" s="55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74" s="55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75">
      <c r="B75" s="22" t="inlineStr">
        <is>
          <t>Налогооблагаемая база</t>
        </is>
      </c>
      <c r="C75" s="24" t="inlineStr">
        <is>
          <t>тыс.руб</t>
        </is>
      </c>
      <c r="D75" s="55" t="n"/>
      <c r="E75" s="55">
        <f>E73+E74</f>
        <v>90935.5830894286</v>
      </c>
      <c r="F75" s="55">
        <f>F73+F74</f>
        <v>89201.69889830699</v>
      </c>
      <c r="G75" s="55">
        <f>G73+G74</f>
        <v>135995.4277324911</v>
      </c>
      <c r="H75" s="55">
        <f>H73+H74</f>
        <v>93219.20828561927</v>
      </c>
      <c r="I75" s="55">
        <f>I73+I74</f>
        <v>134017.64687224384</v>
      </c>
      <c r="J75" s="55">
        <f>J73+J74</f>
        <v>54460.05822703472</v>
      </c>
      <c r="K75" s="55">
        <f>K73+K74</f>
        <v>90145.97409421332</v>
      </c>
      <c r="L75" s="55">
        <f>L73+L74</f>
        <v>55093.37170254242</v>
      </c>
      <c r="M75" s="55">
        <f>M73+M74</f>
        <v>90851.92228692128</v>
      </c>
      <c r="N75" s="55">
        <f>N73+N74</f>
        <v>47536.39525210199</v>
      </c>
    </row>
    <row r="76">
      <c r="B76" s="22" t="inlineStr">
        <is>
          <t>Налог на прибыль (щит)</t>
        </is>
      </c>
      <c r="C76" s="24" t="inlineStr">
        <is>
          <t>тыс.руб</t>
        </is>
      </c>
      <c r="D76" s="55" t="n"/>
      <c r="E76" s="55">
        <f>-E75*'Параметры'!C7</f>
        <v>-22733.89577235715</v>
      </c>
      <c r="F76" s="55">
        <f>-F75*'Параметры'!C7</f>
        <v>-22300.424724576747</v>
      </c>
      <c r="G76" s="55">
        <f>-G75*'Параметры'!C7</f>
        <v>-33998.85693312278</v>
      </c>
      <c r="H76" s="55">
        <f>-H75*'Параметры'!C7</f>
        <v>-23304.802071404818</v>
      </c>
      <c r="I76" s="55">
        <f>-I75*'Параметры'!C7</f>
        <v>-33504.41171806096</v>
      </c>
      <c r="J76" s="55">
        <f>-J75*'Параметры'!C7</f>
        <v>-13615.01455675868</v>
      </c>
      <c r="K76" s="55">
        <f>-K75*'Параметры'!C7</f>
        <v>-22536.49352355333</v>
      </c>
      <c r="L76" s="55">
        <f>-L75*'Параметры'!C7</f>
        <v>-13773.342925635605</v>
      </c>
      <c r="M76" s="55">
        <f>-M75*'Параметры'!C7</f>
        <v>-22712.98057173032</v>
      </c>
      <c r="N76" s="55">
        <f>-N75*'Параметры'!C7</f>
        <v>-11884.098813025497</v>
      </c>
    </row>
    <row r="77">
      <c r="B77" s="22" t="inlineStr">
        <is>
          <t>Операц. денежный поток</t>
        </is>
      </c>
      <c r="C77" s="24" t="inlineStr">
        <is>
          <t>тыс.руб</t>
        </is>
      </c>
      <c r="D77" s="55" t="n"/>
      <c r="E77" s="64">
        <f>E75+E76-E74</f>
        <v>25668.694857496987</v>
      </c>
      <c r="F77" s="64">
        <f>F75+F76-F74</f>
        <v>24368.281714155775</v>
      </c>
      <c r="G77" s="64">
        <f>G75+G76-G74</f>
        <v>59463.578339793865</v>
      </c>
      <c r="H77" s="64">
        <f>H75+H76-H74</f>
        <v>27381.413754639987</v>
      </c>
      <c r="I77" s="64">
        <f>I75+I76-I74</f>
        <v>57980.242694608416</v>
      </c>
      <c r="J77" s="64">
        <f>J75+J76-J74</f>
        <v>33614.43495214839</v>
      </c>
      <c r="K77" s="64">
        <f>K75+K76-K74</f>
        <v>67609.48057065999</v>
      </c>
      <c r="L77" s="64">
        <f>L75+L76-L74</f>
        <v>41320.028776906816</v>
      </c>
      <c r="M77" s="64">
        <f>M75+M76-M74</f>
        <v>68138.94171519096</v>
      </c>
      <c r="N77" s="64">
        <f>N75+N76-N74</f>
        <v>35652.29643907649</v>
      </c>
    </row>
    <row r="78">
      <c r="B78" s="22" t="inlineStr">
        <is>
          <t>Инвестиции / остаточная ст-ть</t>
        </is>
      </c>
      <c r="C78" s="24" t="inlineStr">
        <is>
          <t>тыс.руб</t>
        </is>
      </c>
      <c r="D78" s="55">
        <f>IF(D$4=0,'Производительность'!G5,IF(D$4='Параметры'!C8,-'Ввод данных'!G14*'Производительность'!G5,0))</f>
        <v>219895.57101599997</v>
      </c>
      <c r="E78" s="55">
        <f>IF(E$4=0,'Производительность'!G5,IF(E$4='Параметры'!C8,-'Ввод данных'!G14*'Производительность'!G5,0))</f>
        <v>0.0</v>
      </c>
      <c r="F78" s="55">
        <f>IF(F$4=0,'Производительность'!G5,IF(F$4='Параметры'!C8,-'Ввод данных'!G14*'Производительность'!G5,0))</f>
        <v>0.0</v>
      </c>
      <c r="G78" s="55">
        <f>IF(G$4=0,'Производительность'!G5,IF(G$4='Параметры'!C8,-'Ввод данных'!G14*'Производительность'!G5,0))</f>
        <v>0.0</v>
      </c>
      <c r="H78" s="55">
        <f>IF(H$4=0,'Производительность'!G5,IF(H$4='Параметры'!C8,-'Ввод данных'!G14*'Производительность'!G5,0))</f>
        <v>0.0</v>
      </c>
      <c r="I78" s="55">
        <f>IF(I$4=0,'Производительность'!G5,IF(I$4='Параметры'!C8,-'Ввод данных'!G14*'Производительность'!G5,0))</f>
        <v>0.0</v>
      </c>
      <c r="J78" s="55">
        <f>IF(J$4=0,'Производительность'!G5,IF(J$4='Параметры'!C8,-'Ввод данных'!G14*'Производительность'!G5,0))</f>
        <v>0.0</v>
      </c>
      <c r="K78" s="55">
        <f>IF(K$4=0,'Производительность'!G5,IF(K$4='Параметры'!C8,-'Ввод данных'!G14*'Производительность'!G5,0))</f>
        <v>0.0</v>
      </c>
      <c r="L78" s="55">
        <f>IF(L$4=0,'Производительность'!G5,IF(L$4='Параметры'!C8,-'Ввод данных'!G14*'Производительность'!G5,0))</f>
        <v>0.0</v>
      </c>
      <c r="M78" s="55">
        <f>IF(M$4=0,'Производительность'!G5,IF(M$4='Параметры'!C8,-'Ввод данных'!G14*'Производительность'!G5,0))</f>
        <v>0.0</v>
      </c>
      <c r="N78" s="55">
        <f>IF(N$4=0,'Производительность'!G5,IF(N$4='Параметры'!C8,-'Ввод данных'!G14*'Производительность'!G5,0))</f>
        <v>-0.0</v>
      </c>
    </row>
    <row r="79">
      <c r="B79" s="22" t="inlineStr">
        <is>
          <t>Чистый денежный поток</t>
        </is>
      </c>
      <c r="C79" s="24" t="inlineStr">
        <is>
          <t>тыс.руб</t>
        </is>
      </c>
      <c r="D79" s="64">
        <f>0+D78</f>
        <v>219895.57101599997</v>
      </c>
      <c r="E79" s="64">
        <f>E77+E78</f>
        <v>25668.694857496987</v>
      </c>
      <c r="F79" s="64">
        <f>F77+F78</f>
        <v>24368.281714155775</v>
      </c>
      <c r="G79" s="64">
        <f>G77+G78</f>
        <v>59463.578339793865</v>
      </c>
      <c r="H79" s="64">
        <f>H77+H78</f>
        <v>27381.413754639987</v>
      </c>
      <c r="I79" s="64">
        <f>I77+I78</f>
        <v>57980.242694608416</v>
      </c>
      <c r="J79" s="64">
        <f>J77+J78</f>
        <v>33614.43495214839</v>
      </c>
      <c r="K79" s="64">
        <f>K77+K78</f>
        <v>67609.48057065999</v>
      </c>
      <c r="L79" s="64">
        <f>L77+L78</f>
        <v>41320.028776906816</v>
      </c>
      <c r="M79" s="64">
        <f>M77+M78</f>
        <v>68138.94171519096</v>
      </c>
      <c r="N79" s="64">
        <f>N77+N78</f>
        <v>35652.29643907649</v>
      </c>
    </row>
    <row r="80">
      <c r="B80" s="22" t="inlineStr">
        <is>
          <t>Дисконтированный поток</t>
        </is>
      </c>
      <c r="C80" s="24" t="inlineStr">
        <is>
          <t>тыс.руб</t>
        </is>
      </c>
      <c r="D80" s="55">
        <f>D79*D$6</f>
        <v>219895.57101599997</v>
      </c>
      <c r="E80" s="55">
        <f>E79*E$6</f>
        <v>22918.477551336593</v>
      </c>
      <c r="F80" s="55">
        <f>F79*F$6</f>
        <v>19426.244988963466</v>
      </c>
      <c r="G80" s="55">
        <f>G79*G$6</f>
        <v>42325.00052657065</v>
      </c>
      <c r="H80" s="55">
        <f>H79*H$6</f>
        <v>17401.383453356415</v>
      </c>
      <c r="I80" s="55">
        <f>I79*I$6</f>
        <v>32899.54680600293</v>
      </c>
      <c r="J80" s="55">
        <f>J79*J$6</f>
        <v>17030.118867549052</v>
      </c>
      <c r="K80" s="55">
        <f>K79*K$6</f>
        <v>30583.095485472983</v>
      </c>
      <c r="L80" s="55">
        <f>L79*L$6</f>
        <v>16688.466602617544</v>
      </c>
      <c r="M80" s="55">
        <f>M79*M$6</f>
        <v>24571.585474133397</v>
      </c>
      <c r="N80" s="55">
        <f>N79*N$6</f>
        <v>11479.085276380401</v>
      </c>
    </row>
    <row r="81">
      <c r="B81" s="22" t="inlineStr">
        <is>
          <t>Кумул. дисконт. поток</t>
        </is>
      </c>
      <c r="C81" s="24" t="inlineStr">
        <is>
          <t>тыс.руб</t>
        </is>
      </c>
      <c r="D81" s="55">
        <f>SUM($D80:D80)</f>
        <v>219895.57101599997</v>
      </c>
      <c r="E81" s="55">
        <f>SUM($D80:E80)</f>
        <v>242814.04856733658</v>
      </c>
      <c r="F81" s="55">
        <f>SUM($D80:F80)</f>
        <v>262240.29355630005</v>
      </c>
      <c r="G81" s="55">
        <f>SUM($D80:G80)</f>
        <v>304565.2940828707</v>
      </c>
      <c r="H81" s="55">
        <f>SUM($D80:H80)</f>
        <v>321966.6775362271</v>
      </c>
      <c r="I81" s="55">
        <f>SUM($D80:I80)</f>
        <v>354866.22434223</v>
      </c>
      <c r="J81" s="55">
        <f>SUM($D80:J80)</f>
        <v>371896.34320977906</v>
      </c>
      <c r="K81" s="55">
        <f>SUM($D80:K80)</f>
        <v>402479.43869525206</v>
      </c>
      <c r="L81" s="55">
        <f>SUM($D80:L80)</f>
        <v>419167.9052978696</v>
      </c>
      <c r="M81" s="55">
        <f>SUM($D80:M80)</f>
        <v>443739.49077200296</v>
      </c>
      <c r="N81" s="55">
        <f>SUM($D80:N80)</f>
        <v>455218.5760483834</v>
      </c>
    </row>
    <row r="82">
      <c r="B82" s="37" t="inlineStr">
        <is>
          <t>Аннуитет по году</t>
        </is>
      </c>
      <c r="C82" s="24" t="inlineStr">
        <is>
          <t>руб/м³</t>
        </is>
      </c>
      <c r="D82" s="65" t="n"/>
      <c r="E82" s="65">
        <f>SUM($D80:E80)/SUM($E$6:E$6)/(SUM($E68:E68)/E$4)</f>
        <v>132.83766620989542</v>
      </c>
      <c r="F82" s="65">
        <f>SUM($D80:F80)/SUM($E$6:F$6)/(SUM($E68:F68)/F$4)</f>
        <v>81.8414532972041</v>
      </c>
      <c r="G82" s="65">
        <f>SUM($D80:G80)/SUM($E$6:G$6)/(SUM($E68:G68)/G$4)</f>
        <v>67.92265531478753</v>
      </c>
      <c r="H82" s="65">
        <f>SUM($D80:H80)/SUM($E$6:H$6)/(SUM($E68:H68)/H$4)</f>
        <v>58.36799619904119</v>
      </c>
      <c r="I82" s="65">
        <f>SUM($D80:I80)/SUM($E$6:I$6)/(SUM($E68:I68)/I$4)</f>
        <v>55.14773813907051</v>
      </c>
      <c r="J82" s="65">
        <f>SUM($D80:J80)/SUM($E$6:J$6)/(SUM($E68:J68)/J$4)</f>
        <v>50.700570016119165</v>
      </c>
      <c r="K82" s="65">
        <f>SUM($D80:K80)/SUM($E$6:K$6)/(SUM($E68:K68)/K$4)</f>
        <v>49.6948753449259</v>
      </c>
      <c r="L82" s="65">
        <f>SUM($D80:L80)/SUM($E$6:L$6)/(SUM($E68:L68)/L$4)</f>
        <v>47.289196537191685</v>
      </c>
      <c r="M82" s="65">
        <f>SUM($D80:M80)/SUM($E$6:M$6)/(SUM($E68:M68)/M$4)</f>
        <v>47.214953539018076</v>
      </c>
      <c r="N82" s="65">
        <f>SUM($D80:N80)/SUM($E$6:N$6)/(SUM($E68:N68)/N$4)</f>
        <v>45.546682185880485</v>
      </c>
    </row>
    <row r="84">
      <c r="B84" s="5" t="str">
        <f>"Вариант 5:  "&amp;'Ввод данных'!H7</f>
        <v>Вариант 5:  Shantui SE2000LCW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B85" s="22" t="inlineStr">
        <is>
          <t>КТГ</t>
        </is>
      </c>
      <c r="C85" s="24" t="inlineStr">
        <is>
          <t>коэф.</t>
        </is>
      </c>
      <c r="D85" s="58" t="n"/>
      <c r="E85" s="58">
        <f>'Данные по годам'!E27</f>
        <v>0.8546521435819382</v>
      </c>
      <c r="F85" s="58">
        <f>'Данные по годам'!F27</f>
        <v>0.728326515728057</v>
      </c>
      <c r="G85" s="58">
        <f>'Данные по годам'!G27</f>
        <v>0.7551225583460174</v>
      </c>
      <c r="H85" s="58">
        <f>'Данные по годам'!H27</f>
        <v>0.6945340246067987</v>
      </c>
      <c r="I85" s="58">
        <f>'Данные по годам'!I27</f>
        <v>0.6934042047184171</v>
      </c>
      <c r="J85" s="58">
        <f>'Данные по годам'!J27</f>
        <v>0.7427367135971588</v>
      </c>
      <c r="K85" s="58">
        <f>'Данные по годам'!K27</f>
        <v>0.7171515093860985</v>
      </c>
      <c r="L85" s="58">
        <f>'Данные по годам'!L27</f>
        <v>0.7732285324708271</v>
      </c>
      <c r="M85" s="58">
        <f>'Данные по годам'!M27</f>
        <v>0.6679699391171994</v>
      </c>
      <c r="N85" s="58">
        <f>'Данные по годам'!N27</f>
        <v>0.7572945205479452</v>
      </c>
    </row>
    <row r="86">
      <c r="B86" s="22" t="inlineStr">
        <is>
          <t>Эффективное время</t>
        </is>
      </c>
      <c r="C86" s="24" t="inlineStr">
        <is>
          <t>час/год</t>
        </is>
      </c>
      <c r="D86" s="55" t="n"/>
      <c r="E86" s="55">
        <f>'Параметры'!C26*E85*(1-'Ввод данных'!H18/(60*'Параметры'!C33))</f>
        <v>4719.773730324075</v>
      </c>
      <c r="F86" s="55">
        <f>'Параметры'!C26*F85*(1-'Ввод данных'!H18/(60*'Параметры'!C33))</f>
        <v>4022.146766782408</v>
      </c>
      <c r="G86" s="55">
        <f>'Параметры'!C26*G85*(1-'Ввод данных'!H18/(60*'Параметры'!C33))</f>
        <v>4170.126572337963</v>
      </c>
      <c r="H86" s="55">
        <f>'Параметры'!C26*H85*(1-'Ввод данных'!H18/(60*'Параметры'!C33))</f>
        <v>3835.529424189815</v>
      </c>
      <c r="I86" s="55">
        <f>'Параметры'!C26*I85*(1-'Ввод данных'!H18/(60*'Параметры'!C33))</f>
        <v>3829.2900503472224</v>
      </c>
      <c r="J86" s="55">
        <f>'Параметры'!C26*J85*(1-'Ввод данных'!H18/(60*'Параметры'!C33))</f>
        <v>4101.726364004629</v>
      </c>
      <c r="K86" s="55">
        <f>'Параметры'!C26*K85*(1-'Ввод данных'!H18/(60*'Параметры'!C33))</f>
        <v>3960.4333530092595</v>
      </c>
      <c r="L86" s="55">
        <f>'Параметры'!C26*L85*(1-'Ввод данных'!H18/(60*'Параметры'!C33))</f>
        <v>4270.115909143519</v>
      </c>
      <c r="M86" s="55">
        <f>'Параметры'!C26*M85*(1-'Ввод данных'!H18/(60*'Параметры'!C33))</f>
        <v>3688.830590277777</v>
      </c>
      <c r="N86" s="55">
        <f>'Параметры'!C26*N85*(1-'Ввод данных'!H18/(60*'Параметры'!C33))</f>
        <v>4182.121125</v>
      </c>
    </row>
    <row r="87">
      <c r="B87" s="22" t="inlineStr">
        <is>
          <t>Производительность</t>
        </is>
      </c>
      <c r="C87" s="24" t="inlineStr">
        <is>
          <t>тыс.м³</t>
        </is>
      </c>
      <c r="D87" s="55" t="n"/>
      <c r="E87" s="55">
        <f>'Производительность'!H10*E86/1000</f>
        <v>2047.2486618795972</v>
      </c>
      <c r="F87" s="55">
        <f>'Производительность'!H10*F86/1000</f>
        <v>1744.6460480242636</v>
      </c>
      <c r="G87" s="55">
        <f>'Производительность'!H10*G86/1000</f>
        <v>1808.8337562108616</v>
      </c>
      <c r="H87" s="55">
        <f>'Производительность'!H10*H86/1000</f>
        <v>1663.6989249764858</v>
      </c>
      <c r="I87" s="55">
        <f>'Производительность'!H10*I86/1000</f>
        <v>1660.9925346959208</v>
      </c>
      <c r="J87" s="55">
        <f>'Производительность'!H10*J86/1000</f>
        <v>1779.164487516261</v>
      </c>
      <c r="K87" s="55">
        <f>'Производительность'!H10*K86/1000</f>
        <v>1717.8772427835884</v>
      </c>
      <c r="L87" s="55">
        <f>'Производительность'!H10*L86/1000</f>
        <v>1852.205122652055</v>
      </c>
      <c r="M87" s="55">
        <f>'Производительность'!H10*M86/1000</f>
        <v>1600.0668509437553</v>
      </c>
      <c r="N87" s="55">
        <f>'Производительность'!H10*N86/1000</f>
        <v>1814.036512378902</v>
      </c>
    </row>
    <row r="88">
      <c r="B88" s="22" t="inlineStr">
        <is>
          <t>Дизтопливо</t>
        </is>
      </c>
      <c r="C88" s="24" t="inlineStr">
        <is>
          <t>тыс.руб</t>
        </is>
      </c>
      <c r="D88" s="55" t="n"/>
      <c r="E88" s="55">
        <f>E86*'Данные по годам'!E29*'Параметры'!C10*(1+'Параметры'!C14)^(E$4-1)/1000</f>
        <v>26396.089750634237</v>
      </c>
      <c r="F88" s="55">
        <f>F86*'Данные по годам'!F29*'Параметры'!C10*(1+'Параметры'!C14)^(F$4-1)/1000</f>
        <v>22494.4993367133</v>
      </c>
      <c r="G88" s="55">
        <f>G86*'Данные по годам'!G29*'Параметры'!C10*(1+'Параметры'!C14)^(G$4-1)/1000</f>
        <v>23322.100076051633</v>
      </c>
      <c r="H88" s="55">
        <f>H86*'Данные по годам'!H29*'Параметры'!C10*(1+'Параметры'!C14)^(H$4-1)/1000</f>
        <v>21450.81198948941</v>
      </c>
      <c r="I88" s="55">
        <f>I86*'Данные по годам'!I29*'Параметры'!C10*(1+'Параметры'!C14)^(I$4-1)/1000</f>
        <v>21415.917292974897</v>
      </c>
      <c r="J88" s="55">
        <f>J86*'Данные по годам'!J29*'Параметры'!C10*(1+'Параметры'!C14)^(J$4-1)/1000</f>
        <v>22939.560966914127</v>
      </c>
      <c r="K88" s="55">
        <f>K86*'Данные по годам'!K29*'Параметры'!C10*(1+'Параметры'!C14)^(K$4-1)/1000</f>
        <v>22149.357196040764</v>
      </c>
      <c r="L88" s="55">
        <f>L86*'Данные по годам'!L29*'Параметры'!C10*(1+'Параметры'!C14)^(L$4-1)/1000</f>
        <v>23881.30644043059</v>
      </c>
      <c r="M88" s="55">
        <f>M86*'Данные по годам'!M29*'Параметры'!C10*(1+'Параметры'!C14)^(M$4-1)/1000</f>
        <v>20630.37528902291</v>
      </c>
      <c r="N88" s="55">
        <f>N86*'Данные по годам'!N29*'Параметры'!C10*(1+'Параметры'!C14)^(N$4-1)/1000</f>
        <v>23389.181530942496</v>
      </c>
    </row>
    <row r="89">
      <c r="B89" s="22" t="inlineStr">
        <is>
          <t>ТОиР и сервис (по годам)</t>
        </is>
      </c>
      <c r="C89" s="24" t="inlineStr">
        <is>
          <t>тыс.руб</t>
        </is>
      </c>
      <c r="D89" s="55" t="n"/>
      <c r="E89" s="55">
        <f>'Данные по годам'!E28*IF('Данные по годам'!$D$28="CNY",'Параметры'!C20,IF('Данные по годам'!$D$28="USD",'Параметры'!C21,IF('Данные по годам'!$D$28="EUR",'Параметры'!C22,1)))</f>
        <v>13575.051069136</v>
      </c>
      <c r="F89" s="55">
        <f>'Данные по годам'!F28*IF('Данные по годам'!$D$28="CNY",'Параметры'!C20,IF('Данные по годам'!$D$28="USD",'Параметры'!C21,IF('Данные по годам'!$D$28="EUR",'Параметры'!C22,1)))</f>
        <v>93509.89682309599</v>
      </c>
      <c r="G89" s="55">
        <f>'Данные по годам'!G28*IF('Данные по годам'!$D$28="CNY",'Параметры'!C20,IF('Данные по годам'!$D$28="USD",'Параметры'!C21,IF('Данные по годам'!$D$28="EUR",'Параметры'!C22,1)))</f>
        <v>581126.621411116</v>
      </c>
      <c r="H89" s="55">
        <f>'Данные по годам'!H28*IF('Данные по годам'!$D$28="CNY",'Параметры'!C20,IF('Данные по годам'!$D$28="USD",'Параметры'!C21,IF('Данные по годам'!$D$28="EUR",'Параметры'!C22,1)))</f>
        <v>248456.48716953595</v>
      </c>
      <c r="I89" s="55">
        <f>'Данные по годам'!I28*IF('Данные по годам'!$D$28="CNY",'Параметры'!C20,IF('Данные по годам'!$D$28="USD",'Параметры'!C21,IF('Данные по годам'!$D$28="EUR",'Параметры'!C22,1)))</f>
        <v>191618.70395327595</v>
      </c>
      <c r="J89" s="55">
        <f>'Данные по годам'!J28*IF('Данные по годам'!$D$28="CNY",'Параметры'!C20,IF('Данные по годам'!$D$28="USD",'Параметры'!C21,IF('Данные по годам'!$D$28="EUR",'Параметры'!C22,1)))</f>
        <v>664371.660551636</v>
      </c>
      <c r="K89" s="55">
        <f>'Данные по годам'!K28*IF('Данные по годам'!$D$28="CNY",'Параметры'!C20,IF('Данные по годам'!$D$28="USD",'Параметры'!C21,IF('Данные по годам'!$D$28="EUR",'Параметры'!C22,1)))</f>
        <v>248456.48716953595</v>
      </c>
      <c r="L89" s="55">
        <f>'Данные по годам'!L28*IF('Данные по годам'!$D$28="CNY",'Параметры'!C20,IF('Данные по годам'!$D$28="USD",'Параметры'!C21,IF('Данные по годам'!$D$28="EUR",'Параметры'!C22,1)))</f>
        <v>581126.621411116</v>
      </c>
      <c r="M89" s="55">
        <f>'Данные по годам'!M28*IF('Данные по годам'!$D$28="CNY",'Параметры'!C20,IF('Данные по годам'!$D$28="USD",'Параметры'!C21,IF('Данные по годам'!$D$28="EUR",'Параметры'!C22,1)))</f>
        <v>271553.549707236</v>
      </c>
      <c r="N89" s="55">
        <f>'Данные по годам'!N28*IF('Данные по годам'!$D$28="CNY",'Параметры'!C20,IF('Данные по годам'!$D$28="USD",'Параметры'!C21,IF('Данные по годам'!$D$28="EUR",'Параметры'!C22,1)))</f>
        <v>13575.051069136</v>
      </c>
    </row>
    <row r="90">
      <c r="B90" s="22" t="inlineStr">
        <is>
          <t>Расходники на ковш</t>
        </is>
      </c>
      <c r="C90" s="24" t="inlineStr">
        <is>
          <t>тыс.руб</t>
        </is>
      </c>
      <c r="D90" s="55" t="n"/>
      <c r="E90" s="55">
        <f>'Данные по годам'!E30*E87*(1+'Параметры'!C15)^(E$4-1)</f>
        <v>1781.1063358352496</v>
      </c>
      <c r="F90" s="55">
        <f>'Данные по годам'!F30*F87*(1+'Параметры'!C15)^(F$4-1)</f>
        <v>1517.8420617811094</v>
      </c>
      <c r="G90" s="55">
        <f>'Данные по годам'!G30*G87*(1+'Параметры'!C15)^(G$4-1)</f>
        <v>1573.6853679034496</v>
      </c>
      <c r="H90" s="55">
        <f>'Данные по годам'!H30*H87*(1+'Параметры'!C15)^(H$4-1)</f>
        <v>1447.4180647295427</v>
      </c>
      <c r="I90" s="55">
        <f>'Данные по годам'!I30*I87*(1+'Параметры'!C15)^(I$4-1)</f>
        <v>1445.063505185451</v>
      </c>
      <c r="J90" s="55">
        <f>'Данные по годам'!J30*J87*(1+'Параметры'!C15)^(J$4-1)</f>
        <v>1547.873104139147</v>
      </c>
      <c r="K90" s="55">
        <f>'Данные по годам'!K30*K87*(1+'Параметры'!C15)^(K$4-1)</f>
        <v>1494.5532012217218</v>
      </c>
      <c r="L90" s="55">
        <f>'Данные по годам'!L30*L87*(1+'Параметры'!C15)^(L$4-1)</f>
        <v>1611.4184567072878</v>
      </c>
      <c r="M90" s="55">
        <f>'Данные по годам'!M30*M87*(1+'Параметры'!C15)^(M$4-1)</f>
        <v>1392.0581603210671</v>
      </c>
      <c r="N90" s="55">
        <f>'Данные по годам'!N30*N87*(1+'Параметры'!C15)^(N$4-1)</f>
        <v>1578.2117657696447</v>
      </c>
    </row>
    <row r="91">
      <c r="B91" s="22" t="inlineStr">
        <is>
          <t>Персонал</t>
        </is>
      </c>
      <c r="C91" s="24" t="inlineStr">
        <is>
          <t>тыс.руб</t>
        </is>
      </c>
      <c r="D91" s="55" t="n"/>
      <c r="E91" s="55">
        <f>'Ввод данных'!H20*(1+'Параметры'!C16)^(E$4-1)</f>
        <v>10015.0</v>
      </c>
      <c r="F91" s="55">
        <f>'Ввод данных'!H20*(1+'Параметры'!C16)^(F$4-1)</f>
        <v>10015.0</v>
      </c>
      <c r="G91" s="55">
        <f>'Ввод данных'!H20*(1+'Параметры'!C16)^(G$4-1)</f>
        <v>10015.0</v>
      </c>
      <c r="H91" s="55">
        <f>'Ввод данных'!H20*(1+'Параметры'!C16)^(H$4-1)</f>
        <v>10015.0</v>
      </c>
      <c r="I91" s="55">
        <f>'Ввод данных'!H20*(1+'Параметры'!C16)^(I$4-1)</f>
        <v>10015.0</v>
      </c>
      <c r="J91" s="55">
        <f>'Ввод данных'!H20*(1+'Параметры'!C16)^(J$4-1)</f>
        <v>10015.0</v>
      </c>
      <c r="K91" s="55">
        <f>'Ввод данных'!H20*(1+'Параметры'!C16)^(K$4-1)</f>
        <v>10015.0</v>
      </c>
      <c r="L91" s="55">
        <f>'Ввод данных'!H20*(1+'Параметры'!C16)^(L$4-1)</f>
        <v>10015.0</v>
      </c>
      <c r="M91" s="55">
        <f>'Ввод данных'!H20*(1+'Параметры'!C16)^(M$4-1)</f>
        <v>10015.0</v>
      </c>
      <c r="N91" s="55">
        <f>'Ввод данных'!H20*(1+'Параметры'!C16)^(N$4-1)</f>
        <v>10015.0</v>
      </c>
    </row>
    <row r="92">
      <c r="B92" s="22" t="inlineStr">
        <is>
          <t>Итого денежные затраты</t>
        </is>
      </c>
      <c r="C92" s="24" t="inlineStr">
        <is>
          <t>тыс.руб</t>
        </is>
      </c>
      <c r="D92" s="55" t="n"/>
      <c r="E92" s="64">
        <f>E88+E89+E90+E91</f>
        <v>51767.24715560549</v>
      </c>
      <c r="F92" s="64">
        <f>F88+F89+F90+F91</f>
        <v>127537.23822159039</v>
      </c>
      <c r="G92" s="64">
        <f>G88+G89+G90+G91</f>
        <v>616037.4068550711</v>
      </c>
      <c r="H92" s="64">
        <f>H88+H89+H90+H91</f>
        <v>281369.7172237549</v>
      </c>
      <c r="I92" s="64">
        <f>I88+I89+I90+I91</f>
        <v>224494.6847514363</v>
      </c>
      <c r="J92" s="64">
        <f>J88+J89+J90+J91</f>
        <v>698874.0946226893</v>
      </c>
      <c r="K92" s="64">
        <f>K88+K89+K90+K91</f>
        <v>282115.39756679843</v>
      </c>
      <c r="L92" s="64">
        <f>L88+L89+L90+L91</f>
        <v>616634.3463082538</v>
      </c>
      <c r="M92" s="64">
        <f>M88+M89+M90+M91</f>
        <v>303590.98315658</v>
      </c>
      <c r="N92" s="64">
        <f>N88+N89+N90+N91</f>
        <v>48557.44436584814</v>
      </c>
    </row>
    <row r="93">
      <c r="B93" s="22" t="inlineStr">
        <is>
          <t>Амортизация (НУ)</t>
        </is>
      </c>
      <c r="C93" s="24" t="inlineStr">
        <is>
          <t>тыс.руб</t>
        </is>
      </c>
      <c r="D93" s="55" t="n"/>
      <c r="E93" s="55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36291.0649787234</v>
      </c>
      <c r="F93" s="55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36291.0649787234</v>
      </c>
      <c r="G93" s="55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36291.0649787234</v>
      </c>
      <c r="H93" s="55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36291.0649787234</v>
      </c>
      <c r="I93" s="55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36291.0649787234</v>
      </c>
      <c r="J93" s="55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6169.481046382975</v>
      </c>
      <c r="K93" s="55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93" s="55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93" s="55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93" s="55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94">
      <c r="B94" s="22" t="inlineStr">
        <is>
          <t>Налогооблагаемая база</t>
        </is>
      </c>
      <c r="C94" s="24" t="inlineStr">
        <is>
          <t>тыс.руб</t>
        </is>
      </c>
      <c r="D94" s="55" t="n"/>
      <c r="E94" s="55">
        <f>E92+E93</f>
        <v>88058.31213432888</v>
      </c>
      <c r="F94" s="55">
        <f>F92+F93</f>
        <v>163828.3032003138</v>
      </c>
      <c r="G94" s="55">
        <f>G92+G93</f>
        <v>652328.4718337945</v>
      </c>
      <c r="H94" s="55">
        <f>H92+H93</f>
        <v>317660.7822024783</v>
      </c>
      <c r="I94" s="55">
        <f>I92+I93</f>
        <v>260785.7497301597</v>
      </c>
      <c r="J94" s="55">
        <f>J92+J93</f>
        <v>705043.5756690722</v>
      </c>
      <c r="K94" s="55">
        <f>K92+K93</f>
        <v>282115.39756679843</v>
      </c>
      <c r="L94" s="55">
        <f>L92+L93</f>
        <v>616634.3463082538</v>
      </c>
      <c r="M94" s="55">
        <f>M92+M93</f>
        <v>303590.98315658</v>
      </c>
      <c r="N94" s="55">
        <f>N92+N93</f>
        <v>48557.44436584814</v>
      </c>
    </row>
    <row r="95">
      <c r="B95" s="22" t="inlineStr">
        <is>
          <t>Налог на прибыль (щит)</t>
        </is>
      </c>
      <c r="C95" s="24" t="inlineStr">
        <is>
          <t>тыс.руб</t>
        </is>
      </c>
      <c r="D95" s="55" t="n"/>
      <c r="E95" s="55">
        <f>-E94*'Параметры'!C7</f>
        <v>-22014.57803358222</v>
      </c>
      <c r="F95" s="55">
        <f>-F94*'Параметры'!C7</f>
        <v>-40957.07580007845</v>
      </c>
      <c r="G95" s="55">
        <f>-G94*'Параметры'!C7</f>
        <v>-163082.11795844862</v>
      </c>
      <c r="H95" s="55">
        <f>-H94*'Параметры'!C7</f>
        <v>-79415.19555061958</v>
      </c>
      <c r="I95" s="55">
        <f>-I94*'Параметры'!C7</f>
        <v>-65196.437432539926</v>
      </c>
      <c r="J95" s="55">
        <f>-J94*'Параметры'!C7</f>
        <v>-176260.89391726805</v>
      </c>
      <c r="K95" s="55">
        <f>-K94*'Параметры'!C7</f>
        <v>-70528.84939169961</v>
      </c>
      <c r="L95" s="55">
        <f>-L94*'Параметры'!C7</f>
        <v>-154158.58657706346</v>
      </c>
      <c r="M95" s="55">
        <f>-M94*'Параметры'!C7</f>
        <v>-75897.745789145</v>
      </c>
      <c r="N95" s="55">
        <f>-N94*'Параметры'!C7</f>
        <v>-12139.361091462035</v>
      </c>
    </row>
    <row r="96">
      <c r="B96" s="22" t="inlineStr">
        <is>
          <t>Операц. денежный поток</t>
        </is>
      </c>
      <c r="C96" s="24" t="inlineStr">
        <is>
          <t>тыс.руб</t>
        </is>
      </c>
      <c r="D96" s="55" t="n"/>
      <c r="E96" s="64">
        <f>E94+E95-E93</f>
        <v>29752.66912202326</v>
      </c>
      <c r="F96" s="64">
        <f>F94+F95-F93</f>
        <v>86580.16242151194</v>
      </c>
      <c r="G96" s="64">
        <f>G94+G95-G93</f>
        <v>452955.2888966225</v>
      </c>
      <c r="H96" s="64">
        <f>H94+H95-H93</f>
        <v>201954.52167313534</v>
      </c>
      <c r="I96" s="64">
        <f>I94+I95-I93</f>
        <v>159298.24731889635</v>
      </c>
      <c r="J96" s="64">
        <f>J94+J95-J93</f>
        <v>522613.2007054212</v>
      </c>
      <c r="K96" s="64">
        <f>K94+K95-K93</f>
        <v>211586.54817509884</v>
      </c>
      <c r="L96" s="64">
        <f>L94+L95-L93</f>
        <v>462475.7597311904</v>
      </c>
      <c r="M96" s="64">
        <f>M94+M95-M93</f>
        <v>227693.237367435</v>
      </c>
      <c r="N96" s="64">
        <f>N94+N95-N93</f>
        <v>36418.0832743861</v>
      </c>
    </row>
    <row r="97">
      <c r="B97" s="22" t="inlineStr">
        <is>
          <t>Инвестиции / остаточная ст-ть</t>
        </is>
      </c>
      <c r="C97" s="24" t="inlineStr">
        <is>
          <t>тыс.руб</t>
        </is>
      </c>
      <c r="D97" s="55">
        <f>IF(D$4=0,'Производительность'!H5,IF(D$4='Параметры'!C8,-'Ввод данных'!H14*'Производительность'!H5,0))</f>
        <v>187624.80594</v>
      </c>
      <c r="E97" s="55">
        <f>IF(E$4=0,'Производительность'!H5,IF(E$4='Параметры'!C8,-'Ввод данных'!H14*'Производительность'!H5,0))</f>
        <v>0.0</v>
      </c>
      <c r="F97" s="55">
        <f>IF(F$4=0,'Производительность'!H5,IF(F$4='Параметры'!C8,-'Ввод данных'!H14*'Производительность'!H5,0))</f>
        <v>0.0</v>
      </c>
      <c r="G97" s="55">
        <f>IF(G$4=0,'Производительность'!H5,IF(G$4='Параметры'!C8,-'Ввод данных'!H14*'Производительность'!H5,0))</f>
        <v>0.0</v>
      </c>
      <c r="H97" s="55">
        <f>IF(H$4=0,'Производительность'!H5,IF(H$4='Параметры'!C8,-'Ввод данных'!H14*'Производительность'!H5,0))</f>
        <v>0.0</v>
      </c>
      <c r="I97" s="55">
        <f>IF(I$4=0,'Производительность'!H5,IF(I$4='Параметры'!C8,-'Ввод данных'!H14*'Производительность'!H5,0))</f>
        <v>0.0</v>
      </c>
      <c r="J97" s="55">
        <f>IF(J$4=0,'Производительность'!H5,IF(J$4='Параметры'!C8,-'Ввод данных'!H14*'Производительность'!H5,0))</f>
        <v>0.0</v>
      </c>
      <c r="K97" s="55">
        <f>IF(K$4=0,'Производительность'!H5,IF(K$4='Параметры'!C8,-'Ввод данных'!H14*'Производительность'!H5,0))</f>
        <v>0.0</v>
      </c>
      <c r="L97" s="55">
        <f>IF(L$4=0,'Производительность'!H5,IF(L$4='Параметры'!C8,-'Ввод данных'!H14*'Производительность'!H5,0))</f>
        <v>0.0</v>
      </c>
      <c r="M97" s="55">
        <f>IF(M$4=0,'Производительность'!H5,IF(M$4='Параметры'!C8,-'Ввод данных'!H14*'Производительность'!H5,0))</f>
        <v>0.0</v>
      </c>
      <c r="N97" s="55">
        <f>IF(N$4=0,'Производительность'!H5,IF(N$4='Параметры'!C8,-'Ввод данных'!H14*'Производительность'!H5,0))</f>
        <v>-0.0</v>
      </c>
    </row>
    <row r="98">
      <c r="B98" s="22" t="inlineStr">
        <is>
          <t>Чистый денежный поток</t>
        </is>
      </c>
      <c r="C98" s="24" t="inlineStr">
        <is>
          <t>тыс.руб</t>
        </is>
      </c>
      <c r="D98" s="64">
        <f>0+D97</f>
        <v>187624.80594</v>
      </c>
      <c r="E98" s="64">
        <f>E96+E97</f>
        <v>29752.66912202326</v>
      </c>
      <c r="F98" s="64">
        <f>F96+F97</f>
        <v>86580.16242151194</v>
      </c>
      <c r="G98" s="64">
        <f>G96+G97</f>
        <v>452955.2888966225</v>
      </c>
      <c r="H98" s="64">
        <f>H96+H97</f>
        <v>201954.52167313534</v>
      </c>
      <c r="I98" s="64">
        <f>I96+I97</f>
        <v>159298.24731889635</v>
      </c>
      <c r="J98" s="64">
        <f>J96+J97</f>
        <v>522613.2007054212</v>
      </c>
      <c r="K98" s="64">
        <f>K96+K97</f>
        <v>211586.54817509884</v>
      </c>
      <c r="L98" s="64">
        <f>L96+L97</f>
        <v>462475.7597311904</v>
      </c>
      <c r="M98" s="64">
        <f>M96+M97</f>
        <v>227693.237367435</v>
      </c>
      <c r="N98" s="64">
        <f>N96+N97</f>
        <v>36418.0832743861</v>
      </c>
    </row>
    <row r="99">
      <c r="B99" s="22" t="inlineStr">
        <is>
          <t>Дисконтированный поток</t>
        </is>
      </c>
      <c r="C99" s="24" t="inlineStr">
        <is>
          <t>тыс.руб</t>
        </is>
      </c>
      <c r="D99" s="55">
        <f>D98*D$6</f>
        <v>187624.80594</v>
      </c>
      <c r="E99" s="55">
        <f>E98*E$6</f>
        <v>26564.883144663625</v>
      </c>
      <c r="F99" s="55">
        <f>F98*F$6</f>
        <v>69021.17539980225</v>
      </c>
      <c r="G99" s="55">
        <f>G98*G$6</f>
        <v>322404.6277792331</v>
      </c>
      <c r="H99" s="55">
        <f>H98*H$6</f>
        <v>128345.74953887779</v>
      </c>
      <c r="I99" s="55">
        <f>I98*I$6</f>
        <v>90390.10359764512</v>
      </c>
      <c r="J99" s="55">
        <f>J98*J$6</f>
        <v>264772.1118154556</v>
      </c>
      <c r="K99" s="55">
        <f>K98*K$6</f>
        <v>95711.00904284776</v>
      </c>
      <c r="L99" s="55">
        <f>L98*L$6</f>
        <v>186786.20270244428</v>
      </c>
      <c r="M99" s="55">
        <f>M98*M$6</f>
        <v>82108.46401520744</v>
      </c>
      <c r="N99" s="55">
        <f>N98*N$6</f>
        <v>11725.648142283582</v>
      </c>
    </row>
    <row r="100">
      <c r="B100" s="22" t="inlineStr">
        <is>
          <t>Кумул. дисконт. поток</t>
        </is>
      </c>
      <c r="C100" s="24" t="inlineStr">
        <is>
          <t>тыс.руб</t>
        </is>
      </c>
      <c r="D100" s="55">
        <f>SUM($D99:D99)</f>
        <v>187624.80594</v>
      </c>
      <c r="E100" s="55">
        <f>SUM($D99:E99)</f>
        <v>214189.6890846636</v>
      </c>
      <c r="F100" s="55">
        <f>SUM($D99:F99)</f>
        <v>283210.86448446586</v>
      </c>
      <c r="G100" s="55">
        <f>SUM($D99:G99)</f>
        <v>605615.492263699</v>
      </c>
      <c r="H100" s="55">
        <f>SUM($D99:H99)</f>
        <v>733961.2418025767</v>
      </c>
      <c r="I100" s="55">
        <f>SUM($D99:I99)</f>
        <v>824351.3454002219</v>
      </c>
      <c r="J100" s="55">
        <f>SUM($D99:J99)</f>
        <v>1089123.4572156775</v>
      </c>
      <c r="K100" s="55">
        <f>SUM($D99:K99)</f>
        <v>1184834.4662585254</v>
      </c>
      <c r="L100" s="55">
        <f>SUM($D99:L99)</f>
        <v>1371620.6689609697</v>
      </c>
      <c r="M100" s="55">
        <f>SUM($D99:M99)</f>
        <v>1453729.1329761771</v>
      </c>
      <c r="N100" s="55">
        <f>SUM($D99:N99)</f>
        <v>1465454.7811184607</v>
      </c>
    </row>
    <row r="101">
      <c r="B101" s="37" t="inlineStr">
        <is>
          <t>Аннуитет по году</t>
        </is>
      </c>
      <c r="C101" s="24" t="inlineStr">
        <is>
          <t>руб/м³</t>
        </is>
      </c>
      <c r="D101" s="65" t="n"/>
      <c r="E101" s="65">
        <f>SUM($D99:E99)/SUM($E$6:E$6)/(SUM($E87:E87)/E$4)</f>
        <v>117.17797463576107</v>
      </c>
      <c r="F101" s="65">
        <f>SUM($D99:F99)/SUM($E$6:F$6)/(SUM($E87:F87)/F$4)</f>
        <v>88.38606922162428</v>
      </c>
      <c r="G101" s="65">
        <f>SUM($D99:G99)/SUM($E$6:G$6)/(SUM($E87:G87)/G$4)</f>
        <v>135.06139121396401</v>
      </c>
      <c r="H101" s="65">
        <f>SUM($D99:H99)/SUM($E$6:H$6)/(SUM($E87:H87)/H$4)</f>
        <v>133.0567725194359</v>
      </c>
      <c r="I101" s="65">
        <f>SUM($D99:I99)/SUM($E$6:I$6)/(SUM($E87:I87)/I$4)</f>
        <v>128.10774599636056</v>
      </c>
      <c r="J101" s="65">
        <f>SUM($D99:J99)/SUM($E$6:J$6)/(SUM($E87:J87)/J$4)</f>
        <v>148.48002973670867</v>
      </c>
      <c r="K101" s="65">
        <f>SUM($D99:K99)/SUM($E$6:K$6)/(SUM($E87:K87)/K$4)</f>
        <v>146.29368719049504</v>
      </c>
      <c r="L101" s="65">
        <f>SUM($D99:L99)/SUM($E$6:L$6)/(SUM($E87:L87)/L$4)</f>
        <v>154.74190311130027</v>
      </c>
      <c r="M101" s="65">
        <f>SUM($D99:M99)/SUM($E$6:M$6)/(SUM($E87:M87)/M$4)</f>
        <v>154.6802907993913</v>
      </c>
      <c r="N101" s="65">
        <f>SUM($D99:N99)/SUM($E$6:N$6)/(SUM($E87:N87)/N$4)</f>
        <v>146.62539422883162</v>
      </c>
    </row>
    <row r="103">
      <c r="B103" s="5" t="str">
        <f>"Вариант 6:  "&amp;'Ввод данных'!I7</f>
        <v>Вариант 6:  TZCO TZ2000
Дзикай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B104" s="22" t="inlineStr">
        <is>
          <t>КТГ</t>
        </is>
      </c>
      <c r="C104" s="24" t="inlineStr">
        <is>
          <t>коэф.</t>
        </is>
      </c>
      <c r="D104" s="58" t="n"/>
      <c r="E104" s="58">
        <f>'Данные по годам'!E32</f>
        <v>0.8546521435819382</v>
      </c>
      <c r="F104" s="58">
        <f>'Данные по годам'!F32</f>
        <v>0.728326515728057</v>
      </c>
      <c r="G104" s="58">
        <f>'Данные по годам'!G32</f>
        <v>0.7551225583460174</v>
      </c>
      <c r="H104" s="58">
        <f>'Данные по годам'!H32</f>
        <v>0.6945340246067987</v>
      </c>
      <c r="I104" s="58">
        <f>'Данные по годам'!I32</f>
        <v>0.6934042047184171</v>
      </c>
      <c r="J104" s="58">
        <f>'Данные по годам'!J32</f>
        <v>0.7427367135971588</v>
      </c>
      <c r="K104" s="58">
        <f>'Данные по годам'!K32</f>
        <v>0.7171515093860985</v>
      </c>
      <c r="L104" s="58">
        <f>'Данные по годам'!L32</f>
        <v>0.7732285324708271</v>
      </c>
      <c r="M104" s="58">
        <f>'Данные по годам'!M32</f>
        <v>0.6679699391171994</v>
      </c>
      <c r="N104" s="58">
        <f>'Данные по годам'!N32</f>
        <v>0.7572945205479452</v>
      </c>
    </row>
    <row r="105">
      <c r="B105" s="22" t="inlineStr">
        <is>
          <t>Эффективное время</t>
        </is>
      </c>
      <c r="C105" s="24" t="inlineStr">
        <is>
          <t>час/год</t>
        </is>
      </c>
      <c r="D105" s="55" t="n"/>
      <c r="E105" s="55">
        <f>'Параметры'!C26*E104*(1-'Ввод данных'!I18/(60*'Параметры'!C33))</f>
        <v>4719.773730324075</v>
      </c>
      <c r="F105" s="55">
        <f>'Параметры'!C26*F104*(1-'Ввод данных'!I18/(60*'Параметры'!C33))</f>
        <v>4022.146766782408</v>
      </c>
      <c r="G105" s="55">
        <f>'Параметры'!C26*G104*(1-'Ввод данных'!I18/(60*'Параметры'!C33))</f>
        <v>4170.126572337963</v>
      </c>
      <c r="H105" s="55">
        <f>'Параметры'!C26*H104*(1-'Ввод данных'!I18/(60*'Параметры'!C33))</f>
        <v>3835.529424189815</v>
      </c>
      <c r="I105" s="55">
        <f>'Параметры'!C26*I104*(1-'Ввод данных'!I18/(60*'Параметры'!C33))</f>
        <v>3829.2900503472224</v>
      </c>
      <c r="J105" s="55">
        <f>'Параметры'!C26*J104*(1-'Ввод данных'!I18/(60*'Параметры'!C33))</f>
        <v>4101.726364004629</v>
      </c>
      <c r="K105" s="55">
        <f>'Параметры'!C26*K104*(1-'Ввод данных'!I18/(60*'Параметры'!C33))</f>
        <v>3960.4333530092595</v>
      </c>
      <c r="L105" s="55">
        <f>'Параметры'!C26*L104*(1-'Ввод данных'!I18/(60*'Параметры'!C33))</f>
        <v>4270.115909143519</v>
      </c>
      <c r="M105" s="55">
        <f>'Параметры'!C26*M104*(1-'Ввод данных'!I18/(60*'Параметры'!C33))</f>
        <v>3688.830590277777</v>
      </c>
      <c r="N105" s="55">
        <f>'Параметры'!C26*N104*(1-'Ввод данных'!I18/(60*'Параметры'!C33))</f>
        <v>4182.121125</v>
      </c>
    </row>
    <row r="106">
      <c r="B106" s="22" t="inlineStr">
        <is>
          <t>Производительность</t>
        </is>
      </c>
      <c r="C106" s="24" t="inlineStr">
        <is>
          <t>тыс.м³</t>
        </is>
      </c>
      <c r="D106" s="55" t="n"/>
      <c r="E106" s="55">
        <f>'Производительность'!I10*E105/1000</f>
        <v>2509.4906418318305</v>
      </c>
      <c r="F106" s="55">
        <f>'Производительность'!I10*F105/1000</f>
        <v>2138.5643143154566</v>
      </c>
      <c r="G106" s="55">
        <f>'Производительность'!I10*G105/1000</f>
        <v>2217.244767752418</v>
      </c>
      <c r="H106" s="55">
        <f>'Производительность'!I10*H105/1000</f>
        <v>2039.340389272024</v>
      </c>
      <c r="I106" s="55">
        <f>'Производительность'!I10*I105/1000</f>
        <v>2036.0229314523244</v>
      </c>
      <c r="J106" s="55">
        <f>'Производительность'!I10*J105/1000</f>
        <v>2180.8765661140606</v>
      </c>
      <c r="K106" s="55">
        <f>'Производительность'!I10*K105/1000</f>
        <v>2105.7514628551853</v>
      </c>
      <c r="L106" s="55">
        <f>'Производительность'!I10*L105/1000</f>
        <v>2270.4088216527916</v>
      </c>
      <c r="M106" s="55">
        <f>'Производительность'!I10*M105/1000</f>
        <v>1961.3410249159228</v>
      </c>
      <c r="N106" s="55">
        <f>'Производительность'!I10*N105/1000</f>
        <v>2223.62223823685</v>
      </c>
    </row>
    <row r="107">
      <c r="B107" s="22" t="inlineStr">
        <is>
          <t>Дизтопливо</t>
        </is>
      </c>
      <c r="C107" s="24" t="inlineStr">
        <is>
          <t>тыс.руб</t>
        </is>
      </c>
      <c r="D107" s="55" t="n"/>
      <c r="E107" s="55">
        <f>E105*'Данные по годам'!E34*'Параметры'!C10*(1+'Параметры'!C14)^(E$4-1)/1000</f>
        <v>31054.22323604028</v>
      </c>
      <c r="F107" s="55">
        <f>F105*'Данные по годам'!F34*'Параметры'!C10*(1+'Параметры'!C14)^(F$4-1)/1000</f>
        <v>26464.116866721528</v>
      </c>
      <c r="G107" s="55">
        <f>G105*'Данные по годам'!G34*'Параметры'!C10*(1+'Параметры'!C14)^(G$4-1)/1000</f>
        <v>27437.764795354862</v>
      </c>
      <c r="H107" s="55">
        <f>H105*'Данные по годам'!H34*'Параметры'!C10*(1+'Параметры'!C14)^(H$4-1)/1000</f>
        <v>25236.249399399305</v>
      </c>
      <c r="I107" s="55">
        <f>I105*'Данные по годам'!I34*'Параметры'!C10*(1+'Параметры'!C14)^(I$4-1)/1000</f>
        <v>25195.196815264586</v>
      </c>
      <c r="J107" s="55">
        <f>J105*'Данные по годам'!J34*'Параметры'!C10*(1+'Параметры'!C14)^(J$4-1)/1000</f>
        <v>26987.71878460486</v>
      </c>
      <c r="K107" s="55">
        <f>K105*'Данные по годам'!K34*'Параметры'!C10*(1+'Параметры'!C14)^(K$4-1)/1000</f>
        <v>26058.06728945972</v>
      </c>
      <c r="L107" s="55">
        <f>L105*'Данные по годам'!L34*'Параметры'!C10*(1+'Параметры'!C14)^(L$4-1)/1000</f>
        <v>28095.6546358007</v>
      </c>
      <c r="M107" s="55">
        <f>M105*'Данные по годам'!M34*'Параметры'!C10*(1+'Параметры'!C14)^(M$4-1)/1000</f>
        <v>24271.02975179166</v>
      </c>
      <c r="N107" s="55">
        <f>N105*'Данные по годам'!N34*'Параметры'!C10*(1+'Параметры'!C14)^(N$4-1)/1000</f>
        <v>27516.684154049995</v>
      </c>
    </row>
    <row r="108">
      <c r="B108" s="22" t="inlineStr">
        <is>
          <t>ТОиР и сервис (по годам)</t>
        </is>
      </c>
      <c r="C108" s="24" t="inlineStr">
        <is>
          <t>тыс.руб</t>
        </is>
      </c>
      <c r="D108" s="55" t="n"/>
      <c r="E108" s="55">
        <f>'Данные по годам'!E33*IF('Данные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F108" s="55">
        <f>'Данные по годам'!F33*IF('Данные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G108" s="55">
        <f>'Данные по годам'!G33*IF('Данные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H108" s="55">
        <f>'Данные по годам'!H33*IF('Данные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I108" s="55">
        <f>'Данные по годам'!I33*IF('Данные по годам'!$D$33="CNY",'Параметры'!C20,IF('Данные по годам'!$D$33="USD",'Параметры'!C21,IF('Данные по годам'!$D$33="EUR",'Параметры'!C22,1)))</f>
        <v>16164.607182576</v>
      </c>
      <c r="J108" s="55">
        <f>'Данные по годам'!J33*IF('Данные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K108" s="55">
        <f>'Данные по годам'!K33*IF('Данные по годам'!$D$33="CNY",'Параметры'!C20,IF('Данные по годам'!$D$33="USD",'Параметры'!C21,IF('Данные по годам'!$D$33="EUR",'Параметры'!C22,1)))</f>
        <v>55750.023182576</v>
      </c>
      <c r="L108" s="55">
        <f>'Данные по годам'!L33*IF('Данные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M108" s="55">
        <f>'Данные по годам'!M33*IF('Данные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N108" s="55">
        <f>'Данные по годам'!N33*IF('Данные по годам'!$D$33="CNY",'Параметры'!C20,IF('Данные по годам'!$D$33="USD",'Параметры'!C21,IF('Данные по годам'!$D$33="EUR",'Параметры'!C22,1)))</f>
        <v>63362.603182576</v>
      </c>
    </row>
    <row r="109">
      <c r="B109" s="22" t="inlineStr">
        <is>
          <t>Расходники на ковш</t>
        </is>
      </c>
      <c r="C109" s="24" t="inlineStr">
        <is>
          <t>тыс.руб</t>
        </is>
      </c>
      <c r="D109" s="55" t="n"/>
      <c r="E109" s="55">
        <f>'Данные по годам'!E35*E106*(1+'Параметры'!C15)^(E$4-1)</f>
        <v>2183.2568583936927</v>
      </c>
      <c r="F109" s="55">
        <f>'Данные по годам'!F35*F106*(1+'Параметры'!C15)^(F$4-1)</f>
        <v>1860.5509534544472</v>
      </c>
      <c r="G109" s="55">
        <f>'Данные по годам'!G35*G106*(1+'Параметры'!C15)^(G$4-1)</f>
        <v>1929.0029479446034</v>
      </c>
      <c r="H109" s="55">
        <f>'Данные по годам'!H35*H106*(1+'Параметры'!C15)^(H$4-1)</f>
        <v>1774.2261386666607</v>
      </c>
      <c r="I109" s="55">
        <f>'Данные по годам'!I35*I106*(1+'Параметры'!C15)^(I$4-1)</f>
        <v>1771.3399503635223</v>
      </c>
      <c r="J109" s="55">
        <f>'Данные по годам'!J35*J106*(1+'Параметры'!C15)^(J$4-1)</f>
        <v>1897.3626125192327</v>
      </c>
      <c r="K109" s="55">
        <f>'Данные по годам'!K35*K106*(1+'Параметры'!C15)^(K$4-1)</f>
        <v>1832.0037726840112</v>
      </c>
      <c r="L109" s="55">
        <f>'Данные по годам'!L35*L106*(1+'Параметры'!C15)^(L$4-1)</f>
        <v>1975.2556748379286</v>
      </c>
      <c r="M109" s="55">
        <f>'Данные по годам'!M35*M106*(1+'Параметры'!C15)^(M$4-1)</f>
        <v>1706.366691676853</v>
      </c>
      <c r="N109" s="55">
        <f>'Данные по годам'!N35*N106*(1+'Параметры'!C15)^(N$4-1)</f>
        <v>1934.5513472660596</v>
      </c>
    </row>
    <row r="110">
      <c r="B110" s="22" t="inlineStr">
        <is>
          <t>Персонал</t>
        </is>
      </c>
      <c r="C110" s="24" t="inlineStr">
        <is>
          <t>тыс.руб</t>
        </is>
      </c>
      <c r="D110" s="55" t="n"/>
      <c r="E110" s="55">
        <f>'Ввод данных'!I20*(1+'Параметры'!C16)^(E$4-1)</f>
        <v>10015.0</v>
      </c>
      <c r="F110" s="55">
        <f>'Ввод данных'!I20*(1+'Параметры'!C16)^(F$4-1)</f>
        <v>10015.0</v>
      </c>
      <c r="G110" s="55">
        <f>'Ввод данных'!I20*(1+'Параметры'!C16)^(G$4-1)</f>
        <v>10015.0</v>
      </c>
      <c r="H110" s="55">
        <f>'Ввод данных'!I20*(1+'Параметры'!C16)^(H$4-1)</f>
        <v>10015.0</v>
      </c>
      <c r="I110" s="55">
        <f>'Ввод данных'!I20*(1+'Параметры'!C16)^(I$4-1)</f>
        <v>10015.0</v>
      </c>
      <c r="J110" s="55">
        <f>'Ввод данных'!I20*(1+'Параметры'!C16)^(J$4-1)</f>
        <v>10015.0</v>
      </c>
      <c r="K110" s="55">
        <f>'Ввод данных'!I20*(1+'Параметры'!C16)^(K$4-1)</f>
        <v>10015.0</v>
      </c>
      <c r="L110" s="55">
        <f>'Ввод данных'!I20*(1+'Параметры'!C16)^(L$4-1)</f>
        <v>10015.0</v>
      </c>
      <c r="M110" s="55">
        <f>'Ввод данных'!I20*(1+'Параметры'!C16)^(M$4-1)</f>
        <v>10015.0</v>
      </c>
      <c r="N110" s="55">
        <f>'Ввод данных'!I20*(1+'Параметры'!C16)^(N$4-1)</f>
        <v>10015.0</v>
      </c>
    </row>
    <row r="111">
      <c r="B111" s="22" t="inlineStr">
        <is>
          <t>Итого денежные затраты</t>
        </is>
      </c>
      <c r="C111" s="24" t="inlineStr">
        <is>
          <t>тыс.руб</t>
        </is>
      </c>
      <c r="D111" s="55" t="n"/>
      <c r="E111" s="64">
        <f>E107+E108+E109+E110</f>
        <v>54849.53927700997</v>
      </c>
      <c r="F111" s="64">
        <f>F107+F108+F109+F110</f>
        <v>50697.98500275197</v>
      </c>
      <c r="G111" s="64">
        <f>G107+G108+G109+G110</f>
        <v>50978.826925875466</v>
      </c>
      <c r="H111" s="64">
        <f>H107+H108+H109+H110</f>
        <v>49383.79272064196</v>
      </c>
      <c r="I111" s="64">
        <f>I107+I108+I109+I110</f>
        <v>53146.14394820411</v>
      </c>
      <c r="J111" s="64">
        <f>J107+J108+J109+J110</f>
        <v>51258.398579700086</v>
      </c>
      <c r="K111" s="64">
        <f>K107+K108+K109+K110</f>
        <v>93655.09424471973</v>
      </c>
      <c r="L111" s="64">
        <f>L107+L108+L109+L110</f>
        <v>52444.227493214625</v>
      </c>
      <c r="M111" s="64">
        <f>M107+M108+M109+M110</f>
        <v>47589.45562604451</v>
      </c>
      <c r="N111" s="64">
        <f>N107+N108+N109+N110</f>
        <v>102828.83868389206</v>
      </c>
    </row>
    <row r="112">
      <c r="B112" s="22" t="inlineStr">
        <is>
          <t>Амортизация (НУ)</t>
        </is>
      </c>
      <c r="C112" s="24" t="inlineStr">
        <is>
          <t>тыс.руб</t>
        </is>
      </c>
      <c r="D112" s="55" t="n"/>
      <c r="E112" s="55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33381.95744680851</v>
      </c>
      <c r="F112" s="55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33381.95744680851</v>
      </c>
      <c r="G112" s="55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33381.95744680851</v>
      </c>
      <c r="H112" s="55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33381.95744680851</v>
      </c>
      <c r="I112" s="55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33381.95744680851</v>
      </c>
      <c r="J112" s="55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5674.932765957445</v>
      </c>
      <c r="K112" s="55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12" s="55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12" s="55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12" s="55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13">
      <c r="B113" s="22" t="inlineStr">
        <is>
          <t>Налогооблагаемая база</t>
        </is>
      </c>
      <c r="C113" s="24" t="inlineStr">
        <is>
          <t>тыс.руб</t>
        </is>
      </c>
      <c r="D113" s="55" t="n"/>
      <c r="E113" s="55">
        <f>E111+E112</f>
        <v>88231.49672381848</v>
      </c>
      <c r="F113" s="55">
        <f>F111+F112</f>
        <v>84079.94244956048</v>
      </c>
      <c r="G113" s="55">
        <f>G111+G112</f>
        <v>84360.78437268398</v>
      </c>
      <c r="H113" s="55">
        <f>H111+H112</f>
        <v>82765.75016745047</v>
      </c>
      <c r="I113" s="55">
        <f>I111+I112</f>
        <v>86528.10139501262</v>
      </c>
      <c r="J113" s="55">
        <f>J111+J112</f>
        <v>56933.33134565753</v>
      </c>
      <c r="K113" s="55">
        <f>K111+K112</f>
        <v>93655.09424471973</v>
      </c>
      <c r="L113" s="55">
        <f>L111+L112</f>
        <v>52444.227493214625</v>
      </c>
      <c r="M113" s="55">
        <f>M111+M112</f>
        <v>47589.45562604451</v>
      </c>
      <c r="N113" s="55">
        <f>N111+N112</f>
        <v>102828.83868389206</v>
      </c>
    </row>
    <row r="114">
      <c r="B114" s="22" t="inlineStr">
        <is>
          <t>Налог на прибыль (щит)</t>
        </is>
      </c>
      <c r="C114" s="24" t="inlineStr">
        <is>
          <t>тыс.руб</t>
        </is>
      </c>
      <c r="D114" s="55" t="n"/>
      <c r="E114" s="55">
        <f>-E113*'Параметры'!C7</f>
        <v>-22057.87418095462</v>
      </c>
      <c r="F114" s="55">
        <f>-F113*'Параметры'!C7</f>
        <v>-21019.98561239012</v>
      </c>
      <c r="G114" s="55">
        <f>-G113*'Параметры'!C7</f>
        <v>-21090.196093170995</v>
      </c>
      <c r="H114" s="55">
        <f>-H113*'Параметры'!C7</f>
        <v>-20691.43754186262</v>
      </c>
      <c r="I114" s="55">
        <f>-I113*'Параметры'!C7</f>
        <v>-21632.025348753155</v>
      </c>
      <c r="J114" s="55">
        <f>-J113*'Параметры'!C7</f>
        <v>-14233.332836414382</v>
      </c>
      <c r="K114" s="55">
        <f>-K113*'Параметры'!C7</f>
        <v>-23413.773561179933</v>
      </c>
      <c r="L114" s="55">
        <f>-L113*'Параметры'!C7</f>
        <v>-13111.056873303656</v>
      </c>
      <c r="M114" s="55">
        <f>-M113*'Параметры'!C7</f>
        <v>-11897.363906511127</v>
      </c>
      <c r="N114" s="55">
        <f>-N113*'Параметры'!C7</f>
        <v>-25707.209670973014</v>
      </c>
    </row>
    <row r="115">
      <c r="B115" s="22" t="inlineStr">
        <is>
          <t>Операц. денежный поток</t>
        </is>
      </c>
      <c r="C115" s="24" t="inlineStr">
        <is>
          <t>тыс.руб</t>
        </is>
      </c>
      <c r="D115" s="55" t="n"/>
      <c r="E115" s="64">
        <f>E113+E114-E112</f>
        <v>32791.665096055345</v>
      </c>
      <c r="F115" s="64">
        <f>F113+F114-F112</f>
        <v>29677.999390361845</v>
      </c>
      <c r="G115" s="64">
        <f>G113+G114-G112</f>
        <v>29888.630832704475</v>
      </c>
      <c r="H115" s="64">
        <f>H113+H114-H112</f>
        <v>28692.355178779348</v>
      </c>
      <c r="I115" s="64">
        <f>I113+I114-I112</f>
        <v>31514.11859945095</v>
      </c>
      <c r="J115" s="64">
        <f>J113+J114-J112</f>
        <v>37025.0657432857</v>
      </c>
      <c r="K115" s="64">
        <f>K113+K114-K112</f>
        <v>70241.3206835398</v>
      </c>
      <c r="L115" s="64">
        <f>L113+L114-L112</f>
        <v>39333.17061991097</v>
      </c>
      <c r="M115" s="64">
        <f>M113+M114-M112</f>
        <v>35692.09171953338</v>
      </c>
      <c r="N115" s="64">
        <f>N113+N114-N112</f>
        <v>77121.62901291905</v>
      </c>
    </row>
    <row r="116">
      <c r="B116" s="22" t="inlineStr">
        <is>
          <t>Инвестиции / остаточная ст-ть</t>
        </is>
      </c>
      <c r="C116" s="24" t="inlineStr">
        <is>
          <t>тыс.руб</t>
        </is>
      </c>
      <c r="D116" s="55">
        <f>IF(D$4=0,'Производительность'!I5,IF(D$4='Параметры'!C8,-'Ввод данных'!I14*'Производительность'!I5,0))</f>
        <v>172584.72</v>
      </c>
      <c r="E116" s="55">
        <f>IF(E$4=0,'Производительность'!I5,IF(E$4='Параметры'!C8,-'Ввод данных'!I14*'Производительность'!I5,0))</f>
        <v>0.0</v>
      </c>
      <c r="F116" s="55">
        <f>IF(F$4=0,'Производительность'!I5,IF(F$4='Параметры'!C8,-'Ввод данных'!I14*'Производительность'!I5,0))</f>
        <v>0.0</v>
      </c>
      <c r="G116" s="55">
        <f>IF(G$4=0,'Производительность'!I5,IF(G$4='Параметры'!C8,-'Ввод данных'!I14*'Производительность'!I5,0))</f>
        <v>0.0</v>
      </c>
      <c r="H116" s="55">
        <f>IF(H$4=0,'Производительность'!I5,IF(H$4='Параметры'!C8,-'Ввод данных'!I14*'Производительность'!I5,0))</f>
        <v>0.0</v>
      </c>
      <c r="I116" s="55">
        <f>IF(I$4=0,'Производительность'!I5,IF(I$4='Параметры'!C8,-'Ввод данных'!I14*'Производительность'!I5,0))</f>
        <v>0.0</v>
      </c>
      <c r="J116" s="55">
        <f>IF(J$4=0,'Производительность'!I5,IF(J$4='Параметры'!C8,-'Ввод данных'!I14*'Производительность'!I5,0))</f>
        <v>0.0</v>
      </c>
      <c r="K116" s="55">
        <f>IF(K$4=0,'Производительность'!I5,IF(K$4='Параметры'!C8,-'Ввод данных'!I14*'Производительность'!I5,0))</f>
        <v>0.0</v>
      </c>
      <c r="L116" s="55">
        <f>IF(L$4=0,'Производительность'!I5,IF(L$4='Параметры'!C8,-'Ввод данных'!I14*'Производительность'!I5,0))</f>
        <v>0.0</v>
      </c>
      <c r="M116" s="55">
        <f>IF(M$4=0,'Производительность'!I5,IF(M$4='Параметры'!C8,-'Ввод данных'!I14*'Производительность'!I5,0))</f>
        <v>0.0</v>
      </c>
      <c r="N116" s="55">
        <f>IF(N$4=0,'Производительность'!I5,IF(N$4='Параметры'!C8,-'Ввод данных'!I14*'Производительность'!I5,0))</f>
        <v>-0.0</v>
      </c>
    </row>
    <row r="117">
      <c r="B117" s="22" t="inlineStr">
        <is>
          <t>Чистый денежный поток</t>
        </is>
      </c>
      <c r="C117" s="24" t="inlineStr">
        <is>
          <t>тыс.руб</t>
        </is>
      </c>
      <c r="D117" s="64">
        <f>0+D116</f>
        <v>172584.72</v>
      </c>
      <c r="E117" s="64">
        <f>E115+E116</f>
        <v>32791.665096055345</v>
      </c>
      <c r="F117" s="64">
        <f>F115+F116</f>
        <v>29677.999390361845</v>
      </c>
      <c r="G117" s="64">
        <f>G115+G116</f>
        <v>29888.630832704475</v>
      </c>
      <c r="H117" s="64">
        <f>H115+H116</f>
        <v>28692.355178779348</v>
      </c>
      <c r="I117" s="64">
        <f>I115+I116</f>
        <v>31514.11859945095</v>
      </c>
      <c r="J117" s="64">
        <f>J115+J116</f>
        <v>37025.0657432857</v>
      </c>
      <c r="K117" s="64">
        <f>K115+K116</f>
        <v>70241.3206835398</v>
      </c>
      <c r="L117" s="64">
        <f>L115+L116</f>
        <v>39333.17061991097</v>
      </c>
      <c r="M117" s="64">
        <f>M115+M116</f>
        <v>35692.09171953338</v>
      </c>
      <c r="N117" s="64">
        <f>N115+N116</f>
        <v>77121.62901291905</v>
      </c>
    </row>
    <row r="118">
      <c r="B118" s="22" t="inlineStr">
        <is>
          <t>Дисконтированный поток</t>
        </is>
      </c>
      <c r="C118" s="24" t="inlineStr">
        <is>
          <t>тыс.руб</t>
        </is>
      </c>
      <c r="D118" s="55">
        <f>D117*D$6</f>
        <v>172584.72</v>
      </c>
      <c r="E118" s="55">
        <f>E117*E$6</f>
        <v>29278.27240719227</v>
      </c>
      <c r="F118" s="55">
        <f>F117*F$6</f>
        <v>23659.11941195938</v>
      </c>
      <c r="G118" s="55">
        <f>G117*G$6</f>
        <v>21274.137060905945</v>
      </c>
      <c r="H118" s="55">
        <f>H117*H$6</f>
        <v>18234.510428126756</v>
      </c>
      <c r="I118" s="55">
        <f>I117*I$6</f>
        <v>17881.95722762948</v>
      </c>
      <c r="J118" s="55">
        <f>J117*J$6</f>
        <v>18758.050569184838</v>
      </c>
      <c r="K118" s="55">
        <f>K117*K$6</f>
        <v>31773.60629542633</v>
      </c>
      <c r="L118" s="55">
        <f>L117*L$6</f>
        <v>15886.007916632921</v>
      </c>
      <c r="M118" s="55">
        <f>M117*M$6</f>
        <v>12870.92608662576</v>
      </c>
      <c r="N118" s="55">
        <f>N117*N$6</f>
        <v>24831.100504436465</v>
      </c>
    </row>
    <row r="119">
      <c r="B119" s="22" t="inlineStr">
        <is>
          <t>Кумул. дисконт. поток</t>
        </is>
      </c>
      <c r="C119" s="24" t="inlineStr">
        <is>
          <t>тыс.руб</t>
        </is>
      </c>
      <c r="D119" s="55">
        <f>SUM($D118:D118)</f>
        <v>172584.72</v>
      </c>
      <c r="E119" s="55">
        <f>SUM($D118:E118)</f>
        <v>201862.99240719227</v>
      </c>
      <c r="F119" s="55">
        <f>SUM($D118:F118)</f>
        <v>225522.11181915164</v>
      </c>
      <c r="G119" s="55">
        <f>SUM($D118:G118)</f>
        <v>246796.2488800576</v>
      </c>
      <c r="H119" s="55">
        <f>SUM($D118:H118)</f>
        <v>265030.7593081844</v>
      </c>
      <c r="I119" s="55">
        <f>SUM($D118:I118)</f>
        <v>282912.7165358139</v>
      </c>
      <c r="J119" s="55">
        <f>SUM($D118:J118)</f>
        <v>301670.7671049987</v>
      </c>
      <c r="K119" s="55">
        <f>SUM($D118:K118)</f>
        <v>333444.373400425</v>
      </c>
      <c r="L119" s="55">
        <f>SUM($D118:L118)</f>
        <v>349330.38131705794</v>
      </c>
      <c r="M119" s="55">
        <f>SUM($D118:M118)</f>
        <v>362201.3074036837</v>
      </c>
      <c r="N119" s="55">
        <f>SUM($D118:N118)</f>
        <v>387032.4079081202</v>
      </c>
    </row>
    <row r="120">
      <c r="B120" s="37" t="inlineStr">
        <is>
          <t>Аннуитет по году</t>
        </is>
      </c>
      <c r="C120" s="24" t="inlineStr">
        <is>
          <t>руб/м³</t>
        </is>
      </c>
      <c r="D120" s="65" t="n"/>
      <c r="E120" s="65">
        <f>SUM($D118:E118)/SUM($E$6:E$6)/(SUM($E106:E106)/E$4)</f>
        <v>90.09260593656606</v>
      </c>
      <c r="F120" s="65">
        <f>SUM($D118:F118)/SUM($E$6:F$6)/(SUM($E106:F106)/F$4)</f>
        <v>57.41799927450989</v>
      </c>
      <c r="G120" s="65">
        <f>SUM($D118:G118)/SUM($E$6:G$6)/(SUM($E106:G106)/G$4)</f>
        <v>44.901186004777315</v>
      </c>
      <c r="H120" s="65">
        <f>SUM($D118:H118)/SUM($E$6:H$6)/(SUM($E106:H106)/H$4)</f>
        <v>39.19630733438774</v>
      </c>
      <c r="I120" s="65">
        <f>SUM($D118:I118)/SUM($E$6:I$6)/(SUM($E106:I106)/I$4)</f>
        <v>35.86745178825264</v>
      </c>
      <c r="J120" s="65">
        <f>SUM($D118:J118)/SUM($E$6:J$6)/(SUM($E106:J106)/J$4)</f>
        <v>33.55128646494019</v>
      </c>
      <c r="K120" s="65">
        <f>SUM($D118:K118)/SUM($E$6:K$6)/(SUM($E106:K106)/K$4)</f>
        <v>33.5873945384052</v>
      </c>
      <c r="L120" s="65">
        <f>SUM($D118:L118)/SUM($E$6:L$6)/(SUM($E106:L106)/L$4)</f>
        <v>32.151059286323886</v>
      </c>
      <c r="M120" s="65">
        <f>SUM($D118:M118)/SUM($E$6:M$6)/(SUM($E106:M106)/M$4)</f>
        <v>31.440287959736793</v>
      </c>
      <c r="N120" s="65">
        <f>SUM($D118:N118)/SUM($E$6:N$6)/(SUM($E106:N106)/N$4)</f>
        <v>31.591417860428876</v>
      </c>
    </row>
    <row r="122">
      <c r="B122" s="5" t="str">
        <f>"Вариант 7:  "&amp;'Ввод данных'!J7</f>
        <v>Вариант 7:  XCMG ESTAR ESE2000
(поставщик не указан)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B123" s="22" t="inlineStr">
        <is>
          <t>КТГ</t>
        </is>
      </c>
      <c r="C123" s="24" t="inlineStr">
        <is>
          <t>коэф.</t>
        </is>
      </c>
      <c r="D123" s="58" t="n"/>
      <c r="E123" s="58">
        <f>'Данные по годам'!E37</f>
        <v>0.9149543378995434</v>
      </c>
      <c r="F123" s="58">
        <f>'Данные по годам'!F37</f>
        <v>0.9104039827498731</v>
      </c>
      <c r="G123" s="58">
        <f>'Данные по годам'!G37</f>
        <v>0.8236142820903096</v>
      </c>
      <c r="H123" s="58">
        <f>'Данные по годам'!H37</f>
        <v>0.9095716007102994</v>
      </c>
      <c r="I123" s="58">
        <f>'Данные по годам'!I37</f>
        <v>0.9044108320649418</v>
      </c>
      <c r="J123" s="58">
        <f>'Данные по годам'!J37</f>
        <v>0.8074105783866059</v>
      </c>
      <c r="K123" s="58">
        <f>'Данные по годам'!K37</f>
        <v>0.8933124048706241</v>
      </c>
      <c r="L123" s="58">
        <f>'Данные по годам'!L37</f>
        <v>0.814125126839168</v>
      </c>
      <c r="M123" s="58">
        <f>'Данные по годам'!M37</f>
        <v>0.8302733384069001</v>
      </c>
      <c r="N123" s="58">
        <f>'Данные по годам'!N37</f>
        <v>0.8100742009132421</v>
      </c>
    </row>
    <row r="124">
      <c r="B124" s="22" t="inlineStr">
        <is>
          <t>Эффективное время</t>
        </is>
      </c>
      <c r="C124" s="24" t="inlineStr">
        <is>
          <t>час/год</t>
        </is>
      </c>
      <c r="D124" s="55" t="n"/>
      <c r="E124" s="55">
        <f>'Параметры'!C26*E123*(1-'Ввод данных'!J18/(60*'Параметры'!C33))</f>
        <v>5052.789583333333</v>
      </c>
      <c r="F124" s="55">
        <f>'Параметры'!C26*F123*(1-'Ввод данных'!J18/(60*'Параметры'!C33))</f>
        <v>5027.660474537037</v>
      </c>
      <c r="G124" s="55">
        <f>'Параметры'!C26*G123*(1-'Ввод данных'!J18/(60*'Параметры'!C33))</f>
        <v>4548.36869212963</v>
      </c>
      <c r="H124" s="55">
        <f>'Параметры'!C26*H123*(1-'Ввод данных'!J18/(60*'Параметры'!C33))</f>
        <v>5023.0636863425925</v>
      </c>
      <c r="I124" s="55">
        <f>'Параметры'!C26*I123*(1-'Ввод данных'!J18/(60*'Параметры'!C33))</f>
        <v>4994.563599537038</v>
      </c>
      <c r="J124" s="55">
        <f>'Параметры'!C26*J123*(1-'Ввод данных'!J18/(60*'Параметры'!C33))</f>
        <v>4458.884548611111</v>
      </c>
      <c r="K124" s="55">
        <f>'Параметры'!C26*K123*(1-'Ввод данных'!J18/(60*'Параметры'!C33))</f>
        <v>4933.273090277778</v>
      </c>
      <c r="L124" s="55">
        <f>'Параметры'!C26*L123*(1-'Ввод данных'!J18/(60*'Параметры'!C33))</f>
        <v>4495.965306712963</v>
      </c>
      <c r="M124" s="55">
        <f>'Параметры'!C26*M123*(1-'Ввод данных'!J18/(60*'Параметры'!C33))</f>
        <v>4585.142997685185</v>
      </c>
      <c r="N124" s="55">
        <f>'Параметры'!C26*N123*(1-'Ввод данных'!J18/(60*'Параметры'!C33))</f>
        <v>4473.594270833333</v>
      </c>
    </row>
    <row r="125">
      <c r="B125" s="22" t="inlineStr">
        <is>
          <t>Производительность</t>
        </is>
      </c>
      <c r="C125" s="24" t="inlineStr">
        <is>
          <t>тыс.м³</t>
        </is>
      </c>
      <c r="D125" s="55" t="n"/>
      <c r="E125" s="55">
        <f>'Производительность'!J10*E124/1000</f>
        <v>3698.4896842482963</v>
      </c>
      <c r="F125" s="55">
        <f>'Производительность'!J10*F124/1000</f>
        <v>3680.095933999123</v>
      </c>
      <c r="G125" s="55">
        <f>'Производительность'!J10*G124/1000</f>
        <v>3329.268795100268</v>
      </c>
      <c r="H125" s="55">
        <f>'Производительность'!J10*H124/1000</f>
        <v>3676.731223587689</v>
      </c>
      <c r="I125" s="55">
        <f>'Производительность'!J10*I124/1000</f>
        <v>3655.8700190367986</v>
      </c>
      <c r="J125" s="55">
        <f>'Производительность'!J10*J124/1000</f>
        <v>3263.7690990910182</v>
      </c>
      <c r="K125" s="55">
        <f>'Производительность'!J10*K124/1000</f>
        <v>3611.007213551011</v>
      </c>
      <c r="L125" s="55">
        <f>'Производительность'!J10*L124/1000</f>
        <v>3290.911096409919</v>
      </c>
      <c r="M125" s="55">
        <f>'Производительность'!J10*M124/1000</f>
        <v>3356.1864783917395</v>
      </c>
      <c r="N125" s="55">
        <f>'Производительность'!J10*N124/1000</f>
        <v>3274.536172407607</v>
      </c>
    </row>
    <row r="126">
      <c r="B126" s="22" t="inlineStr">
        <is>
          <t>Дизтопливо</t>
        </is>
      </c>
      <c r="C126" s="24" t="inlineStr">
        <is>
          <t>тыс.руб</t>
        </is>
      </c>
      <c r="D126" s="55" t="n"/>
      <c r="E126" s="55">
        <f>E124*'Данные по годам'!E39*'Параметры'!C10*(1+'Параметры'!C14)^(E$4-1)/1000</f>
        <v>29089.667549687496</v>
      </c>
      <c r="F126" s="55">
        <f>F124*'Данные по годам'!F39*'Параметры'!C10*(1+'Параметры'!C14)^(F$4-1)/1000</f>
        <v>28944.995500980902</v>
      </c>
      <c r="G126" s="55">
        <f>G124*'Данные по годам'!G39*'Параметры'!C10*(1+'Параметры'!C14)^(G$4-1)/1000</f>
        <v>26185.6408158941</v>
      </c>
      <c r="H126" s="55">
        <f>H124*'Данные по годам'!H39*'Параметры'!C10*(1+'Параметры'!C14)^(H$4-1)/1000</f>
        <v>28918.531101827255</v>
      </c>
      <c r="I126" s="55">
        <f>I124*'Данные по годам'!I39*'Параметры'!C10*(1+'Параметры'!C14)^(I$4-1)/1000</f>
        <v>28754.45182707466</v>
      </c>
      <c r="J126" s="55">
        <f>J124*'Данные по годам'!J39*'Параметры'!C10*(1+'Параметры'!C14)^(J$4-1)/1000</f>
        <v>25670.467179036455</v>
      </c>
      <c r="K126" s="55">
        <f>K124*'Данные по годам'!K39*'Параметры'!C10*(1+'Параметры'!C14)^(K$4-1)/1000</f>
        <v>28401.593171692708</v>
      </c>
      <c r="L126" s="55">
        <f>L124*'Данные по годам'!L39*'Параметры'!C10*(1+'Параметры'!C14)^(L$4-1)/1000</f>
        <v>25883.946665542535</v>
      </c>
      <c r="M126" s="55">
        <f>M124*'Данные по годам'!M39*'Параметры'!C10*(1+'Параметры'!C14)^(M$4-1)/1000</f>
        <v>26397.35600912326</v>
      </c>
      <c r="N126" s="55">
        <f>N124*'Данные по годам'!N39*'Параметры'!C10*(1+'Параметры'!C14)^(N$4-1)/1000</f>
        <v>25755.153256328125</v>
      </c>
    </row>
    <row r="127">
      <c r="B127" s="22" t="inlineStr">
        <is>
          <t>ТОиР и сервис (по годам)</t>
        </is>
      </c>
      <c r="C127" s="24" t="inlineStr">
        <is>
          <t>тыс.руб</t>
        </is>
      </c>
      <c r="D127" s="55" t="n"/>
      <c r="E127" s="55">
        <f>'Данные по годам'!E38*IF('Данные по годам'!$D$38="CNY",'Параметры'!C20,IF('Данные по годам'!$D$38="USD",'Параметры'!C21,IF('Данные по годам'!$D$38="EUR",'Параметры'!C22,1)))</f>
        <v>21693.662099476</v>
      </c>
      <c r="F127" s="55">
        <f>'Данные по годам'!F38*IF('Данные по годам'!$D$38="CNY",'Параметры'!C20,IF('Данные по годам'!$D$38="USD",'Параметры'!C21,IF('Данные по годам'!$D$38="EUR",'Параметры'!C22,1)))</f>
        <v>54739.323773716</v>
      </c>
      <c r="G127" s="55">
        <f>'Данные по годам'!G38*IF('Данные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H127" s="55">
        <f>'Данные по годам'!H38*IF('Данные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I127" s="55">
        <f>'Данные по годам'!I38*IF('Данные по годам'!$D$38="CNY",'Параметры'!C20,IF('Данные по годам'!$D$38="USD",'Параметры'!C21,IF('Данные по годам'!$D$38="EUR",'Параметры'!C22,1)))</f>
        <v>21693.662099476</v>
      </c>
      <c r="J127" s="55">
        <f>'Данные по годам'!J38*IF('Данные по годам'!$D$38="CNY",'Параметры'!C20,IF('Данные по годам'!$D$38="USD",'Параметры'!C21,IF('Данные по годам'!$D$38="EUR",'Параметры'!C22,1)))</f>
        <v>157245.57580379595</v>
      </c>
      <c r="K127" s="55">
        <f>'Данные по годам'!K38*IF('Данные по годам'!$D$38="CNY",'Параметры'!C20,IF('Данные по годам'!$D$38="USD",'Параметры'!C21,IF('Данные по годам'!$D$38="EUR",'Параметры'!C22,1)))</f>
        <v>21693.662099476</v>
      </c>
      <c r="L127" s="55">
        <f>'Данные по годам'!L38*IF('Данные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M127" s="55">
        <f>'Данные по годам'!M38*IF('Данные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N127" s="55">
        <f>'Данные по годам'!N38*IF('Данные по годам'!$D$38="CNY",'Параметры'!C20,IF('Данные по годам'!$D$38="USD",'Параметры'!C21,IF('Данные по годам'!$D$38="EUR",'Параметры'!C22,1)))</f>
        <v>54739.323773716</v>
      </c>
    </row>
    <row r="128">
      <c r="B128" s="22" t="inlineStr">
        <is>
          <t>Расходники на ковш</t>
        </is>
      </c>
      <c r="C128" s="24" t="inlineStr">
        <is>
          <t>тыс.руб</t>
        </is>
      </c>
      <c r="D128" s="55" t="n"/>
      <c r="E128" s="55">
        <f>'Данные по годам'!E40*E125*(1+'Параметры'!C15)^(E$4-1)</f>
        <v>3217.6860252960178</v>
      </c>
      <c r="F128" s="55">
        <f>'Данные по годам'!F40*F125*(1+'Параметры'!C15)^(F$4-1)</f>
        <v>3201.683462579237</v>
      </c>
      <c r="G128" s="55">
        <f>'Данные по годам'!G40*G125*(1+'Параметры'!C15)^(G$4-1)</f>
        <v>2896.463851737233</v>
      </c>
      <c r="H128" s="55">
        <f>'Данные по годам'!H40*H125*(1+'Параметры'!C15)^(H$4-1)</f>
        <v>3198.7561645212895</v>
      </c>
      <c r="I128" s="55">
        <f>'Данные по годам'!I40*I125*(1+'Параметры'!C15)^(I$4-1)</f>
        <v>3180.6069165620147</v>
      </c>
      <c r="J128" s="55">
        <f>'Данные по годам'!J40*J125*(1+'Параметры'!C15)^(J$4-1)</f>
        <v>2839.479116209186</v>
      </c>
      <c r="K128" s="55">
        <f>'Данные по годам'!K40*K125*(1+'Параметры'!C15)^(K$4-1)</f>
        <v>3141.5762757893795</v>
      </c>
      <c r="L128" s="55">
        <f>'Данные по годам'!L40*L125*(1+'Параметры'!C15)^(L$4-1)</f>
        <v>2863.09265387663</v>
      </c>
      <c r="M128" s="55">
        <f>'Данные по годам'!M40*M125*(1+'Параметры'!C15)^(M$4-1)</f>
        <v>2919.882236200813</v>
      </c>
      <c r="N128" s="55">
        <f>'Данные по годам'!N40*N125*(1+'Параметры'!C15)^(N$4-1)</f>
        <v>2848.846469994618</v>
      </c>
    </row>
    <row r="129">
      <c r="B129" s="22" t="inlineStr">
        <is>
          <t>Персонал</t>
        </is>
      </c>
      <c r="C129" s="24" t="inlineStr">
        <is>
          <t>тыс.руб</t>
        </is>
      </c>
      <c r="D129" s="55" t="n"/>
      <c r="E129" s="55">
        <f>'Ввод данных'!J20*(1+'Параметры'!C16)^(E$4-1)</f>
        <v>10015.0</v>
      </c>
      <c r="F129" s="55">
        <f>'Ввод данных'!J20*(1+'Параметры'!C16)^(F$4-1)</f>
        <v>10015.0</v>
      </c>
      <c r="G129" s="55">
        <f>'Ввод данных'!J20*(1+'Параметры'!C16)^(G$4-1)</f>
        <v>10015.0</v>
      </c>
      <c r="H129" s="55">
        <f>'Ввод данных'!J20*(1+'Параметры'!C16)^(H$4-1)</f>
        <v>10015.0</v>
      </c>
      <c r="I129" s="55">
        <f>'Ввод данных'!J20*(1+'Параметры'!C16)^(I$4-1)</f>
        <v>10015.0</v>
      </c>
      <c r="J129" s="55">
        <f>'Ввод данных'!J20*(1+'Параметры'!C16)^(J$4-1)</f>
        <v>10015.0</v>
      </c>
      <c r="K129" s="55">
        <f>'Ввод данных'!J20*(1+'Параметры'!C16)^(K$4-1)</f>
        <v>10015.0</v>
      </c>
      <c r="L129" s="55">
        <f>'Ввод данных'!J20*(1+'Параметры'!C16)^(L$4-1)</f>
        <v>10015.0</v>
      </c>
      <c r="M129" s="55">
        <f>'Ввод данных'!J20*(1+'Параметры'!C16)^(M$4-1)</f>
        <v>10015.0</v>
      </c>
      <c r="N129" s="55">
        <f>'Ввод данных'!J20*(1+'Параметры'!C16)^(N$4-1)</f>
        <v>10015.0</v>
      </c>
    </row>
    <row r="130">
      <c r="B130" s="22" t="inlineStr">
        <is>
          <t>Итого денежные затраты</t>
        </is>
      </c>
      <c r="C130" s="24" t="inlineStr">
        <is>
          <t>тыс.руб</t>
        </is>
      </c>
      <c r="D130" s="55" t="n"/>
      <c r="E130" s="64">
        <f>E126+E127+E128+E129</f>
        <v>64016.015674459515</v>
      </c>
      <c r="F130" s="64">
        <f>F126+F127+F128+F129</f>
        <v>96901.00273727614</v>
      </c>
      <c r="G130" s="64">
        <f>G126+G127+G128+G129</f>
        <v>163297.0187971873</v>
      </c>
      <c r="H130" s="64">
        <f>H126+H127+H128+H129</f>
        <v>97106.93111302455</v>
      </c>
      <c r="I130" s="64">
        <f>I126+I127+I128+I129</f>
        <v>63643.72084311268</v>
      </c>
      <c r="J130" s="64">
        <f>J126+J127+J128+J129</f>
        <v>195770.5220990416</v>
      </c>
      <c r="K130" s="64">
        <f>K126+K127+K128+K129</f>
        <v>63251.83154695809</v>
      </c>
      <c r="L130" s="64">
        <f>L126+L127+L128+L129</f>
        <v>93736.68316609517</v>
      </c>
      <c r="M130" s="64">
        <f>M126+M127+M128+M129</f>
        <v>163532.15237488007</v>
      </c>
      <c r="N130" s="64">
        <f>N126+N127+N128+N129</f>
        <v>93358.32350003875</v>
      </c>
    </row>
    <row r="131">
      <c r="B131" s="22" t="inlineStr">
        <is>
          <t>Амортизация (НУ)</t>
        </is>
      </c>
      <c r="C131" s="24" t="inlineStr">
        <is>
          <t>тыс.руб</t>
        </is>
      </c>
      <c r="D131" s="55" t="n"/>
      <c r="E131" s="55">
        <f>IF(E$4&lt;=INT('Параметры'!C9),'Производительность'!J5/'Параметры'!C9,IF(E$4=INT('Параметры'!C9)+1,'Производительность'!J5*('Параметры'!C9-INT('Параметры'!C9))/'Параметры'!C9,0))</f>
        <v>39017.87234042553</v>
      </c>
      <c r="F131" s="55">
        <f>IF(F$4&lt;=INT('Параметры'!C9),'Производительность'!J5/'Параметры'!C9,IF(F$4=INT('Параметры'!C9)+1,'Производительность'!J5*('Параметры'!C9-INT('Параметры'!C9))/'Параметры'!C9,0))</f>
        <v>39017.87234042553</v>
      </c>
      <c r="G131" s="55">
        <f>IF(G$4&lt;=INT('Параметры'!C9),'Производительность'!J5/'Параметры'!C9,IF(G$4=INT('Параметры'!C9)+1,'Производительность'!J5*('Параметры'!C9-INT('Параметры'!C9))/'Параметры'!C9,0))</f>
        <v>39017.87234042553</v>
      </c>
      <c r="H131" s="55">
        <f>IF(H$4&lt;=INT('Параметры'!C9),'Производительность'!J5/'Параметры'!C9,IF(H$4=INT('Параметры'!C9)+1,'Производительность'!J5*('Параметры'!C9-INT('Параметры'!C9))/'Параметры'!C9,0))</f>
        <v>39017.87234042553</v>
      </c>
      <c r="I131" s="55">
        <f>IF(I$4&lt;=INT('Параметры'!C9),'Производительность'!J5/'Параметры'!C9,IF(I$4=INT('Параметры'!C9)+1,'Производительность'!J5*('Параметры'!C9-INT('Параметры'!C9))/'Параметры'!C9,0))</f>
        <v>39017.87234042553</v>
      </c>
      <c r="J131" s="55">
        <f>IF(J$4&lt;=INT('Параметры'!C9),'Производительность'!J5/'Параметры'!C9,IF(J$4=INT('Параметры'!C9)+1,'Производительность'!J5*('Параметры'!C9-INT('Параметры'!C9))/'Параметры'!C9,0))</f>
        <v>6633.038297872337</v>
      </c>
      <c r="K131" s="55">
        <f>IF(K$4&lt;=INT('Параметры'!C9),'Производительность'!J5/'Параметры'!C9,IF(K$4=INT('Параметры'!C9)+1,'Производительность'!J5*('Параметры'!C9-INT('Параметры'!C9))/'Параметры'!C9,0))</f>
        <v>0.0</v>
      </c>
      <c r="L131" s="55">
        <f>IF(L$4&lt;=INT('Параметры'!C9),'Производительность'!J5/'Параметры'!C9,IF(L$4=INT('Параметры'!C9)+1,'Производительность'!J5*('Параметры'!C9-INT('Параметры'!C9))/'Параметры'!C9,0))</f>
        <v>0.0</v>
      </c>
      <c r="M131" s="55">
        <f>IF(M$4&lt;=INT('Параметры'!C9),'Производительность'!J5/'Параметры'!C9,IF(M$4=INT('Параметры'!C9)+1,'Производительность'!J5*('Параметры'!C9-INT('Параметры'!C9))/'Параметры'!C9,0))</f>
        <v>0.0</v>
      </c>
      <c r="N131" s="55">
        <f>IF(N$4&lt;=INT('Параметры'!C9),'Производительность'!J5/'Параметры'!C9,IF(N$4=INT('Параметры'!C9)+1,'Производительность'!J5*('Параметры'!C9-INT('Параметры'!C9))/'Параметры'!C9,0))</f>
        <v>0.0</v>
      </c>
    </row>
    <row r="132">
      <c r="B132" s="22" t="inlineStr">
        <is>
          <t>Налогооблагаемая база</t>
        </is>
      </c>
      <c r="C132" s="24" t="inlineStr">
        <is>
          <t>тыс.руб</t>
        </is>
      </c>
      <c r="D132" s="55" t="n"/>
      <c r="E132" s="55">
        <f>E130+E131</f>
        <v>103033.88801488504</v>
      </c>
      <c r="F132" s="55">
        <f>F130+F131</f>
        <v>135918.87507770167</v>
      </c>
      <c r="G132" s="55">
        <f>G130+G131</f>
        <v>202314.89113761284</v>
      </c>
      <c r="H132" s="55">
        <f>H130+H131</f>
        <v>136124.8034534501</v>
      </c>
      <c r="I132" s="55">
        <f>I130+I131</f>
        <v>102661.5931835382</v>
      </c>
      <c r="J132" s="55">
        <f>J130+J131</f>
        <v>202403.56039691396</v>
      </c>
      <c r="K132" s="55">
        <f>K130+K131</f>
        <v>63251.83154695809</v>
      </c>
      <c r="L132" s="55">
        <f>L130+L131</f>
        <v>93736.68316609517</v>
      </c>
      <c r="M132" s="55">
        <f>M130+M131</f>
        <v>163532.15237488007</v>
      </c>
      <c r="N132" s="55">
        <f>N130+N131</f>
        <v>93358.32350003875</v>
      </c>
    </row>
    <row r="133">
      <c r="B133" s="22" t="inlineStr">
        <is>
          <t>Налог на прибыль (щит)</t>
        </is>
      </c>
      <c r="C133" s="24" t="inlineStr">
        <is>
          <t>тыс.руб</t>
        </is>
      </c>
      <c r="D133" s="55" t="n"/>
      <c r="E133" s="55">
        <f>-E132*'Параметры'!C7</f>
        <v>-25758.47200372126</v>
      </c>
      <c r="F133" s="55">
        <f>-F132*'Параметры'!C7</f>
        <v>-33979.71876942542</v>
      </c>
      <c r="G133" s="55">
        <f>-G132*'Параметры'!C7</f>
        <v>-50578.72278440321</v>
      </c>
      <c r="H133" s="55">
        <f>-H132*'Параметры'!C7</f>
        <v>-34031.20086336252</v>
      </c>
      <c r="I133" s="55">
        <f>-I132*'Параметры'!C7</f>
        <v>-25665.39829588455</v>
      </c>
      <c r="J133" s="55">
        <f>-J132*'Параметры'!C7</f>
        <v>-50600.89009922849</v>
      </c>
      <c r="K133" s="55">
        <f>-K132*'Параметры'!C7</f>
        <v>-15812.957886739523</v>
      </c>
      <c r="L133" s="55">
        <f>-L132*'Параметры'!C7</f>
        <v>-23434.170791523793</v>
      </c>
      <c r="M133" s="55">
        <f>-M132*'Параметры'!C7</f>
        <v>-40883.03809372002</v>
      </c>
      <c r="N133" s="55">
        <f>-N132*'Параметры'!C7</f>
        <v>-23339.580875009688</v>
      </c>
    </row>
    <row r="134">
      <c r="B134" s="22" t="inlineStr">
        <is>
          <t>Операц. денежный поток</t>
        </is>
      </c>
      <c r="C134" s="24" t="inlineStr">
        <is>
          <t>тыс.руб</t>
        </is>
      </c>
      <c r="D134" s="55" t="n"/>
      <c r="E134" s="64">
        <f>E132+E133-E131</f>
        <v>38257.54367073826</v>
      </c>
      <c r="F134" s="64">
        <f>F132+F133-F131</f>
        <v>62921.28396785073</v>
      </c>
      <c r="G134" s="64">
        <f>G132+G133-G131</f>
        <v>112718.29601278409</v>
      </c>
      <c r="H134" s="64">
        <f>H132+H133-H131</f>
        <v>63075.73024966204</v>
      </c>
      <c r="I134" s="64">
        <f>I132+I133-I131</f>
        <v>37978.322547228134</v>
      </c>
      <c r="J134" s="64">
        <f>J132+J133-J131</f>
        <v>145169.63199981314</v>
      </c>
      <c r="K134" s="64">
        <f>K132+K133-K131</f>
        <v>47438.87366021857</v>
      </c>
      <c r="L134" s="64">
        <f>L132+L133-L131</f>
        <v>70302.51237457138</v>
      </c>
      <c r="M134" s="64">
        <f>M132+M133-M131</f>
        <v>122649.11428116006</v>
      </c>
      <c r="N134" s="64">
        <f>N132+N133-N131</f>
        <v>70018.74262502906</v>
      </c>
    </row>
    <row r="135">
      <c r="B135" s="22" t="inlineStr">
        <is>
          <t>Инвестиции / остаточная ст-ть</t>
        </is>
      </c>
      <c r="C135" s="24" t="inlineStr">
        <is>
          <t>тыс.руб</t>
        </is>
      </c>
      <c r="D135" s="55">
        <f>IF(D$4=0,'Производительность'!J5,IF(D$4='Параметры'!C8,-'Ввод данных'!J14*'Производительность'!J5,0))</f>
        <v>201722.4</v>
      </c>
      <c r="E135" s="55">
        <f>IF(E$4=0,'Производительность'!J5,IF(E$4='Параметры'!C8,-'Ввод данных'!J14*'Производительность'!J5,0))</f>
        <v>0.0</v>
      </c>
      <c r="F135" s="55">
        <f>IF(F$4=0,'Производительность'!J5,IF(F$4='Параметры'!C8,-'Ввод данных'!J14*'Производительность'!J5,0))</f>
        <v>0.0</v>
      </c>
      <c r="G135" s="55">
        <f>IF(G$4=0,'Производительность'!J5,IF(G$4='Параметры'!C8,-'Ввод данных'!J14*'Производительность'!J5,0))</f>
        <v>0.0</v>
      </c>
      <c r="H135" s="55">
        <f>IF(H$4=0,'Производительность'!J5,IF(H$4='Параметры'!C8,-'Ввод данных'!J14*'Производительность'!J5,0))</f>
        <v>0.0</v>
      </c>
      <c r="I135" s="55">
        <f>IF(I$4=0,'Производительность'!J5,IF(I$4='Параметры'!C8,-'Ввод данных'!J14*'Производительность'!J5,0))</f>
        <v>0.0</v>
      </c>
      <c r="J135" s="55">
        <f>IF(J$4=0,'Производительность'!J5,IF(J$4='Параметры'!C8,-'Ввод данных'!J14*'Производительность'!J5,0))</f>
        <v>0.0</v>
      </c>
      <c r="K135" s="55">
        <f>IF(K$4=0,'Производительность'!J5,IF(K$4='Параметры'!C8,-'Ввод данных'!J14*'Производительность'!J5,0))</f>
        <v>0.0</v>
      </c>
      <c r="L135" s="55">
        <f>IF(L$4=0,'Производительность'!J5,IF(L$4='Параметры'!C8,-'Ввод данных'!J14*'Производительность'!J5,0))</f>
        <v>0.0</v>
      </c>
      <c r="M135" s="55">
        <f>IF(M$4=0,'Производительность'!J5,IF(M$4='Параметры'!C8,-'Ввод данных'!J14*'Производительность'!J5,0))</f>
        <v>0.0</v>
      </c>
      <c r="N135" s="55">
        <f>IF(N$4=0,'Производительность'!J5,IF(N$4='Параметры'!C8,-'Ввод данных'!J14*'Производительность'!J5,0))</f>
        <v>-0.0</v>
      </c>
    </row>
    <row r="136">
      <c r="B136" s="22" t="inlineStr">
        <is>
          <t>Чистый денежный поток</t>
        </is>
      </c>
      <c r="C136" s="24" t="inlineStr">
        <is>
          <t>тыс.руб</t>
        </is>
      </c>
      <c r="D136" s="64">
        <f>0+D135</f>
        <v>201722.4</v>
      </c>
      <c r="E136" s="64">
        <f>E134+E135</f>
        <v>38257.54367073826</v>
      </c>
      <c r="F136" s="64">
        <f>F134+F135</f>
        <v>62921.28396785073</v>
      </c>
      <c r="G136" s="64">
        <f>G134+G135</f>
        <v>112718.29601278409</v>
      </c>
      <c r="H136" s="64">
        <f>H134+H135</f>
        <v>63075.73024966204</v>
      </c>
      <c r="I136" s="64">
        <f>I134+I135</f>
        <v>37978.322547228134</v>
      </c>
      <c r="J136" s="64">
        <f>J134+J135</f>
        <v>145169.63199981314</v>
      </c>
      <c r="K136" s="64">
        <f>K134+K135</f>
        <v>47438.87366021857</v>
      </c>
      <c r="L136" s="64">
        <f>L134+L135</f>
        <v>70302.51237457138</v>
      </c>
      <c r="M136" s="64">
        <f>M134+M135</f>
        <v>122649.11428116006</v>
      </c>
      <c r="N136" s="64">
        <f>N134+N135</f>
        <v>70018.74262502906</v>
      </c>
    </row>
    <row r="137">
      <c r="B137" s="22" t="inlineStr">
        <is>
          <t>Дисконтированный поток</t>
        </is>
      </c>
      <c r="C137" s="24" t="inlineStr">
        <is>
          <t>тыс.руб</t>
        </is>
      </c>
      <c r="D137" s="55">
        <f>D136*D$6</f>
        <v>201722.4</v>
      </c>
      <c r="E137" s="55">
        <f>E136*E$6</f>
        <v>34158.52113458773</v>
      </c>
      <c r="F137" s="55">
        <f>F136*F$6</f>
        <v>50160.462346819775</v>
      </c>
      <c r="G137" s="55">
        <f>G136*G$6</f>
        <v>80230.65666908487</v>
      </c>
      <c r="H137" s="55">
        <f>H136*H$6</f>
        <v>40085.766882246695</v>
      </c>
      <c r="I137" s="55">
        <f>I136*I$6</f>
        <v>21549.92014844044</v>
      </c>
      <c r="J137" s="55">
        <f>J136*J$6</f>
        <v>73547.45342096436</v>
      </c>
      <c r="K137" s="55">
        <f>K136*K$6</f>
        <v>21458.93727666589</v>
      </c>
      <c r="L137" s="55">
        <f>L136*L$6</f>
        <v>28394.005632901426</v>
      </c>
      <c r="M137" s="55">
        <f>M136*M$6</f>
        <v>44228.50016489772</v>
      </c>
      <c r="N137" s="55">
        <f>N136*N$6</f>
        <v>22544.161184991528</v>
      </c>
    </row>
    <row r="138">
      <c r="B138" s="22" t="inlineStr">
        <is>
          <t>Кумул. дисконт. поток</t>
        </is>
      </c>
      <c r="C138" s="24" t="inlineStr">
        <is>
          <t>тыс.руб</t>
        </is>
      </c>
      <c r="D138" s="55">
        <f>SUM($D137:D137)</f>
        <v>201722.4</v>
      </c>
      <c r="E138" s="55">
        <f>SUM($D137:E137)</f>
        <v>235880.92113458773</v>
      </c>
      <c r="F138" s="55">
        <f>SUM($D137:F137)</f>
        <v>286041.3834814075</v>
      </c>
      <c r="G138" s="55">
        <f>SUM($D137:G137)</f>
        <v>366272.04015049234</v>
      </c>
      <c r="H138" s="55">
        <f>SUM($D137:H137)</f>
        <v>406357.80703273905</v>
      </c>
      <c r="I138" s="55">
        <f>SUM($D137:I137)</f>
        <v>427907.7271811795</v>
      </c>
      <c r="J138" s="55">
        <f>SUM($D137:J137)</f>
        <v>501455.18060214387</v>
      </c>
      <c r="K138" s="55">
        <f>SUM($D137:K137)</f>
        <v>522914.1178788097</v>
      </c>
      <c r="L138" s="55">
        <f>SUM($D137:L137)</f>
        <v>551308.1235117111</v>
      </c>
      <c r="M138" s="55">
        <f>SUM($D137:M137)</f>
        <v>595536.6236766089</v>
      </c>
      <c r="N138" s="55">
        <f>SUM($D137:N137)</f>
        <v>618080.7848616004</v>
      </c>
    </row>
    <row r="139">
      <c r="B139" s="37" t="inlineStr">
        <is>
          <t>Аннуитет по году</t>
        </is>
      </c>
      <c r="C139" s="24" t="inlineStr">
        <is>
          <t>руб/м³</t>
        </is>
      </c>
      <c r="D139" s="65" t="n"/>
      <c r="E139" s="65">
        <f>SUM($D137:E137)/SUM($E$6:E$6)/(SUM($E125:E125)/E$4)</f>
        <v>71.4309499890989</v>
      </c>
      <c r="F139" s="65">
        <f>SUM($D137:F137)/SUM($E$6:F$6)/(SUM($E125:F125)/F$4)</f>
        <v>45.87604065653601</v>
      </c>
      <c r="G139" s="65">
        <f>SUM($D137:G137)/SUM($E$6:G$6)/(SUM($E125:G125)/G$4)</f>
        <v>42.7248031129418</v>
      </c>
      <c r="H139" s="65">
        <f>SUM($D137:H137)/SUM($E$6:H$6)/(SUM($E125:H125)/H$4)</f>
        <v>37.20287449735489</v>
      </c>
      <c r="I139" s="65">
        <f>SUM($D137:I137)/SUM($E$6:I$6)/(SUM($E125:I125)/I$4)</f>
        <v>32.89988073376011</v>
      </c>
      <c r="J139" s="65">
        <f>SUM($D137:J137)/SUM($E$6:J$6)/(SUM($E125:J125)/J$4)</f>
        <v>34.35003093385651</v>
      </c>
      <c r="K139" s="65">
        <f>SUM($D137:K137)/SUM($E$6:K$6)/(SUM($E125:K125)/K$4)</f>
        <v>32.19148447318091</v>
      </c>
      <c r="L139" s="65">
        <f>SUM($D137:L137)/SUM($E$6:L$6)/(SUM($E125:L125)/L$4)</f>
        <v>31.476800349786284</v>
      </c>
      <c r="M139" s="65">
        <f>SUM($D137:M137)/SUM($E$6:M$6)/(SUM($E125:M125)/M$4)</f>
        <v>31.871122325732074</v>
      </c>
      <c r="N139" s="65">
        <f>SUM($D137:N137)/SUM($E$6:N$6)/(SUM($E125:N125)/N$4)</f>
        <v>31.400790181392193</v>
      </c>
    </row>
  </sheetData>
  <mergeCells count="9">
    <mergeCell ref="B46:N46"/>
    <mergeCell ref="B84:N84"/>
    <mergeCell ref="B122:N122"/>
    <mergeCell ref="B27:N27"/>
    <mergeCell ref="B1:N1"/>
    <mergeCell ref="B8:N8"/>
    <mergeCell ref="B65:N65"/>
    <mergeCell ref="B2:N2"/>
    <mergeCell ref="B103:N10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руб/м³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дизтоплива</t>
        </is>
      </c>
      <c r="C6" s="24" t="inlineStr">
        <is>
          <t>тыс.руб</t>
        </is>
      </c>
      <c r="D6" s="55">
        <f>SUMPRODUCT('Денежный поток'!E12:N12,'Денежный поток'!$E$6:$N$6)</f>
        <v>129172.57600060561</v>
      </c>
      <c r="E6" s="55">
        <f>SUMPRODUCT('Денежный поток'!E31:N31,'Денежный поток'!$E$6:$N$6)</f>
        <v>119674.97797710523</v>
      </c>
      <c r="F6" s="55">
        <f>SUMPRODUCT('Денежный поток'!E50:N50,'Денежный поток'!$E$6:$N$6)</f>
        <v>115124.2620562412</v>
      </c>
      <c r="G6" s="55">
        <f>SUMPRODUCT('Денежный поток'!E69:N69,'Денежный поток'!$E$6:$N$6)</f>
        <v>117433.63714569922</v>
      </c>
      <c r="H6" s="55">
        <f>SUMPRODUCT('Денежный поток'!E88:N88,'Денежный поток'!$E$6:$N$6)</f>
        <v>130141.57962691567</v>
      </c>
      <c r="I6" s="55">
        <f>SUMPRODUCT('Денежный поток'!E107:N107,'Денежный поток'!$E$6:$N$6)</f>
        <v>153107.74073754784</v>
      </c>
      <c r="J6" s="55">
        <f>SUMPRODUCT('Денежный поток'!E126:N126,'Денежный поток'!$E$6:$N$6)</f>
        <v>156499.01921601032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5">
        <f>SUMPRODUCT('Денежный поток'!E13:N13,'Денежный поток'!$E$6:$N$6)</f>
        <v>515342.97452950774</v>
      </c>
      <c r="E7" s="55">
        <f>SUMPRODUCT('Денежный поток'!E32:N32,'Денежный поток'!$E$6:$N$6)</f>
        <v>240353.54647821235</v>
      </c>
      <c r="F7" s="55">
        <f>SUMPRODUCT('Денежный поток'!E51:N51,'Денежный поток'!$E$6:$N$6)</f>
        <v>183290.32419701308</v>
      </c>
      <c r="G7" s="55">
        <f>SUMPRODUCT('Денежный поток'!E70:N70,'Денежный поток'!$E$6:$N$6)</f>
        <v>183290.32419701308</v>
      </c>
      <c r="H7" s="55">
        <f>SUMPRODUCT('Денежный поток'!E89:N89,'Денежный поток'!$E$6:$N$6)</f>
        <v>1552912.224596638</v>
      </c>
      <c r="I7" s="55">
        <f>SUMPRODUCT('Денежный поток'!E108:N108,'Денежный поток'!$E$6:$N$6)</f>
        <v>106541.19839155186</v>
      </c>
      <c r="J7" s="55">
        <f>SUMPRODUCT('Денежный поток'!E127:N127,'Денежный поток'!$E$6:$N$6)</f>
        <v>372751.46847715485</v>
      </c>
    </row>
    <row r="8">
      <c r="B8" s="22" t="inlineStr">
        <is>
          <t>NPV расходников на ковш</t>
        </is>
      </c>
      <c r="C8" s="24" t="inlineStr">
        <is>
          <t>тыс.руб</t>
        </is>
      </c>
      <c r="D8" s="55">
        <f>SUMPRODUCT('Денежный поток'!E14:N14,'Денежный поток'!$E$6:$N$6)</f>
        <v>10050.179289982114</v>
      </c>
      <c r="E8" s="55">
        <f>SUMPRODUCT('Денежный поток'!E33:N33,'Денежный поток'!$E$6:$N$6)</f>
        <v>9598.776469538274</v>
      </c>
      <c r="F8" s="55">
        <f>SUMPRODUCT('Денежный поток'!E52:N52,'Денежный поток'!$E$6:$N$6)</f>
        <v>8781.451882415184</v>
      </c>
      <c r="G8" s="55">
        <f>SUMPRODUCT('Денежный поток'!E71:N71,'Денежный поток'!$E$6:$N$6)</f>
        <v>8781.451882415184</v>
      </c>
      <c r="H8" s="55">
        <f>SUMPRODUCT('Денежный поток'!E90:N90,'Денежный поток'!$E$6:$N$6)</f>
        <v>8781.451882415184</v>
      </c>
      <c r="I8" s="55">
        <f>SUMPRODUCT('Денежный поток'!E109:N109,'Денежный поток'!$E$6:$N$6)</f>
        <v>10764.188899449604</v>
      </c>
      <c r="J8" s="55">
        <f>SUMPRODUCT('Денежный поток'!E128:N128,'Денежный поток'!$E$6:$N$6)</f>
        <v>17310.775595622057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55">
        <f>SUMPRODUCT('Денежный поток'!E15:N15,'Денежный поток'!$E$6:$N$6)</f>
        <v>56586.983629534785</v>
      </c>
      <c r="E9" s="55">
        <f>SUMPRODUCT('Денежный поток'!E34:N34,'Денежный поток'!$E$6:$N$6)</f>
        <v>56586.983629534785</v>
      </c>
      <c r="F9" s="55">
        <f>SUMPRODUCT('Денежный поток'!E53:N53,'Денежный поток'!$E$6:$N$6)</f>
        <v>56586.983629534785</v>
      </c>
      <c r="G9" s="55">
        <f>SUMPRODUCT('Денежный поток'!E72:N72,'Денежный поток'!$E$6:$N$6)</f>
        <v>56586.983629534785</v>
      </c>
      <c r="H9" s="55">
        <f>SUMPRODUCT('Денежный поток'!E91:N91,'Денежный поток'!$E$6:$N$6)</f>
        <v>56586.983629534785</v>
      </c>
      <c r="I9" s="55">
        <f>SUMPRODUCT('Денежный поток'!E110:N110,'Денежный поток'!$E$6:$N$6)</f>
        <v>56586.983629534785</v>
      </c>
      <c r="J9" s="55">
        <f>SUMPRODUCT('Денежный поток'!E129:N129,'Денежный поток'!$E$6:$N$6)</f>
        <v>56586.983629534785</v>
      </c>
    </row>
    <row r="10">
      <c r="B10" s="22" t="inlineStr">
        <is>
          <t>NPV налога (щит)</t>
        </is>
      </c>
      <c r="C10" s="24" t="inlineStr">
        <is>
          <t>тыс.руб</t>
        </is>
      </c>
      <c r="D10" s="55">
        <f>SUMPRODUCT('Денежный поток'!E19:N19,'Денежный поток'!$E$6:$N$6)</f>
        <v>-229417.64297886437</v>
      </c>
      <c r="E10" s="55">
        <f>SUMPRODUCT('Денежный поток'!E38:N38,'Денежный поток'!$E$6:$N$6)</f>
        <v>-152770.63745910398</v>
      </c>
      <c r="F10" s="55">
        <f>SUMPRODUCT('Денежный поток'!E57:N57,'Денежный поток'!$E$6:$N$6)</f>
        <v>-131206.88698491346</v>
      </c>
      <c r="G10" s="55">
        <f>SUMPRODUCT('Денежный поток'!E76:N76,'Денежный поток'!$E$6:$N$6)</f>
        <v>-130769.39182227885</v>
      </c>
      <c r="H10" s="55">
        <f>SUMPRODUCT('Денежный поток'!E95:N95,'Денежный поток'!$E$6:$N$6)</f>
        <v>-470592.2645570434</v>
      </c>
      <c r="I10" s="55">
        <f>SUMPRODUCT('Денежный поток'!E114:N114,'Денежный поток'!$E$6:$N$6)</f>
        <v>-112552.42374996399</v>
      </c>
      <c r="J10" s="55">
        <f>SUMPRODUCT('Денежный поток'!E133:N133,'Денежный поток'!$E$6:$N$6)</f>
        <v>-186789.86205672164</v>
      </c>
    </row>
    <row r="11">
      <c r="B11" s="22" t="inlineStr">
        <is>
          <t>NPV инвестиций (за вычетом остат.)</t>
        </is>
      </c>
      <c r="C11" s="24" t="inlineStr">
        <is>
          <t>тыс.руб</t>
        </is>
      </c>
      <c r="D11" s="55">
        <f>'Производительность'!D5*(1-'Ввод данных'!D14*'Денежный поток'!$N$6)</f>
        <v>289278.04</v>
      </c>
      <c r="E11" s="55">
        <f>'Производительность'!E5*(1-'Ввод данных'!E14*'Денежный поток'!$N$6)</f>
        <v>258952.56631199998</v>
      </c>
      <c r="F11" s="55">
        <f>'Производительность'!F5*(1-'Ввод данных'!F14*'Денежный поток'!$N$6)</f>
        <v>225581.67719999998</v>
      </c>
      <c r="G11" s="55">
        <f>'Производительность'!G5*(1-'Ввод данных'!G14*'Денежный поток'!$N$6)</f>
        <v>219895.57101599997</v>
      </c>
      <c r="H11" s="55">
        <f>'Производительность'!H5*(1-'Ввод данных'!H14*'Денежный поток'!$N$6)</f>
        <v>187624.80594</v>
      </c>
      <c r="I11" s="55">
        <f>'Производительность'!I5*(1-'Ввод данных'!I14*'Денежный поток'!$N$6)</f>
        <v>172584.72</v>
      </c>
      <c r="J11" s="55">
        <f>'Производительность'!J5*(1-'Ввод данных'!J14*'Денежный поток'!$N$6)</f>
        <v>201722.4</v>
      </c>
    </row>
    <row r="12">
      <c r="B12" s="54" t="inlineStr">
        <is>
          <t>NPV операционных затрат</t>
        </is>
      </c>
      <c r="C12" s="24" t="inlineStr">
        <is>
          <t>тыс.руб</t>
        </is>
      </c>
      <c r="D12" s="64">
        <f>D6+D7+D8+D9+D10</f>
        <v>481735.07047076593</v>
      </c>
      <c r="E12" s="64">
        <f>E6+E7+E8+E9+E10</f>
        <v>273443.64709528664</v>
      </c>
      <c r="F12" s="64">
        <f>F6+F7+F8+F9+F10</f>
        <v>232576.13478029074</v>
      </c>
      <c r="G12" s="64">
        <f>G6+G7+G8+G9+G10</f>
        <v>235323.00503238337</v>
      </c>
      <c r="H12" s="64">
        <f>H6+H7+H8+H9+H10</f>
        <v>1277829.9751784604</v>
      </c>
      <c r="I12" s="64">
        <f>I6+I7+I8+I9+I10</f>
        <v>214447.6879081201</v>
      </c>
      <c r="J12" s="64">
        <f>J6+J7+J8+J9+J10</f>
        <v>416358.3848616004</v>
      </c>
    </row>
    <row r="13">
      <c r="B13" s="37" t="inlineStr">
        <is>
          <t>NPV полной стоимости владения</t>
        </is>
      </c>
      <c r="C13" s="24" t="inlineStr">
        <is>
          <t>тыс.руб</t>
        </is>
      </c>
      <c r="D13" s="59">
        <f>D11+D12</f>
        <v>771013.110470766</v>
      </c>
      <c r="E13" s="59">
        <f>E11+E12</f>
        <v>532396.2134072867</v>
      </c>
      <c r="F13" s="59">
        <f>F11+F12</f>
        <v>458157.8119802907</v>
      </c>
      <c r="G13" s="59">
        <f>G11+G12</f>
        <v>455218.5760483834</v>
      </c>
      <c r="H13" s="59">
        <f>H11+H12</f>
        <v>1465454.7811184605</v>
      </c>
      <c r="I13" s="59">
        <f>I11+I12</f>
        <v>387032.4079081201</v>
      </c>
      <c r="J13" s="59">
        <f>J11+J12</f>
        <v>618080.7848616004</v>
      </c>
    </row>
    <row r="14">
      <c r="B14" s="22" t="inlineStr">
        <is>
          <t>Средний годовой объём</t>
        </is>
      </c>
      <c r="C14" s="24" t="inlineStr">
        <is>
          <t>тыс.м³/год</t>
        </is>
      </c>
      <c r="D14" s="55">
        <f>AVERAGE('Денежный поток'!E11:N11)</f>
        <v>2012.031027256176</v>
      </c>
      <c r="E14" s="55">
        <f>AVERAGE('Денежный поток'!E30:N30)</f>
        <v>1935.1453506048806</v>
      </c>
      <c r="F14" s="55">
        <f>AVERAGE('Денежный поток'!E49:N49)</f>
        <v>1768.877014206169</v>
      </c>
      <c r="G14" s="55">
        <f>AVERAGE('Денежный поток'!E68:N68)</f>
        <v>1768.877014206169</v>
      </c>
      <c r="H14" s="55">
        <f>AVERAGE('Денежный поток'!E87:N87)</f>
        <v>1768.877014206169</v>
      </c>
      <c r="I14" s="55">
        <f>AVERAGE('Денежный поток'!E106:N106)</f>
        <v>2168.2663158398864</v>
      </c>
      <c r="J14" s="55">
        <f>AVERAGE('Денежный поток'!E125:N125)</f>
        <v>3483.686571582347</v>
      </c>
    </row>
    <row r="15">
      <c r="B15" s="5" t="inlineStr">
        <is>
          <t>УДЕЛЬНЫЙ АННУИТЕТ (руб/м³) — ГЛАВНЫЙ КРИТЕРИЙ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22" t="inlineStr">
        <is>
          <t>Инвестиционный</t>
        </is>
      </c>
      <c r="C16" s="24" t="inlineStr">
        <is>
          <t>руб/м³</t>
        </is>
      </c>
      <c r="D16" s="56">
        <f>D11/'Параметры'!C37/D14</f>
        <v>25.44574682280948</v>
      </c>
      <c r="E16" s="56">
        <f>E11/'Параметры'!C37/E14</f>
        <v>23.68323572771956</v>
      </c>
      <c r="F16" s="56">
        <f>F11/'Параметры'!C37/F14</f>
        <v>22.57046943816774</v>
      </c>
      <c r="G16" s="56">
        <f>G11/'Параметры'!C37/G14</f>
        <v>22.001548737510106</v>
      </c>
      <c r="H16" s="56">
        <f>H11/'Параметры'!C37/H14</f>
        <v>18.772712397897372</v>
      </c>
      <c r="I16" s="56">
        <f>I11/'Параметры'!C37/I14</f>
        <v>14.087182092357084</v>
      </c>
      <c r="J16" s="56">
        <f>J11/'Параметры'!C37/J14</f>
        <v>10.248244100818015</v>
      </c>
    </row>
    <row r="17">
      <c r="B17" s="22" t="inlineStr">
        <is>
          <t>Дизтопливо</t>
        </is>
      </c>
      <c r="C17" s="24" t="inlineStr">
        <is>
          <t>руб/м³</t>
        </is>
      </c>
      <c r="D17" s="56">
        <f>D6/'Параметры'!C37/D14</f>
        <v>11.362399528707835</v>
      </c>
      <c r="E17" s="56">
        <f>E6/'Параметры'!C37/E14</f>
        <v>10.945211914704581</v>
      </c>
      <c r="F17" s="56">
        <f>F6/'Параметры'!C37/F14</f>
        <v>11.518704314039947</v>
      </c>
      <c r="G17" s="56">
        <f>G6/'Параметры'!C37/G14</f>
        <v>11.749767760880381</v>
      </c>
      <c r="H17" s="56">
        <f>H6/'Параметры'!C37/H14</f>
        <v>13.021255015317237</v>
      </c>
      <c r="I17" s="56">
        <f>I6/'Параметры'!C37/I14</f>
        <v>12.497378814991473</v>
      </c>
      <c r="J17" s="56">
        <f>J6/'Параметры'!C37/J14</f>
        <v>7.950729073540087</v>
      </c>
    </row>
    <row r="18">
      <c r="B18" s="22" t="inlineStr">
        <is>
          <t>ТОиР + капремонты</t>
        </is>
      </c>
      <c r="C18" s="24" t="inlineStr">
        <is>
          <t>руб/м³</t>
        </is>
      </c>
      <c r="D18" s="56">
        <f>D7/'Параметры'!C37/D14</f>
        <v>45.331083053492094</v>
      </c>
      <c r="E18" s="56">
        <f>E7/'Параметры'!C37/E14</f>
        <v>21.98221002520768</v>
      </c>
      <c r="F18" s="56">
        <f>F7/'Параметры'!C37/F14</f>
        <v>18.339027849911478</v>
      </c>
      <c r="G18" s="56">
        <f>G7/'Параметры'!C37/G14</f>
        <v>18.339027849911478</v>
      </c>
      <c r="H18" s="56">
        <f>H7/'Параметры'!C37/H14</f>
        <v>155.3759079215477</v>
      </c>
      <c r="I18" s="56">
        <f>I7/'Параметры'!C37/I14</f>
        <v>8.696397120670548</v>
      </c>
      <c r="J18" s="56">
        <f>J7/'Параметры'!C37/J14</f>
        <v>18.9371534241723</v>
      </c>
    </row>
    <row r="19">
      <c r="B19" s="22" t="inlineStr">
        <is>
          <t>Расходники на ковш</t>
        </is>
      </c>
      <c r="C19" s="24" t="inlineStr">
        <is>
          <t>руб/м³</t>
        </is>
      </c>
      <c r="D19" s="56">
        <f>D8/'Параметры'!C37/D14</f>
        <v>0.8840433160316212</v>
      </c>
      <c r="E19" s="56">
        <f>E8/'Параметры'!C37/E14</f>
        <v>0.8778831160601944</v>
      </c>
      <c r="F19" s="56">
        <f>F8/'Параметры'!C37/F14</f>
        <v>0.878624069981835</v>
      </c>
      <c r="G19" s="56">
        <f>G8/'Параметры'!C37/G14</f>
        <v>0.878624069981835</v>
      </c>
      <c r="H19" s="56">
        <f>H8/'Параметры'!C37/H14</f>
        <v>0.878624069981835</v>
      </c>
      <c r="I19" s="56">
        <f>I8/'Параметры'!C37/I14</f>
        <v>0.8786240699818348</v>
      </c>
      <c r="J19" s="56">
        <f>J8/'Параметры'!C37/J14</f>
        <v>0.8794514336455357</v>
      </c>
    </row>
    <row r="20">
      <c r="B20" s="22" t="inlineStr">
        <is>
          <t>Персонал</t>
        </is>
      </c>
      <c r="C20" s="24" t="inlineStr">
        <is>
          <t>руб/м³</t>
        </is>
      </c>
      <c r="D20" s="56">
        <f>D9/'Параметры'!C37/D14</f>
        <v>4.97755743541268</v>
      </c>
      <c r="E20" s="56">
        <f>E9/'Параметры'!C37/E14</f>
        <v>5.175321841777693</v>
      </c>
      <c r="F20" s="56">
        <f>F9/'Параметры'!C37/F14</f>
        <v>5.661784239134619</v>
      </c>
      <c r="G20" s="56">
        <f>G9/'Параметры'!C37/G14</f>
        <v>5.661784239134619</v>
      </c>
      <c r="H20" s="56">
        <f>H9/'Параметры'!C37/H14</f>
        <v>5.661784239134619</v>
      </c>
      <c r="I20" s="56">
        <f>I9/'Параметры'!C37/I14</f>
        <v>4.618897562000193</v>
      </c>
      <c r="J20" s="56">
        <f>J9/'Параметры'!C37/J14</f>
        <v>2.8748280863427436</v>
      </c>
    </row>
    <row r="21">
      <c r="B21" s="22" t="inlineStr">
        <is>
          <t>Налог на прибыль (щит)</t>
        </is>
      </c>
      <c r="C21" s="24" t="inlineStr">
        <is>
          <t>руб/м³</t>
        </is>
      </c>
      <c r="D21" s="56">
        <f>D10/'Параметры'!C37/D14</f>
        <v>-20.180250322236272</v>
      </c>
      <c r="E21" s="56">
        <f>E10/'Параметры'!C37/E14</f>
        <v>-13.972068594441573</v>
      </c>
      <c r="F21" s="56">
        <f>F10/'Параметры'!C37/F14</f>
        <v>-13.127843845865858</v>
      </c>
      <c r="G21" s="56">
        <f>G10/'Параметры'!C37/G14</f>
        <v>-13.084070471537958</v>
      </c>
      <c r="H21" s="56">
        <f>H10/'Параметры'!C37/H14</f>
        <v>-47.0848894150473</v>
      </c>
      <c r="I21" s="56">
        <f>I10/'Параметры'!C37/I14</f>
        <v>-9.187061799572286</v>
      </c>
      <c r="J21" s="56">
        <f>J10/'Параметры'!C37/J14</f>
        <v>-9.489615937126509</v>
      </c>
    </row>
    <row r="22">
      <c r="B22" s="54" t="inlineStr">
        <is>
          <t>Операционный аннуитет</t>
        </is>
      </c>
      <c r="C22" s="24" t="inlineStr">
        <is>
          <t>руб/м³</t>
        </is>
      </c>
      <c r="D22" s="66">
        <f>D12/'Параметры'!C37/D14</f>
        <v>42.37483301140796</v>
      </c>
      <c r="E22" s="66">
        <f>E12/'Параметры'!C37/E14</f>
        <v>25.008558303308575</v>
      </c>
      <c r="F22" s="66">
        <f>F12/'Параметры'!C37/F14</f>
        <v>23.27029662720202</v>
      </c>
      <c r="G22" s="66">
        <f>G12/'Параметры'!C37/G14</f>
        <v>23.54513344837035</v>
      </c>
      <c r="H22" s="66">
        <f>H12/'Параметры'!C37/H14</f>
        <v>127.85268183093412</v>
      </c>
      <c r="I22" s="66">
        <f>I12/'Параметры'!C37/I14</f>
        <v>17.504235768071766</v>
      </c>
      <c r="J22" s="66">
        <f>J12/'Параметры'!C37/J14</f>
        <v>21.152546080574158</v>
      </c>
    </row>
    <row r="23">
      <c r="B23" s="37" t="inlineStr">
        <is>
          <t>ОБЩИЙ АННУИТЕТ</t>
        </is>
      </c>
      <c r="C23" s="24" t="inlineStr">
        <is>
          <t>руб/м³</t>
        </is>
      </c>
      <c r="D23" s="67">
        <f>D13/'Параметры'!C37/D14</f>
        <v>67.82057983421744</v>
      </c>
      <c r="E23" s="67">
        <f>E13/'Параметры'!C37/E14</f>
        <v>48.69179403102814</v>
      </c>
      <c r="F23" s="67">
        <f>F13/'Параметры'!C37/F14</f>
        <v>45.840766065369756</v>
      </c>
      <c r="G23" s="67">
        <f>G13/'Параметры'!C37/G14</f>
        <v>45.546682185880464</v>
      </c>
      <c r="H23" s="67">
        <f>H13/'Параметры'!C37/H14</f>
        <v>146.6253942288315</v>
      </c>
      <c r="I23" s="67">
        <f>I13/'Параметры'!C37/I14</f>
        <v>31.591417860428848</v>
      </c>
      <c r="J23" s="67">
        <f>J13/'Параметры'!C37/J14</f>
        <v>31.400790181392175</v>
      </c>
    </row>
    <row r="24">
      <c r="B24" s="5" t="inlineStr">
        <is>
          <t>ДОПОЛНИТЕЛЬНЫЕ ПОКАЗАТЕЛИ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54" t="inlineStr">
        <is>
          <t>Удельный аннуитет на тонну</t>
        </is>
      </c>
      <c r="C25" s="24" t="inlineStr">
        <is>
          <t>руб/т</t>
        </is>
      </c>
      <c r="D25" s="66">
        <f>D23/'Параметры'!C27</f>
        <v>24.334617809191762</v>
      </c>
      <c r="E25" s="66">
        <f>E23/'Параметры'!C27</f>
        <v>17.471041991757495</v>
      </c>
      <c r="F25" s="66">
        <f>F23/'Параметры'!C27</f>
        <v>16.44806819711868</v>
      </c>
      <c r="G25" s="66">
        <f>G23/'Параметры'!C27</f>
        <v>16.342548326473075</v>
      </c>
      <c r="H25" s="66">
        <f>H23/'Параметры'!C27</f>
        <v>52.61047514489828</v>
      </c>
      <c r="I25" s="66">
        <f>I23/'Параметры'!C27</f>
        <v>11.335277309088212</v>
      </c>
      <c r="J25" s="66">
        <f>J23/'Параметры'!C27</f>
        <v>11.266878428917178</v>
      </c>
    </row>
    <row r="26">
      <c r="B26" s="22" t="inlineStr">
        <is>
          <t>Себестоимость (без дисконта)</t>
        </is>
      </c>
      <c r="C26" s="24" t="inlineStr">
        <is>
          <t>руб/м³</t>
        </is>
      </c>
      <c r="D26" s="56">
        <f>AVERAGE('Денежный поток'!E16:N16)/D14</f>
        <v>64.49481514474991</v>
      </c>
      <c r="E26" s="56">
        <f>AVERAGE('Денежный поток'!E35:N35)/E14</f>
        <v>40.29531452730467</v>
      </c>
      <c r="F26" s="56">
        <f>AVERAGE('Денежный поток'!E54:N54)/F14</f>
        <v>37.171301330328845</v>
      </c>
      <c r="G26" s="56">
        <f>AVERAGE('Денежный поток'!E73:N73)/G14</f>
        <v>37.400096790889506</v>
      </c>
      <c r="H26" s="56">
        <f>AVERAGE('Денежный поток'!E92:N92)/H14</f>
        <v>183.78771017535053</v>
      </c>
      <c r="I26" s="56">
        <f>AVERAGE('Денежный поток'!E111:N111)/I14</f>
        <v>27.986981952767906</v>
      </c>
      <c r="J26" s="56">
        <f>AVERAGE('Денежный поток'!E130:N130)/J14</f>
        <v>31.42114479474778</v>
      </c>
    </row>
    <row r="27">
      <c r="B27" s="22" t="inlineStr">
        <is>
          <t>Доля инвестиций в аннуитете</t>
        </is>
      </c>
      <c r="C27" s="24" t="inlineStr">
        <is>
          <t>%</t>
        </is>
      </c>
      <c r="D27" s="58">
        <f>D16/D23</f>
        <v>0.3751921155054968</v>
      </c>
      <c r="E27" s="58">
        <f>E16/E23</f>
        <v>0.4863906988645307</v>
      </c>
      <c r="F27" s="58">
        <f>F16/F23</f>
        <v>0.49236675944686104</v>
      </c>
      <c r="G27" s="58">
        <f>G16/G23</f>
        <v>0.4830549160028745</v>
      </c>
      <c r="H27" s="58">
        <f>H16/H23</f>
        <v>0.1280317948785847</v>
      </c>
      <c r="I27" s="58">
        <f>I16/I23</f>
        <v>0.4459180070547759</v>
      </c>
      <c r="J27" s="58">
        <f>J16/J23</f>
        <v>0.3263689875833453</v>
      </c>
    </row>
  </sheetData>
  <mergeCells count="5">
    <mergeCell ref="B1:K1"/>
    <mergeCell ref="B15:I15"/>
    <mergeCell ref="B24:I24"/>
    <mergeCell ref="B5:I5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B1" s="1" t="inlineStr">
        <is>
          <t>СРАВНИТЕЛЬНЫЙ АНАЛИЗ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(руб/м³).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5">
        <f>'Производительность'!D5</f>
        <v>289278.04</v>
      </c>
      <c r="E5" s="55">
        <f>'Производительность'!E5</f>
        <v>258952.56631199998</v>
      </c>
      <c r="F5" s="55">
        <f>'Производительность'!F5</f>
        <v>225581.67719999998</v>
      </c>
      <c r="G5" s="55">
        <f>'Производительность'!G5</f>
        <v>219895.57101599997</v>
      </c>
      <c r="H5" s="55">
        <f>'Производительность'!H5</f>
        <v>187624.80594</v>
      </c>
      <c r="I5" s="55">
        <f>'Производительность'!I5</f>
        <v>172584.72</v>
      </c>
      <c r="J5" s="55">
        <f>'Производительность'!J5</f>
        <v>201722.4</v>
      </c>
    </row>
    <row r="6">
      <c r="B6" s="22" t="inlineStr">
        <is>
          <t>Средний годовой объём</t>
        </is>
      </c>
      <c r="C6" s="24" t="inlineStr">
        <is>
          <t>тыс.м³</t>
        </is>
      </c>
      <c r="D6" s="55">
        <f>'Расчёт аннуитета'!D14</f>
        <v>2012.031027256176</v>
      </c>
      <c r="E6" s="55">
        <f>'Расчёт аннуитета'!E14</f>
        <v>1935.1453506048806</v>
      </c>
      <c r="F6" s="55">
        <f>'Расчёт аннуитета'!F14</f>
        <v>1768.877014206169</v>
      </c>
      <c r="G6" s="55">
        <f>'Расчёт аннуитета'!G14</f>
        <v>1768.877014206169</v>
      </c>
      <c r="H6" s="55">
        <f>'Расчёт аннуитета'!H14</f>
        <v>1768.877014206169</v>
      </c>
      <c r="I6" s="55">
        <f>'Расчёт аннуитета'!I14</f>
        <v>2168.2663158398864</v>
      </c>
      <c r="J6" s="55">
        <f>'Расчёт аннуитета'!J14</f>
        <v>3483.686571582347</v>
      </c>
    </row>
    <row r="7">
      <c r="B7" s="22" t="inlineStr">
        <is>
          <t>КИО (1-й год)</t>
        </is>
      </c>
      <c r="C7" s="24" t="inlineStr">
        <is>
          <t>коэф.</t>
        </is>
      </c>
      <c r="D7" s="58">
        <f>'Производительность'!D13</f>
        <v>0.5825446009454804</v>
      </c>
      <c r="E7" s="58">
        <f>'Производительность'!E13</f>
        <v>0.5825446009454804</v>
      </c>
      <c r="F7" s="58">
        <f>'Производительность'!F13</f>
        <v>0.5387869555164468</v>
      </c>
      <c r="G7" s="58">
        <f>'Производительность'!G13</f>
        <v>0.5387869555164468</v>
      </c>
      <c r="H7" s="58">
        <f>'Производительность'!H13</f>
        <v>0.5387869555164468</v>
      </c>
      <c r="I7" s="58">
        <f>'Производительность'!I13</f>
        <v>0.5387869555164468</v>
      </c>
      <c r="J7" s="58">
        <f>'Производительность'!J13</f>
        <v>0.5768024638508371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5">
        <f>'Расчёт аннуитета'!D13</f>
        <v>771013.110470766</v>
      </c>
      <c r="E8" s="55">
        <f>'Расчёт аннуитета'!E13</f>
        <v>532396.2134072867</v>
      </c>
      <c r="F8" s="55">
        <f>'Расчёт аннуитета'!F13</f>
        <v>458157.8119802907</v>
      </c>
      <c r="G8" s="55">
        <f>'Расчёт аннуитета'!G13</f>
        <v>455218.5760483834</v>
      </c>
      <c r="H8" s="55">
        <f>'Расчёт аннуитета'!H13</f>
        <v>1465454.7811184605</v>
      </c>
      <c r="I8" s="55">
        <f>'Расчёт аннуитета'!I13</f>
        <v>387032.4079081201</v>
      </c>
      <c r="J8" s="55">
        <f>'Расчёт аннуитета'!J13</f>
        <v>618080.7848616004</v>
      </c>
    </row>
    <row r="9">
      <c r="B9" s="22" t="inlineStr">
        <is>
          <t>Себестоимость (без дисконта)</t>
        </is>
      </c>
      <c r="C9" s="24" t="inlineStr">
        <is>
          <t>руб/м³</t>
        </is>
      </c>
      <c r="D9" s="56">
        <f>'Расчёт аннуитета'!D26</f>
        <v>64.49481514474991</v>
      </c>
      <c r="E9" s="56">
        <f>'Расчёт аннуитета'!E26</f>
        <v>40.29531452730467</v>
      </c>
      <c r="F9" s="56">
        <f>'Расчёт аннуитета'!F26</f>
        <v>37.171301330328845</v>
      </c>
      <c r="G9" s="56">
        <f>'Расчёт аннуитета'!G26</f>
        <v>37.400096790889506</v>
      </c>
      <c r="H9" s="56">
        <f>'Расчёт аннуитета'!H26</f>
        <v>183.78771017535053</v>
      </c>
      <c r="I9" s="56">
        <f>'Расчёт аннуитета'!I26</f>
        <v>27.986981952767906</v>
      </c>
      <c r="J9" s="56">
        <f>'Расчёт аннуитета'!J26</f>
        <v>31.42114479474778</v>
      </c>
    </row>
    <row r="10">
      <c r="B10" s="22" t="inlineStr">
        <is>
          <t>Инвестиционный аннуитет</t>
        </is>
      </c>
      <c r="C10" s="24" t="inlineStr">
        <is>
          <t>руб/м³</t>
        </is>
      </c>
      <c r="D10" s="56">
        <f>'Расчёт аннуитета'!D16</f>
        <v>25.44574682280948</v>
      </c>
      <c r="E10" s="56">
        <f>'Расчёт аннуитета'!E16</f>
        <v>23.68323572771956</v>
      </c>
      <c r="F10" s="56">
        <f>'Расчёт аннуитета'!F16</f>
        <v>22.57046943816774</v>
      </c>
      <c r="G10" s="56">
        <f>'Расчёт аннуитета'!G16</f>
        <v>22.001548737510106</v>
      </c>
      <c r="H10" s="56">
        <f>'Расчёт аннуитета'!H16</f>
        <v>18.772712397897372</v>
      </c>
      <c r="I10" s="56">
        <f>'Расчёт аннуитета'!I16</f>
        <v>14.087182092357084</v>
      </c>
      <c r="J10" s="56">
        <f>'Расчёт аннуитета'!J16</f>
        <v>10.248244100818015</v>
      </c>
    </row>
    <row r="11">
      <c r="B11" s="22" t="inlineStr">
        <is>
          <t>Операционный аннуитет</t>
        </is>
      </c>
      <c r="C11" s="24" t="inlineStr">
        <is>
          <t>руб/м³</t>
        </is>
      </c>
      <c r="D11" s="56">
        <f>'Расчёт аннуитета'!D22</f>
        <v>42.37483301140796</v>
      </c>
      <c r="E11" s="56">
        <f>'Расчёт аннуитета'!E22</f>
        <v>25.008558303308575</v>
      </c>
      <c r="F11" s="56">
        <f>'Расчёт аннуитета'!F22</f>
        <v>23.27029662720202</v>
      </c>
      <c r="G11" s="56">
        <f>'Расчёт аннуитета'!G22</f>
        <v>23.54513344837035</v>
      </c>
      <c r="H11" s="56">
        <f>'Расчёт аннуитета'!H22</f>
        <v>127.85268183093412</v>
      </c>
      <c r="I11" s="56">
        <f>'Расчёт аннуитета'!I22</f>
        <v>17.504235768071766</v>
      </c>
      <c r="J11" s="56">
        <f>'Расчёт аннуитета'!J22</f>
        <v>21.152546080574158</v>
      </c>
    </row>
    <row r="12">
      <c r="B12" s="54" t="inlineStr">
        <is>
          <t>ОБЩИЙ АННУИТЕТ</t>
        </is>
      </c>
      <c r="C12" s="24" t="inlineStr">
        <is>
          <t>руб/м³</t>
        </is>
      </c>
      <c r="D12" s="68">
        <f>'Расчёт аннуитета'!D23</f>
        <v>67.82057983421744</v>
      </c>
      <c r="E12" s="68">
        <f>'Расчёт аннуитета'!E23</f>
        <v>48.69179403102814</v>
      </c>
      <c r="F12" s="68">
        <f>'Расчёт аннуитета'!F23</f>
        <v>45.840766065369756</v>
      </c>
      <c r="G12" s="68">
        <f>'Расчёт аннуитета'!G23</f>
        <v>45.546682185880464</v>
      </c>
      <c r="H12" s="68">
        <f>'Расчёт аннуитета'!H23</f>
        <v>146.6253942288315</v>
      </c>
      <c r="I12" s="68">
        <f>'Расчёт аннуитета'!I23</f>
        <v>31.591417860428848</v>
      </c>
      <c r="J12" s="68">
        <f>'Расчёт аннуитета'!J23</f>
        <v>31.400790181392175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56">
        <f>'Расчёт аннуитета'!D25</f>
        <v>24.334617809191762</v>
      </c>
      <c r="E13" s="56">
        <f>'Расчёт аннуитета'!E25</f>
        <v>17.471041991757495</v>
      </c>
      <c r="F13" s="56">
        <f>'Расчёт аннуитета'!F25</f>
        <v>16.44806819711868</v>
      </c>
      <c r="G13" s="56">
        <f>'Расчёт аннуитета'!G25</f>
        <v>16.342548326473075</v>
      </c>
      <c r="H13" s="56">
        <f>'Расчёт аннуитета'!H25</f>
        <v>52.61047514489828</v>
      </c>
      <c r="I13" s="56">
        <f>'Расчёт аннуитета'!I25</f>
        <v>11.335277309088212</v>
      </c>
      <c r="J13" s="56">
        <f>'Расчёт аннуитета'!J25</f>
        <v>11.266878428917178</v>
      </c>
    </row>
    <row r="14">
      <c r="B14" s="5" t="inlineStr">
        <is>
          <t>РАНЖИРОВАНИЕ (критерий: минимум аннуитета руб/м³)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9" t="inlineStr">
        <is>
          <t>Место в рейтинге</t>
        </is>
      </c>
      <c r="D15" s="18">
        <f>RANK(D12,D12:J12,1)</f>
        <v>6.0</v>
      </c>
      <c r="E15" s="18">
        <f>RANK(E12,D12:J12,1)</f>
        <v>5.0</v>
      </c>
      <c r="F15" s="18">
        <f>RANK(F12,D12:J12,1)</f>
        <v>4.0</v>
      </c>
      <c r="G15" s="18">
        <f>RANK(G12,D12:J12,1)</f>
        <v>3.0</v>
      </c>
      <c r="H15" s="18">
        <f>RANK(H12,D12:J12,1)</f>
        <v>7.0</v>
      </c>
      <c r="I15" s="18">
        <f>RANK(I12,D12:J12,1)</f>
        <v>2.0</v>
      </c>
      <c r="J15" s="18">
        <f>RANK(J12,D12:J12,1)</f>
        <v>1.0</v>
      </c>
    </row>
    <row r="16">
      <c r="B16" s="70" t="inlineStr">
        <is>
          <t>Отклонение от лучшего</t>
        </is>
      </c>
      <c r="D16" s="71">
        <f>D12/MIN(D12:J12)-1</f>
        <v>1.1598367252046828</v>
      </c>
      <c r="E16" s="71">
        <f>E12/MIN(D12:J12)-1</f>
        <v>0.5506550551674478</v>
      </c>
      <c r="F16" s="71">
        <f>F12/MIN(D12:J12)-1</f>
        <v>0.45986027104931204</v>
      </c>
      <c r="G16" s="71">
        <f>G12/MIN(D12:J12)-1</f>
        <v>0.45049477808590366</v>
      </c>
      <c r="H16" s="71">
        <f>H12/MIN(D12:J12)-1</f>
        <v>3.6694810347709144</v>
      </c>
      <c r="I16" s="71">
        <f>I12/MIN(D12:J12)-1</f>
        <v>0.006070792420683757</v>
      </c>
      <c r="J16" s="71">
        <f>J12/MIN(D12:J12)-1</f>
        <v>0.0</v>
      </c>
    </row>
    <row r="18">
      <c r="B18" s="72" t="inlineStr">
        <is>
          <t>РЕКОМЕНДУЕМЫЙ ВАРИАНТ:</t>
        </is>
      </c>
      <c r="C18" s="73" t="str">
        <f>INDEX(D4:J4,MATCH(MIN(D12:J12),D12:J12,0))&amp;"  ("&amp;TEXT(MIN(D12:J12),"0.00")&amp;" руб/м³)"</f>
        <v>XCMG ESTAR ESE2000
(поставщик не указан)  (31.40 руб/м³)</v>
      </c>
      <c r="D18" s="74" t="n"/>
      <c r="E18" s="74" t="n"/>
      <c r="F18" s="74" t="n"/>
      <c r="G18" s="74" t="n"/>
      <c r="H18" s="74" t="n"/>
      <c r="I18" s="74" t="n"/>
    </row>
    <row r="20">
      <c r="B20" s="5" t="inlineStr">
        <is>
          <t>СТРУКТУРА УДЕЛЬНОГО АННУИТЕТА (руб/м³)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5" t="inlineStr">
        <is>
          <t>Статья</t>
        </is>
      </c>
      <c r="D21" s="15" t="str">
        <f>'Ввод данных'!D7</f>
        <v>Komatsu PC2000-8
Mining Solutions</v>
      </c>
      <c r="E21" s="15" t="str">
        <f>'Ввод данных'!E7</f>
        <v>Komatsu PC2000-11R
ИСТК</v>
      </c>
      <c r="F21" s="15" t="str">
        <f>'Ввод данных'!F7</f>
        <v>Zoomlion ZE2000G
Орикс</v>
      </c>
      <c r="G21" s="15" t="str">
        <f>'Ввод данных'!G7</f>
        <v>Sany SY2000
АСТ</v>
      </c>
      <c r="H21" s="15" t="str">
        <f>'Ввод данных'!H7</f>
        <v>Shantui SE2000LCW</v>
      </c>
      <c r="I21" s="15" t="str">
        <f>'Ввод данных'!I7</f>
        <v>TZCO TZ2000
Дзикай</v>
      </c>
      <c r="J21" s="15" t="str">
        <f>'Ввод данных'!J7</f>
        <v>XCMG ESTAR ESE2000
(поставщик не указан)</v>
      </c>
    </row>
    <row r="22">
      <c r="B22" s="22" t="inlineStr">
        <is>
          <t>Инвестиционный</t>
        </is>
      </c>
      <c r="D22" s="56">
        <f>'Расчёт аннуитета'!D16</f>
        <v>25.44574682280948</v>
      </c>
      <c r="E22" s="56">
        <f>'Расчёт аннуитета'!E16</f>
        <v>23.68323572771956</v>
      </c>
      <c r="F22" s="56">
        <f>'Расчёт аннуитета'!F16</f>
        <v>22.57046943816774</v>
      </c>
      <c r="G22" s="56">
        <f>'Расчёт аннуитета'!G16</f>
        <v>22.001548737510106</v>
      </c>
      <c r="H22" s="56">
        <f>'Расчёт аннуитета'!H16</f>
        <v>18.772712397897372</v>
      </c>
      <c r="I22" s="56">
        <f>'Расчёт аннуитета'!I16</f>
        <v>14.087182092357084</v>
      </c>
      <c r="J22" s="56">
        <f>'Расчёт аннуитета'!J16</f>
        <v>10.248244100818015</v>
      </c>
    </row>
    <row r="23">
      <c r="B23" s="22" t="inlineStr">
        <is>
          <t>Дизтопливо</t>
        </is>
      </c>
      <c r="D23" s="56">
        <f>'Расчёт аннуитета'!D17</f>
        <v>11.362399528707835</v>
      </c>
      <c r="E23" s="56">
        <f>'Расчёт аннуитета'!E17</f>
        <v>10.945211914704581</v>
      </c>
      <c r="F23" s="56">
        <f>'Расчёт аннуитета'!F17</f>
        <v>11.518704314039947</v>
      </c>
      <c r="G23" s="56">
        <f>'Расчёт аннуитета'!G17</f>
        <v>11.749767760880381</v>
      </c>
      <c r="H23" s="56">
        <f>'Расчёт аннуитета'!H17</f>
        <v>13.021255015317237</v>
      </c>
      <c r="I23" s="56">
        <f>'Расчёт аннуитета'!I17</f>
        <v>12.497378814991473</v>
      </c>
      <c r="J23" s="56">
        <f>'Расчёт аннуитета'!J17</f>
        <v>7.950729073540087</v>
      </c>
    </row>
    <row r="24">
      <c r="B24" s="22" t="inlineStr">
        <is>
          <t>ТОиР + капремонты</t>
        </is>
      </c>
      <c r="D24" s="56">
        <f>'Расчёт аннуитета'!D18</f>
        <v>45.331083053492094</v>
      </c>
      <c r="E24" s="56">
        <f>'Расчёт аннуитета'!E18</f>
        <v>21.98221002520768</v>
      </c>
      <c r="F24" s="56">
        <f>'Расчёт аннуитета'!F18</f>
        <v>18.339027849911478</v>
      </c>
      <c r="G24" s="56">
        <f>'Расчёт аннуитета'!G18</f>
        <v>18.339027849911478</v>
      </c>
      <c r="H24" s="56">
        <f>'Расчёт аннуитета'!H18</f>
        <v>155.3759079215477</v>
      </c>
      <c r="I24" s="56">
        <f>'Расчёт аннуитета'!I18</f>
        <v>8.696397120670548</v>
      </c>
      <c r="J24" s="56">
        <f>'Расчёт аннуитета'!J18</f>
        <v>18.9371534241723</v>
      </c>
    </row>
    <row r="25">
      <c r="B25" s="22" t="inlineStr">
        <is>
          <t>Расходники на ковш</t>
        </is>
      </c>
      <c r="D25" s="56">
        <f>'Расчёт аннуитета'!D19</f>
        <v>0.8840433160316212</v>
      </c>
      <c r="E25" s="56">
        <f>'Расчёт аннуитета'!E19</f>
        <v>0.8778831160601944</v>
      </c>
      <c r="F25" s="56">
        <f>'Расчёт аннуитета'!F19</f>
        <v>0.878624069981835</v>
      </c>
      <c r="G25" s="56">
        <f>'Расчёт аннуитета'!G19</f>
        <v>0.878624069981835</v>
      </c>
      <c r="H25" s="56">
        <f>'Расчёт аннуитета'!H19</f>
        <v>0.878624069981835</v>
      </c>
      <c r="I25" s="56">
        <f>'Расчёт аннуитета'!I19</f>
        <v>0.8786240699818348</v>
      </c>
      <c r="J25" s="56">
        <f>'Расчёт аннуитета'!J19</f>
        <v>0.8794514336455357</v>
      </c>
    </row>
    <row r="26">
      <c r="B26" s="22" t="inlineStr">
        <is>
          <t>Персонал</t>
        </is>
      </c>
      <c r="D26" s="56">
        <f>'Расчёт аннуитета'!D20</f>
        <v>4.97755743541268</v>
      </c>
      <c r="E26" s="56">
        <f>'Расчёт аннуитета'!E20</f>
        <v>5.175321841777693</v>
      </c>
      <c r="F26" s="56">
        <f>'Расчёт аннуитета'!F20</f>
        <v>5.661784239134619</v>
      </c>
      <c r="G26" s="56">
        <f>'Расчёт аннуитета'!G20</f>
        <v>5.661784239134619</v>
      </c>
      <c r="H26" s="56">
        <f>'Расчёт аннуитета'!H20</f>
        <v>5.661784239134619</v>
      </c>
      <c r="I26" s="56">
        <f>'Расчёт аннуитета'!I20</f>
        <v>4.618897562000193</v>
      </c>
      <c r="J26" s="56">
        <f>'Расчёт аннуитета'!J20</f>
        <v>2.8748280863427436</v>
      </c>
    </row>
    <row r="27">
      <c r="B27" s="22" t="inlineStr">
        <is>
          <t>Налог (щит)</t>
        </is>
      </c>
      <c r="D27" s="56">
        <f>'Расчёт аннуитета'!D21</f>
        <v>-20.180250322236272</v>
      </c>
      <c r="E27" s="56">
        <f>'Расчёт аннуитета'!E21</f>
        <v>-13.972068594441573</v>
      </c>
      <c r="F27" s="56">
        <f>'Расчёт аннуитета'!F21</f>
        <v>-13.127843845865858</v>
      </c>
      <c r="G27" s="56">
        <f>'Расчёт аннуитета'!G21</f>
        <v>-13.084070471537958</v>
      </c>
      <c r="H27" s="56">
        <f>'Расчёт аннуитета'!H21</f>
        <v>-47.0848894150473</v>
      </c>
      <c r="I27" s="56">
        <f>'Расчёт аннуитета'!I21</f>
        <v>-9.187061799572286</v>
      </c>
      <c r="J27" s="56">
        <f>'Расчёт аннуитета'!J21</f>
        <v>-9.489615937126509</v>
      </c>
    </row>
  </sheetData>
  <mergeCells count="5">
    <mergeCell ref="B1:K1"/>
    <mergeCell ref="B20:I20"/>
    <mergeCell ref="B14:I14"/>
    <mergeCell ref="B2:K2"/>
    <mergeCell ref="C18:J18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5">
        <f>'Производительность'!D5</f>
        <v>289278.04</v>
      </c>
      <c r="E6" s="55">
        <f>'Производительность'!E5</f>
        <v>258952.56631199998</v>
      </c>
      <c r="F6" s="55">
        <f>'Производительность'!F5</f>
        <v>225581.67719999998</v>
      </c>
      <c r="G6" s="55">
        <f>'Производительность'!G5</f>
        <v>219895.57101599997</v>
      </c>
      <c r="H6" s="55">
        <f>'Производительность'!H5</f>
        <v>187624.80594</v>
      </c>
      <c r="I6" s="55">
        <f>'Производительность'!I5</f>
        <v>172584.72</v>
      </c>
      <c r="J6" s="55">
        <f>'Производительность'!J5</f>
        <v>201722.4</v>
      </c>
    </row>
    <row r="7">
      <c r="B7" s="22" t="inlineStr">
        <is>
          <t>Средний годовой объём</t>
        </is>
      </c>
      <c r="C7" s="24" t="inlineStr">
        <is>
          <t>тыс.м³</t>
        </is>
      </c>
      <c r="D7" s="55">
        <f>'Расчёт аннуитета'!D14</f>
        <v>2012.031027256176</v>
      </c>
      <c r="E7" s="55">
        <f>'Расчёт аннуитета'!E14</f>
        <v>1935.1453506048806</v>
      </c>
      <c r="F7" s="55">
        <f>'Расчёт аннуитета'!F14</f>
        <v>1768.877014206169</v>
      </c>
      <c r="G7" s="55">
        <f>'Расчёт аннуитета'!G14</f>
        <v>1768.877014206169</v>
      </c>
      <c r="H7" s="55">
        <f>'Расчёт аннуитета'!H14</f>
        <v>1768.877014206169</v>
      </c>
      <c r="I7" s="55">
        <f>'Расчёт аннуитета'!I14</f>
        <v>2168.2663158398864</v>
      </c>
      <c r="J7" s="55">
        <f>'Расчёт аннуитета'!J14</f>
        <v>3483.686571582347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8">
        <f>AVERAGE('Данные по годам'!E7:N7)</f>
        <v>0.8399500570776256</v>
      </c>
      <c r="E8" s="58">
        <f>AVERAGE('Данные по годам'!E12:N12)</f>
        <v>0.8078530726788433</v>
      </c>
      <c r="F8" s="58">
        <f>AVERAGE('Данные по годам'!E17:N17)</f>
        <v>0.7384420662100457</v>
      </c>
      <c r="G8" s="58">
        <f>AVERAGE('Данные по годам'!E22:N22)</f>
        <v>0.7384420662100457</v>
      </c>
      <c r="H8" s="58">
        <f>AVERAGE('Данные по годам'!E27:N27)</f>
        <v>0.7384420662100457</v>
      </c>
      <c r="I8" s="58">
        <f>AVERAGE('Данные по годам'!E32:N32)</f>
        <v>0.7384420662100457</v>
      </c>
      <c r="J8" s="58">
        <f>AVERAGE('Данные по годам'!E37:N37)</f>
        <v>0.8618150684931507</v>
      </c>
    </row>
    <row r="9">
      <c r="B9" s="37" t="inlineStr">
        <is>
          <t>Аннуитет</t>
        </is>
      </c>
      <c r="C9" s="24" t="inlineStr">
        <is>
          <t>руб/м³</t>
        </is>
      </c>
      <c r="D9" s="67">
        <f>'Расчёт аннуитета'!D23</f>
        <v>67.82057983421744</v>
      </c>
      <c r="E9" s="67">
        <f>'Расчёт аннуитета'!E23</f>
        <v>48.69179403102814</v>
      </c>
      <c r="F9" s="67">
        <f>'Расчёт аннуитета'!F23</f>
        <v>45.840766065369756</v>
      </c>
      <c r="G9" s="67">
        <f>'Расчёт аннуитета'!G23</f>
        <v>45.546682185880464</v>
      </c>
      <c r="H9" s="67">
        <f>'Расчёт аннуитета'!H23</f>
        <v>146.6253942288315</v>
      </c>
      <c r="I9" s="67">
        <f>'Расчёт аннуитета'!I23</f>
        <v>31.591417860428848</v>
      </c>
      <c r="J9" s="67">
        <f>'Расчёт аннуитета'!J23</f>
        <v>31.400790181392175</v>
      </c>
    </row>
    <row r="10">
      <c r="B10" s="22" t="inlineStr">
        <is>
          <t>Аннуитет</t>
        </is>
      </c>
      <c r="C10" s="24" t="inlineStr">
        <is>
          <t>руб/т</t>
        </is>
      </c>
      <c r="D10" s="56">
        <f>'Расчёт аннуитета'!D25</f>
        <v>24.334617809191762</v>
      </c>
      <c r="E10" s="56">
        <f>'Расчёт аннуитета'!E25</f>
        <v>17.471041991757495</v>
      </c>
      <c r="F10" s="56">
        <f>'Расчёт аннуитета'!F25</f>
        <v>16.44806819711868</v>
      </c>
      <c r="G10" s="56">
        <f>'Расчёт аннуитета'!G25</f>
        <v>16.342548326473075</v>
      </c>
      <c r="H10" s="56">
        <f>'Расчёт аннуитета'!H25</f>
        <v>52.61047514489828</v>
      </c>
      <c r="I10" s="56">
        <f>'Расчёт аннуитета'!I25</f>
        <v>11.335277309088212</v>
      </c>
      <c r="J10" s="56">
        <f>'Расчёт аннуитета'!J25</f>
        <v>11.266878428917178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5">
        <f>'Расчёт аннуитета'!D13</f>
        <v>771013.110470766</v>
      </c>
      <c r="E11" s="55">
        <f>'Расчёт аннуитета'!E13</f>
        <v>532396.2134072867</v>
      </c>
      <c r="F11" s="55">
        <f>'Расчёт аннуитета'!F13</f>
        <v>458157.8119802907</v>
      </c>
      <c r="G11" s="55">
        <f>'Расчёт аннуитета'!G13</f>
        <v>455218.5760483834</v>
      </c>
      <c r="H11" s="55">
        <f>'Расчёт аннуитета'!H13</f>
        <v>1465454.7811184605</v>
      </c>
      <c r="I11" s="55">
        <f>'Расчёт аннуитета'!I13</f>
        <v>387032.4079081201</v>
      </c>
      <c r="J11" s="55">
        <f>'Расчёт аннуитета'!J13</f>
        <v>618080.7848616004</v>
      </c>
    </row>
    <row r="12">
      <c r="B12" s="22" t="inlineStr">
        <is>
          <t>Доля CAPEX</t>
        </is>
      </c>
      <c r="C12" s="24" t="inlineStr">
        <is>
          <t>%</t>
        </is>
      </c>
      <c r="D12" s="58">
        <f>'Расчёт аннуитета'!D16/'Расчёт аннуитета'!D23</f>
        <v>0.3751921155054968</v>
      </c>
      <c r="E12" s="58">
        <f>'Расчёт аннуитета'!E16/'Расчёт аннуитета'!E23</f>
        <v>0.4863906988645307</v>
      </c>
      <c r="F12" s="58">
        <f>'Расчёт аннуитета'!F16/'Расчёт аннуитета'!F23</f>
        <v>0.49236675944686104</v>
      </c>
      <c r="G12" s="58">
        <f>'Расчёт аннуитета'!G16/'Расчёт аннуитета'!G23</f>
        <v>0.4830549160028745</v>
      </c>
      <c r="H12" s="58">
        <f>'Расчёт аннуитета'!H16/'Расчёт аннуитета'!H23</f>
        <v>0.1280317948785847</v>
      </c>
      <c r="I12" s="58">
        <f>'Расчёт аннуитета'!I16/'Расчёт аннуитета'!I23</f>
        <v>0.4459180070547759</v>
      </c>
      <c r="J12" s="58">
        <f>'Расчёт аннуитета'!J16/'Расчёт аннуитета'!J23</f>
        <v>0.3263689875833453</v>
      </c>
    </row>
    <row r="13">
      <c r="B13" s="22" t="inlineStr">
        <is>
          <t>Доля топлива</t>
        </is>
      </c>
      <c r="C13" s="24" t="inlineStr">
        <is>
          <t>%</t>
        </is>
      </c>
      <c r="D13" s="58">
        <f>'Расчёт аннуитета'!D17/'Расчёт аннуитета'!D23</f>
        <v>0.16753616021099213</v>
      </c>
      <c r="E13" s="58">
        <f>'Расчёт аннуитета'!E17/'Расчёт аннуитета'!E23</f>
        <v>0.22478555437349265</v>
      </c>
      <c r="F13" s="58">
        <f>'Расчёт аннуитета'!F17/'Расчёт аннуитета'!F23</f>
        <v>0.25127643586091186</v>
      </c>
      <c r="G13" s="58">
        <f>'Расчёт аннуитета'!G17/'Расчёт аннуитета'!G23</f>
        <v>0.257971979450192</v>
      </c>
      <c r="H13" s="58">
        <f>'Расчёт аннуитета'!H17/'Расчёт аннуитета'!H23</f>
        <v>0.08880627454611009</v>
      </c>
      <c r="I13" s="58">
        <f>'Расчёт аннуитета'!I17/'Расчёт аннуитета'!I23</f>
        <v>0.3955941094573532</v>
      </c>
      <c r="J13" s="58">
        <f>'Расчёт аннуитета'!J17/'Расчёт аннуитета'!J23</f>
        <v>0.2532015604579154</v>
      </c>
    </row>
    <row r="14">
      <c r="B14" s="22" t="inlineStr">
        <is>
          <t>Доля ТОиР</t>
        </is>
      </c>
      <c r="C14" s="24" t="inlineStr">
        <is>
          <t>%</t>
        </is>
      </c>
      <c r="D14" s="58">
        <f>'Расчёт аннуитета'!D18/'Расчёт аннуитета'!D23</f>
        <v>0.6683971615149957</v>
      </c>
      <c r="E14" s="58">
        <f>'Расчёт аннуитета'!E18/'Расчёт аннуитета'!E23</f>
        <v>0.4514561531908197</v>
      </c>
      <c r="F14" s="58">
        <f>'Расчёт аннуитета'!F18/'Расчёт аннуитета'!F23</f>
        <v>0.4000593668910265</v>
      </c>
      <c r="G14" s="58">
        <f>'Расчёт аннуитета'!G18/'Расчёт аннуитета'!G23</f>
        <v>0.40264245318831593</v>
      </c>
      <c r="H14" s="58">
        <f>'Расчёт аннуитета'!H18/'Расчёт аннуитета'!H23</f>
        <v>1.059679387317177</v>
      </c>
      <c r="I14" s="58">
        <f>'Расчёт аннуитета'!I18/'Расчёт аннуитета'!I23</f>
        <v>0.27527720215317036</v>
      </c>
      <c r="J14" s="58">
        <f>'Расчёт аннуитета'!J18/'Расчёт аннуитета'!J23</f>
        <v>0.6030788816070713</v>
      </c>
    </row>
    <row r="15">
      <c r="B15" s="37" t="inlineStr">
        <is>
          <t>Место в рейтинге</t>
        </is>
      </c>
      <c r="C15" s="24" t="inlineStr"/>
      <c r="D15" s="59">
        <f>RANK(D9,D9:J9,1)</f>
        <v>6.0</v>
      </c>
      <c r="E15" s="59">
        <f>RANK(E9,D9:J9,1)</f>
        <v>5.0</v>
      </c>
      <c r="F15" s="59">
        <f>RANK(F9,D9:J9,1)</f>
        <v>4.0</v>
      </c>
      <c r="G15" s="59">
        <f>RANK(G9,D9:J9,1)</f>
        <v>3.0</v>
      </c>
      <c r="H15" s="59">
        <f>RANK(H9,D9:J9,1)</f>
        <v>7.0</v>
      </c>
      <c r="I15" s="59">
        <f>RANK(I9,D9:J9,1)</f>
        <v>2.0</v>
      </c>
      <c r="J15" s="59">
        <f>RANK(J9,D9:J9,1)</f>
        <v>1.0</v>
      </c>
    </row>
    <row r="16">
      <c r="B16" s="5" t="inlineStr">
        <is>
          <t>РАЗЛОЖЕНИЕ ПРЕВЫШЕНИЯ АННУИТЕТА НАД ЛУЧШИМ (руб/м³)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руб/м³</t>
        </is>
      </c>
      <c r="D17" s="56">
        <f>'Расчёт аннуитета'!D16-MIN(D16:J16)</f>
        <v>25.44574682280948</v>
      </c>
      <c r="E17" s="56">
        <f>'Расчёт аннуитета'!E16-MIN(D16:J16)</f>
        <v>23.68323572771956</v>
      </c>
      <c r="F17" s="56">
        <f>'Расчёт аннуитета'!F16-MIN(D16:J16)</f>
        <v>22.57046943816774</v>
      </c>
      <c r="G17" s="56">
        <f>'Расчёт аннуитета'!G16-MIN(D16:J16)</f>
        <v>22.001548737510106</v>
      </c>
      <c r="H17" s="56">
        <f>'Расчёт аннуитета'!H16-MIN(D16:J16)</f>
        <v>18.772712397897372</v>
      </c>
      <c r="I17" s="56">
        <f>'Расчёт аннуитета'!I16-MIN(D16:J16)</f>
        <v>14.087182092357084</v>
      </c>
      <c r="J17" s="56">
        <f>'Расчёт аннуитета'!J16-MIN(D16:J16)</f>
        <v>10.248244100818015</v>
      </c>
    </row>
    <row r="18">
      <c r="B18" s="22" t="inlineStr">
        <is>
          <t>Δ топливо</t>
        </is>
      </c>
      <c r="C18" s="24" t="inlineStr">
        <is>
          <t>руб/м³</t>
        </is>
      </c>
      <c r="D18" s="56">
        <f>'Расчёт аннуитета'!D17-MIN(D17:J17)</f>
        <v>1.1141554278898198</v>
      </c>
      <c r="E18" s="56">
        <f>'Расчёт аннуитета'!E17-MIN(D17:J17)</f>
        <v>0.696967813886566</v>
      </c>
      <c r="F18" s="56">
        <f>'Расчёт аннуитета'!F17-MIN(D17:J17)</f>
        <v>1.2704602132219325</v>
      </c>
      <c r="G18" s="56">
        <f>'Расчёт аннуитета'!G17-MIN(D17:J17)</f>
        <v>1.5015236600623663</v>
      </c>
      <c r="H18" s="56">
        <f>'Расчёт аннуитета'!H17-MIN(D17:J17)</f>
        <v>2.7730109144992223</v>
      </c>
      <c r="I18" s="56">
        <f>'Расчёт аннуитета'!I17-MIN(D17:J17)</f>
        <v>2.249134714173458</v>
      </c>
      <c r="J18" s="56">
        <f>'Расчёт аннуитета'!J17-MIN(D17:J17)</f>
        <v>-2.297515027277928</v>
      </c>
    </row>
    <row r="19">
      <c r="B19" s="22" t="inlineStr">
        <is>
          <t>Δ ТОиР</t>
        </is>
      </c>
      <c r="C19" s="24" t="inlineStr">
        <is>
          <t>руб/м³</t>
        </is>
      </c>
      <c r="D19" s="56">
        <f>'Расчёт аннуитета'!D18-MIN(D18:J18)</f>
        <v>47.62859808077002</v>
      </c>
      <c r="E19" s="56">
        <f>'Расчёт аннуитета'!E18-MIN(D18:J18)</f>
        <v>24.27972505248561</v>
      </c>
      <c r="F19" s="56">
        <f>'Расчёт аннуитета'!F18-MIN(D18:J18)</f>
        <v>20.636542877189406</v>
      </c>
      <c r="G19" s="56">
        <f>'Расчёт аннуитета'!G18-MIN(D18:J18)</f>
        <v>20.636542877189406</v>
      </c>
      <c r="H19" s="56">
        <f>'Расчёт аннуитета'!H18-MIN(D18:J18)</f>
        <v>157.67342294882565</v>
      </c>
      <c r="I19" s="56">
        <f>'Расчёт аннуитета'!I18-MIN(D18:J18)</f>
        <v>10.993912147948476</v>
      </c>
      <c r="J19" s="56">
        <f>'Расчёт аннуитета'!J18-MIN(D18:J18)</f>
        <v>21.23466845145023</v>
      </c>
    </row>
    <row r="20">
      <c r="B20" s="22" t="inlineStr">
        <is>
          <t>Δ персонал</t>
        </is>
      </c>
      <c r="C20" s="24" t="inlineStr">
        <is>
          <t>руб/м³</t>
        </is>
      </c>
      <c r="D20" s="56">
        <f>'Расчёт аннуитета'!D20-MIN(D20:J20)</f>
        <v/>
      </c>
      <c r="E20" s="56">
        <f>'Расчёт аннуитета'!E20-MIN(D20:J20)</f>
        <v/>
      </c>
      <c r="F20" s="56">
        <f>'Расчёт аннуитета'!F20-MIN(D20:J20)</f>
        <v/>
      </c>
      <c r="G20" s="56">
        <f>'Расчёт аннуитета'!G20-MIN(D20:J20)</f>
        <v/>
      </c>
      <c r="H20" s="56">
        <f>'Расчёт аннуитета'!H20-MIN(D20:J20)</f>
        <v/>
      </c>
      <c r="I20" s="56">
        <f>'Расчёт аннуитета'!I20-MIN(D20:J20)</f>
        <v/>
      </c>
      <c r="J20" s="56">
        <f>'Расчёт аннуитета'!J20-MIN(D20:J20)</f>
        <v/>
      </c>
    </row>
    <row r="21">
      <c r="B21" s="22" t="inlineStr">
        <is>
          <t>Δ налог (щит)</t>
        </is>
      </c>
      <c r="C21" s="24" t="inlineStr">
        <is>
          <t>руб/м³</t>
        </is>
      </c>
      <c r="D21" s="56">
        <f>'Расчёт аннуитета'!D21-MIN(D21:J21)</f>
        <v/>
      </c>
      <c r="E21" s="56">
        <f>'Расчёт аннуитета'!E21-MIN(D21:J21)</f>
        <v/>
      </c>
      <c r="F21" s="56">
        <f>'Расчёт аннуитета'!F21-MIN(D21:J21)</f>
        <v/>
      </c>
      <c r="G21" s="56">
        <f>'Расчёт аннуитета'!G21-MIN(D21:J21)</f>
        <v/>
      </c>
      <c r="H21" s="56">
        <f>'Расчёт аннуитета'!H21-MIN(D21:J21)</f>
        <v/>
      </c>
      <c r="I21" s="56">
        <f>'Расчёт аннуитета'!I21-MIN(D21:J21)</f>
        <v/>
      </c>
      <c r="J21" s="56">
        <f>'Расчёт аннуитета'!J21-MIN(D21:J21)</f>
        <v/>
      </c>
    </row>
    <row r="22">
      <c r="B22" s="37" t="inlineStr">
        <is>
          <t>ИТОГО превышение над лучшим</t>
        </is>
      </c>
      <c r="C22" s="24" t="inlineStr">
        <is>
          <t>руб/м³</t>
        </is>
      </c>
      <c r="D22" s="67">
        <f>D9-MIN(D9:J9)</f>
        <v>36.419789652825266</v>
      </c>
      <c r="E22" s="67">
        <f>E9-MIN(D9:J9)</f>
        <v>17.291003849635963</v>
      </c>
      <c r="F22" s="67">
        <f>F9-MIN(D9:J9)</f>
        <v>14.439975883977581</v>
      </c>
      <c r="G22" s="67">
        <f>G9-MIN(D9:J9)</f>
        <v>14.145892004488289</v>
      </c>
      <c r="H22" s="67">
        <f>H9-MIN(D9:J9)</f>
        <v>115.22460404743933</v>
      </c>
      <c r="I22" s="67">
        <f>I9-MIN(D9:J9)</f>
        <v>0.19062767903667321</v>
      </c>
      <c r="J22" s="67">
        <f>J9-MIN(D9:J9)</f>
        <v>0.0</v>
      </c>
    </row>
    <row r="23">
      <c r="B23" s="5" t="inlineStr">
        <is>
          <t>ДИАПАЗОН РИСКА АННУИТЕТА (руб/м³)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руб/м³</t>
        </is>
      </c>
      <c r="D24" s="56">
        <f>('Расчёт аннуитета'!D16+'Расчёт аннуитета'!D18+'Расчёт аннуитета'!D20+'Расчёт аннуитета'!D21)/1.1+('Расчёт аннуитета'!D17+'Расчёт аннуитета'!D19)-0.2*'Расчёт аннуитета'!D17</f>
        <v>60.49590565670513</v>
      </c>
      <c r="E24" s="56">
        <f>('Расчёт аннуитета'!E16+'Расчёт аннуитета'!E18+'Расчёт аннуитета'!E20+'Расчёт аннуитета'!E21)/1.1+('Расчёт аннуитета'!E17+'Расчёт аннуитета'!E19)-0.2*'Расчёт аннуитета'!E17</f>
        <v>43.15105173897236</v>
      </c>
      <c r="F24" s="56">
        <f>('Расчёт аннуитета'!F16+'Расчёт аннуитета'!F18+'Расчёт аннуитета'!F20+'Расчёт аннуитета'!F21)/1.1+('Расчёт аннуитета'!F17+'Расчёт аннуитета'!F19)-0.2*'Расчёт аннуитета'!F17</f>
        <v>40.4967126860756</v>
      </c>
      <c r="G24" s="56">
        <f>('Расчёт аннуитета'!G16+'Расчёт аннуитета'!G18+'Расчёт аннуитета'!G20+'Расчёт аннуитета'!G21)/1.1+('Расчёт аннуитета'!G17+'Расчёт аннуитета'!G19)-0.2*'Расчёт аннуитета'!G17</f>
        <v>40.20415678324818</v>
      </c>
      <c r="H24" s="56">
        <f>('Расчёт аннуитета'!H16+'Расчёт аннуитета'!H18+'Расчёт аннуитета'!H20+'Расчёт аннуитета'!H21)/1.1+('Расчёт аннуитета'!H17+'Расчёт аннуитета'!H19)-0.2*'Расчёт аннуитета'!H17</f>
        <v>131.9551873036287</v>
      </c>
      <c r="I24" s="56">
        <f>('Расчёт аннуитета'!I16+'Расчёт аннуитета'!I18+'Расчёт аннуитета'!I20+'Расчёт аннуитета'!I21)/1.1+('Расчёт аннуитета'!I17+'Расчёт аннуитета'!I19)-0.2*'Расчёт аннуитета'!I17</f>
        <v>27.435995281480047</v>
      </c>
      <c r="J24" s="56">
        <f>('Расчёт аннуитета'!J16+'Расчёт аннуитета'!J18+'Расчёт аннуитета'!J20+'Расчёт аннуитета'!J21)/1.1+('Расчёт аннуитета'!J17+'Расчёт аннуитета'!J19)-0.2*'Расчёт аннуитета'!J17</f>
        <v>27.758770759938102</v>
      </c>
    </row>
    <row r="25">
      <c r="B25" s="37" t="inlineStr">
        <is>
          <t>Базовый</t>
        </is>
      </c>
      <c r="C25" s="24" t="inlineStr">
        <is>
          <t>руб/м³</t>
        </is>
      </c>
      <c r="D25" s="67">
        <f>'Расчёт аннуитета'!D23</f>
        <v>67.82057983421744</v>
      </c>
      <c r="E25" s="67">
        <f>'Расчёт аннуитета'!E23</f>
        <v>48.69179403102814</v>
      </c>
      <c r="F25" s="67">
        <f>'Расчёт аннуитета'!F23</f>
        <v>45.840766065369756</v>
      </c>
      <c r="G25" s="67">
        <f>'Расчёт аннуитета'!G23</f>
        <v>45.546682185880464</v>
      </c>
      <c r="H25" s="67">
        <f>'Расчёт аннуитета'!H23</f>
        <v>146.6253942288315</v>
      </c>
      <c r="I25" s="67">
        <f>'Расчёт аннуитета'!I23</f>
        <v>31.591417860428848</v>
      </c>
      <c r="J25" s="67">
        <f>'Расчёт аннуитета'!J23</f>
        <v>31.400790181392175</v>
      </c>
    </row>
    <row r="26">
      <c r="B26" s="22" t="inlineStr">
        <is>
          <t>Пессимистичный (КТГ −10%, ДТ +20%)</t>
        </is>
      </c>
      <c r="C26" s="24" t="inlineStr">
        <is>
          <t>руб/м³</t>
        </is>
      </c>
      <c r="D26" s="56">
        <f>('Расчёт аннуитета'!D16+'Расчёт аннуитета'!D18+'Расчёт аннуитета'!D20+'Расчёт аннуитета'!D21)/0.9+('Расчёт аннуитета'!D17+'Расчёт аннуитета'!D19)+0.2*'Расчёт аннуитета'!D17</f>
        <v>76.267963849901</v>
      </c>
      <c r="E26" s="56">
        <f>('Расчёт аннуитета'!E16+'Расчёт аннуитета'!E18+'Расчёт аннуитета'!E20+'Расчёт аннуитета'!E21)/0.9+('Расчёт аннуитета'!E17+'Расчёт аннуитета'!E19)+0.2*'Расчёт аннуитета'!E17</f>
        <v>54.97735852510943</v>
      </c>
      <c r="F26" s="56">
        <f>('Расчёт аннуитета'!F16+'Расчёт аннуитета'!F18+'Расчёт аннуитета'!F20+'Расчёт аннуитета'!F21)/0.9+('Расчёт аннуитета'!F17+'Расчёт аннуитета'!F19)+0.2*'Расчёт аннуитета'!F17</f>
        <v>51.860444448327534</v>
      </c>
      <c r="G26" s="56">
        <f>('Расчёт аннуитета'!G16+'Расчёт аннуитета'!G18+'Расчёт аннуитета'!G20+'Расчёт аннуитета'!G21)/0.9+('Расчёт аннуитета'!G17+'Расчёт аннуитета'!G19)+0.2*'Расчёт аннуитета'!G17</f>
        <v>51.554223555280785</v>
      </c>
      <c r="H26" s="56">
        <f>('Расчёт аннуитета'!H16+'Расчёт аннуитета'!H18+'Расчёт аннуитета'!H20+'Расчёт аннуитета'!H21)/0.9+('Расчёт аннуитета'!H17+'Расчёт аннуитета'!H19)+0.2*'Расчёт аннуитета'!H17</f>
        <v>163.97692469228738</v>
      </c>
      <c r="I26" s="56">
        <f>('Расчёт аннуитета'!I16+'Расчёт аннуитета'!I18+'Расчёт аннуитета'!I20+'Расчёт аннуитета'!I21)/0.9+('Расчёт аннуитета'!I17+'Расчёт аннуитета'!I19)+0.2*'Расчёт аннуитета'!I17</f>
        <v>36.114828620699974</v>
      </c>
      <c r="J26" s="56">
        <f>('Расчёт аннуитета'!J16+'Расчёт аннуитета'!J18+'Расчёт аннуитета'!J20+'Расчёт аннуитета'!J21)/0.9+('Расчёт аннуитета'!J17+'Расчёт аннуитета'!J19)+0.2*'Расчёт аннуитета'!J17</f>
        <v>35.49878151545647</v>
      </c>
    </row>
    <row r="27">
      <c r="B27" s="22" t="inlineStr">
        <is>
          <t>Ширина диапазона (риск)</t>
        </is>
      </c>
      <c r="C27" s="24" t="inlineStr">
        <is>
          <t>руб/м³</t>
        </is>
      </c>
      <c r="D27" s="56">
        <f>D26-D24</f>
        <v>15.77205819319586</v>
      </c>
      <c r="E27" s="56">
        <f>E26-E24</f>
        <v>11.826306786137067</v>
      </c>
      <c r="F27" s="56">
        <f>F26-F24</f>
        <v>11.363731762251938</v>
      </c>
      <c r="G27" s="56">
        <f>G26-G24</f>
        <v>11.350066772032605</v>
      </c>
      <c r="H27" s="56">
        <f>H26-H24</f>
        <v>32.02173738865869</v>
      </c>
      <c r="I27" s="56">
        <f>I26-I24</f>
        <v>8.678833339219928</v>
      </c>
      <c r="J27" s="56">
        <f>J26-J24</f>
        <v>7.7400107555183695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Топливоёмкость</t>
        </is>
      </c>
      <c r="C29" s="24" t="inlineStr">
        <is>
          <t>кг/м³</t>
        </is>
      </c>
      <c r="D29" s="56">
        <f>'Расчёт аннуитета'!D17/'Параметры'!C10</f>
        <v>0.20722961022629646</v>
      </c>
      <c r="E29" s="56">
        <f>'Расчёт аннуитета'!E17/'Параметры'!C10</f>
        <v>0.19962086293460846</v>
      </c>
      <c r="F29" s="56">
        <f>'Расчёт аннуитета'!F17/'Параметры'!C10</f>
        <v>0.21008032671967805</v>
      </c>
      <c r="G29" s="56">
        <f>'Расчёт аннуитета'!G17/'Параметры'!C10</f>
        <v>0.21429450594346858</v>
      </c>
      <c r="H29" s="56">
        <f>'Расчёт аннуитета'!H17/'Параметры'!C10</f>
        <v>0.23748413305338753</v>
      </c>
      <c r="I29" s="56">
        <f>'Расчёт аннуитета'!I17/'Параметры'!C10</f>
        <v>0.22792957897121052</v>
      </c>
      <c r="J29" s="56">
        <f>'Расчёт аннуитета'!J17/'Параметры'!C10</f>
        <v>0.14500691361554052</v>
      </c>
    </row>
    <row r="30">
      <c r="B30" s="22" t="inlineStr">
        <is>
          <t>Топливо на м³</t>
        </is>
      </c>
      <c r="C30" s="24" t="inlineStr">
        <is>
          <t>руб/м³</t>
        </is>
      </c>
      <c r="D30" s="56">
        <f>'Расчёт аннуитета'!D17</f>
        <v>11.362399528707835</v>
      </c>
      <c r="E30" s="56">
        <f>'Расчёт аннуитета'!E17</f>
        <v>10.945211914704581</v>
      </c>
      <c r="F30" s="56">
        <f>'Расчёт аннуитета'!F17</f>
        <v>11.518704314039947</v>
      </c>
      <c r="G30" s="56">
        <f>'Расчёт аннуитета'!G17</f>
        <v>11.749767760880381</v>
      </c>
      <c r="H30" s="56">
        <f>'Расчёт аннуитета'!H17</f>
        <v>13.021255015317237</v>
      </c>
      <c r="I30" s="56">
        <f>'Расчёт аннуитета'!I17</f>
        <v>12.497378814991473</v>
      </c>
      <c r="J30" s="56">
        <f>'Расчёт аннуитета'!J17</f>
        <v>7.950729073540087</v>
      </c>
    </row>
    <row r="31">
      <c r="B31" s="22" t="inlineStr">
        <is>
          <t>Эффект +1 п.п. КТГ на аннуитет</t>
        </is>
      </c>
      <c r="C31" s="24" t="inlineStr">
        <is>
          <t>руб/м³</t>
        </is>
      </c>
      <c r="D31" s="56">
        <f>-('Расчёт аннуитета'!D16+'Расчёт аннуитета'!D18+'Расчёт аннуитета'!D20+'Расчёт аннуитета'!D21)*0.01/AVERAGE('Данные по годам'!E7:N7)</f>
        <v>-0.6616362070720354</v>
      </c>
      <c r="E31" s="56">
        <f>-('Расчёт аннуитета'!E16+'Расчёт аннуитета'!E18+'Расчёт аннуитета'!E20+'Расчёт аннуитета'!E21)*0.01/AVERAGE('Данные по годам'!E12:N12)</f>
        <v>-0.4563787679609442</v>
      </c>
      <c r="F31" s="56">
        <f>-('Расчёт аннуитета'!F16+'Расчёт аннуитета'!F18+'Расчёт аннуитета'!F20+'Расчёт аннуитета'!F21)*0.01/AVERAGE('Данные по годам'!E17:N17)</f>
        <v>-0.4528918274251617</v>
      </c>
      <c r="G31" s="56">
        <f>-('Расчёт аннуитета'!G16+'Расчёт аннуитета'!G18+'Расчёт аннуитета'!G20+'Расчёт аннуитета'!G21)*0.01/AVERAGE('Данные по годам'!E22:N22)</f>
        <v>-0.44578026985877073</v>
      </c>
      <c r="H31" s="56">
        <f>-('Расчёт аннуитета'!H16+'Расчёт аннуитета'!H18+'Расчёт аннуитета'!H20+'Расчёт аннуитета'!H21)*0.01/AVERAGE('Данные по годам'!E27:N27)</f>
        <v>-1.7973720785535443</v>
      </c>
      <c r="I31" s="56">
        <f>-('Расчёт аннуитета'!I16+'Расчёт аннуитета'!I18+'Расчёт аннуитета'!I20+'Расчёт аннуитета'!I21)*0.01/AVERAGE('Данные по годам'!E32:N32)</f>
        <v>-0.24667358224787622</v>
      </c>
      <c r="J31" s="56">
        <f>-('Расчёт аннуитета'!J16+'Расчёт аннуитета'!J18+'Расчёт аннуитета'!J20+'Расчёт аннуитета'!J21)*0.01/AVERAGE('Данные по годам'!E37:N37)</f>
        <v>-0.26189620603490216</v>
      </c>
    </row>
    <row r="33">
      <c r="B33" s="72" t="inlineStr">
        <is>
          <t>ВЫВОД:</t>
        </is>
      </c>
      <c r="C33" s="76" t="str">
        <f>"Лучший по удельному TCO: "&amp;INDEX(D4:J4,MATCH(MIN(D9:J9),D9:J9,0))&amp;" ("&amp;TEXT(MIN(D9:J9),"0.00")&amp;" руб/м³, "&amp;TEXT(MIN(D10:J10),"0.00")&amp;" руб/т). "&amp;"Отрыв от худшего: "&amp;TEXT(MAX(D9:J9)-MIN(D9:J9),"0.00")&amp;" руб/м³."</f>
        <v>Лучший по удельному TCO: XCMG ESTAR ESE2000
(поставщик не указан) (31.40 руб/м³, 11.27 руб/т). Отрыв от худшего: 115.22 руб/м³.</v>
      </c>
      <c r="D33" s="77" t="n"/>
      <c r="E33" s="77" t="n"/>
      <c r="F33" s="77" t="n"/>
      <c r="G33" s="77" t="n"/>
      <c r="H33" s="77" t="n"/>
      <c r="I33" s="77" t="n"/>
    </row>
    <row r="35">
      <c r="B35" s="7" t="inlineStr">
        <is>
          <t>Метод (лучшие практики):</t>
        </is>
      </c>
    </row>
    <row r="36">
      <c r="B36" s="62" t="inlineStr">
        <is>
          <t>•  Levelized cost — приведённые затраты на единицу продукции (руб/м³, руб/т) уравнивают машины с разной ценой и производительностью.</t>
        </is>
      </c>
    </row>
    <row r="37">
      <c r="B37" s="62" t="inlineStr">
        <is>
          <t>•  Многокритериальная оценка — не только цена, но и структура затрат, КТГ, топливоёмкость.</t>
        </is>
      </c>
    </row>
    <row r="38">
      <c r="B38" s="62" t="inlineStr">
        <is>
          <t>•  Разложение над лучшим — показывает, за счёт каких статей вариант дороже (управляемость).</t>
        </is>
      </c>
    </row>
    <row r="39">
      <c r="B39" s="62" t="inlineStr">
        <is>
          <t>•  Диапазон риска — устойчивость выбора к колебаниям КТГ и цены топлива (сценарии P-).</t>
        </is>
      </c>
    </row>
    <row r="40">
      <c r="B40" s="62" t="inlineStr">
        <is>
          <t>•  Ценность готовности — сколько руб/м³ даёт рост КТГ на 1 п.п. (обоснование сервисного контракта).</t>
        </is>
      </c>
    </row>
  </sheetData>
  <mergeCells count="12">
    <mergeCell ref="B1:K1"/>
    <mergeCell ref="B40:K40"/>
    <mergeCell ref="C33:J33"/>
    <mergeCell ref="B16:I16"/>
    <mergeCell ref="B28:I28"/>
    <mergeCell ref="B5:I5"/>
    <mergeCell ref="B39:K39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экскаватор (1–7):</t>
        </is>
      </c>
      <c r="C4" s="36" t="n">
        <v>1</v>
      </c>
      <c r="D4" s="78" t="str">
        <f>INDEX('Ввод данных'!D7:J7,$C$4)</f>
        <v>Komatsu PC2000-8
Mining Solutions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руб/м³</t>
        </is>
      </c>
      <c r="D7" s="56">
        <f>INDEX('Расчёт аннуитета'!D23:J23,$C$4)</f>
        <v>67.82057983421744</v>
      </c>
    </row>
    <row r="8">
      <c r="B8" s="22" t="inlineStr">
        <is>
          <t>— инвестиционный</t>
        </is>
      </c>
      <c r="C8" s="24" t="inlineStr">
        <is>
          <t>руб/м³</t>
        </is>
      </c>
      <c r="D8" s="56">
        <f>INDEX('Расчёт аннуитета'!D16:J16,$C$4)</f>
        <v>25.44574682280948</v>
      </c>
    </row>
    <row r="9">
      <c r="B9" s="22" t="inlineStr">
        <is>
          <t>— дизтопливо</t>
        </is>
      </c>
      <c r="C9" s="24" t="inlineStr">
        <is>
          <t>руб/м³</t>
        </is>
      </c>
      <c r="D9" s="56">
        <f>INDEX('Расчёт аннуитета'!D17:J17,$C$4)</f>
        <v>11.362399528707835</v>
      </c>
    </row>
    <row r="10">
      <c r="B10" s="22" t="inlineStr">
        <is>
          <t>— ТОиР + капремонты</t>
        </is>
      </c>
      <c r="C10" s="24" t="inlineStr">
        <is>
          <t>руб/м³</t>
        </is>
      </c>
      <c r="D10" s="56">
        <f>INDEX('Расчёт аннуитета'!D18:J18,$C$4)</f>
        <v>45.331083053492094</v>
      </c>
    </row>
    <row r="11">
      <c r="B11" s="22" t="inlineStr">
        <is>
          <t>— персонал</t>
        </is>
      </c>
      <c r="C11" s="24" t="inlineStr">
        <is>
          <t>руб/м³</t>
        </is>
      </c>
      <c r="D11" s="56">
        <f>INDEX('Расчёт аннуитета'!D20:J20,$C$4)</f>
        <v>4.97755743541268</v>
      </c>
    </row>
    <row r="12">
      <c r="B12" s="22" t="inlineStr">
        <is>
          <t>Средний годовой объём</t>
        </is>
      </c>
      <c r="C12" s="24" t="inlineStr">
        <is>
          <t>тыс.м³</t>
        </is>
      </c>
      <c r="D12" s="55">
        <f>INDEX('Расчёт аннуитета'!D14:J14,$C$4)</f>
        <v>2012.031027256176</v>
      </c>
    </row>
    <row r="13">
      <c r="B13" s="22" t="inlineStr">
        <is>
          <t>Стоимость (руб)</t>
        </is>
      </c>
      <c r="C13" s="24" t="inlineStr">
        <is>
          <t>тыс.руб</t>
        </is>
      </c>
      <c r="D13" s="55">
        <f>INDEX('Производительность'!D5:J5,$C$4)</f>
        <v>289278.04</v>
      </c>
    </row>
    <row r="14">
      <c r="B14" s="22" t="inlineStr">
        <is>
          <t>Постоянные (инв+ТОиР+перс+щит)</t>
        </is>
      </c>
      <c r="C14" s="24" t="inlineStr">
        <is>
          <t>руб/м³</t>
        </is>
      </c>
      <c r="D14" s="56">
        <f>INDEX('Расчёт аннуитета'!D16:J16,$C$4)+INDEX('Расчёт аннуитета'!D18:J18,$C$4)+INDEX('Расчёт аннуитета'!D20:J20,$C$4)+INDEX('Расчёт аннуитета'!D21:J21,$C$4)</f>
        <v>55.57413698947798</v>
      </c>
    </row>
    <row r="15">
      <c r="B15" s="22" t="inlineStr">
        <is>
          <t>Переменные (топливо+ковш)</t>
        </is>
      </c>
      <c r="C15" s="24" t="inlineStr">
        <is>
          <t>руб/м³</t>
        </is>
      </c>
      <c r="D15" s="56">
        <f>INDEX('Расчёт аннуитета'!D17:J17,$C$4)+INDEX('Расчёт аннуитета'!D19:J19,$C$4)</f>
        <v>12.246442844739455</v>
      </c>
    </row>
    <row r="17">
      <c r="B17" s="5" t="inlineStr">
        <is>
          <t>ТОРНАДО: ВЛИЯНИЕ ДРАЙВЕРОВ НА ОБЩИЙ АННУИТЕТ (руб/м³)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79" t="inlineStr">
        <is>
          <t>низкое</t>
        </is>
      </c>
      <c r="J18" s="79" t="inlineStr">
        <is>
          <t>высокое</t>
        </is>
      </c>
    </row>
    <row r="19">
      <c r="B19" s="22" t="inlineStr">
        <is>
          <t>Расход / цена ДТ</t>
        </is>
      </c>
      <c r="C19" s="80" t="inlineStr">
        <is>
          <t>±20%</t>
        </is>
      </c>
      <c r="D19" s="56">
        <f>$D$7-0.2*($D$9*(1-'Параметры'!C7))</f>
        <v>66.11621990491126</v>
      </c>
      <c r="E19" s="56">
        <f>$D$7+0.2*($D$9*(1-'Параметры'!C7))</f>
        <v>69.52493976352362</v>
      </c>
      <c r="F19" s="56">
        <f>E19-D19</f>
        <v>3.4087198586123577</v>
      </c>
      <c r="I19" s="81">
        <f>D19-$D$7</f>
        <v>-1.7043599293061789</v>
      </c>
      <c r="J19" s="81">
        <f>E19-$D$7</f>
        <v>1.7043599293061789</v>
      </c>
    </row>
    <row r="20">
      <c r="B20" s="22" t="inlineStr">
        <is>
          <t>Затраты на ТОиР/ремонты</t>
        </is>
      </c>
      <c r="C20" s="80" t="inlineStr">
        <is>
          <t>±25%</t>
        </is>
      </c>
      <c r="D20" s="56">
        <f>$D$7-0.25*($D$10*(1-'Параметры'!C7))</f>
        <v>59.32100176168767</v>
      </c>
      <c r="E20" s="56">
        <f>$D$7+0.25*($D$10*(1-'Параметры'!C7))</f>
        <v>76.32015790674721</v>
      </c>
      <c r="F20" s="56">
        <f>E20-D20</f>
        <v>16.999156145059544</v>
      </c>
      <c r="I20" s="81">
        <f>D20-$D$7</f>
        <v>-8.499578072529772</v>
      </c>
      <c r="J20" s="81">
        <f>E20-$D$7</f>
        <v>8.499578072529772</v>
      </c>
    </row>
    <row r="21">
      <c r="B21" s="22" t="inlineStr">
        <is>
          <t>Цена приобретения</t>
        </is>
      </c>
      <c r="C21" s="80" t="inlineStr">
        <is>
          <t>±15%</t>
        </is>
      </c>
      <c r="D21" s="56">
        <f>$D$7-0.15*($D$8*(1-'Параметры'!C7*'Параметры'!C38))</f>
        <v>64.68493973411981</v>
      </c>
      <c r="E21" s="56">
        <f>$D$7+0.15*($D$8*(1-'Параметры'!C7*'Параметры'!C38))</f>
        <v>70.95621993431507</v>
      </c>
      <c r="F21" s="56">
        <f>E21-D21</f>
        <v>6.271280200195264</v>
      </c>
      <c r="I21" s="81">
        <f>D21-$D$7</f>
        <v>-3.135640100097632</v>
      </c>
      <c r="J21" s="81">
        <f>E21-$D$7</f>
        <v>3.135640100097632</v>
      </c>
    </row>
    <row r="22">
      <c r="B22" s="22" t="inlineStr">
        <is>
          <t>Расходы на персонал</t>
        </is>
      </c>
      <c r="C22" s="80" t="inlineStr">
        <is>
          <t>±15%</t>
        </is>
      </c>
      <c r="D22" s="56">
        <f>$D$7-0.15*($D$11*(1-'Параметры'!C7))</f>
        <v>67.26060462273351</v>
      </c>
      <c r="E22" s="56">
        <f>$D$7+0.15*($D$11*(1-'Параметры'!C7))</f>
        <v>68.38055504570137</v>
      </c>
      <c r="F22" s="56">
        <f>E22-D22</f>
        <v>1.119950422967861</v>
      </c>
      <c r="I22" s="81">
        <f>D22-$D$7</f>
        <v>-0.5599752114839305</v>
      </c>
      <c r="J22" s="81">
        <f>E22-$D$7</f>
        <v>0.5599752114839305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54" t="inlineStr">
        <is>
          <t>Общий аннуитет, руб/м³</t>
        </is>
      </c>
      <c r="C27" s="66">
        <f>$D$14/(1+-0.15)+$D$15</f>
        <v>77.62778047941944</v>
      </c>
      <c r="D27" s="66">
        <f>$D$14/(1+-0.1)+$D$15</f>
        <v>73.99548394415943</v>
      </c>
      <c r="E27" s="68">
        <f>$D$14/(1+0.0)+$D$15</f>
        <v>67.82057983421743</v>
      </c>
      <c r="F27" s="66">
        <f>$D$14/(1+0.1)+$D$15</f>
        <v>62.7683855624467</v>
      </c>
      <c r="G27" s="66">
        <f>$D$14/(1+0.15)+$D$15</f>
        <v>60.57177935732901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82" t="n">
        <v>0.08</v>
      </c>
      <c r="D30" s="82" t="n">
        <v>0.1</v>
      </c>
      <c r="E30" s="82" t="n">
        <v>0.12</v>
      </c>
      <c r="F30" s="82" t="n">
        <v>0.14</v>
      </c>
      <c r="G30" s="82" t="n">
        <v>0.16</v>
      </c>
    </row>
    <row r="31">
      <c r="B31" s="54" t="inlineStr">
        <is>
          <t>Общий аннуитет, руб/м³ (оценка)</t>
        </is>
      </c>
      <c r="C31" s="66">
        <f>$D$13*(1-INDEX('Ввод данных'!D14:J14,$C$4)/(1+C30)^'Параметры'!C8)/((1-(1+C30)^-'Параметры'!C8)/C30)/$D$12+$D$7-$D$8</f>
        <v>63.801420279936764</v>
      </c>
      <c r="D31" s="66">
        <f>$D$13*(1-INDEX('Ввод данных'!D14:J14,$C$4)/(1+D30)^'Параметры'!C8)/((1-(1+D30)^-'Параметры'!C8)/D30)/$D$12+$D$7-$D$8</f>
        <v>65.77341296016776</v>
      </c>
      <c r="E31" s="68">
        <f>$D$13*(1-INDEX('Ввод данных'!D14:J14,$C$4)/(1+E30)^'Параметры'!C8)/((1-(1+E30)^-'Параметры'!C8)/E30)/$D$12+$D$7-$D$8</f>
        <v>67.82057983421744</v>
      </c>
      <c r="F31" s="66">
        <f>$D$13*(1-INDEX('Ввод данных'!D14:J14,$C$4)/(1+F30)^'Параметры'!C8)/((1-(1+F30)^-'Параметры'!C8)/F30)/$D$12+$D$7-$D$8</f>
        <v>69.93828336847825</v>
      </c>
      <c r="G31" s="66">
        <f>$D$13*(1-INDEX('Ввод данных'!D14:J14,$C$4)/(1+G30)^'Параметры'!C8)/((1-(1+G30)^-'Параметры'!C8)/G30)/$D$12+$D$7-$D$8</f>
        <v>72.12185926129521</v>
      </c>
    </row>
    <row r="33">
      <c r="B33" s="62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7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2000 (~12 м³)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0" t="inlineStr">
        <is>
          <t>12%</t>
        </is>
      </c>
      <c r="D5" s="80" t="inlineStr">
        <is>
          <t>8–16%</t>
        </is>
      </c>
      <c r="E5" s="22" t="inlineStr">
        <is>
          <t>Согласуется с эскалацией (реальн./номин.)</t>
        </is>
      </c>
    </row>
    <row r="6">
      <c r="B6" s="83" t="inlineStr">
        <is>
          <t>Налог на прибыль</t>
        </is>
      </c>
      <c r="C6" s="84" t="inlineStr">
        <is>
          <t>25%</t>
        </is>
      </c>
      <c r="D6" s="84" t="inlineStr">
        <is>
          <t>20–25%</t>
        </is>
      </c>
      <c r="E6" s="83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0" t="inlineStr">
        <is>
          <t>0,74–0,84</t>
        </is>
      </c>
      <c r="D7" s="80" t="inlineStr">
        <is>
          <t>0,70–0,90</t>
        </is>
      </c>
      <c r="E7" s="22" t="inlineStr">
        <is>
          <t>Зависит от бренда и сервиса</t>
        </is>
      </c>
    </row>
    <row r="8">
      <c r="B8" s="83" t="inlineStr">
        <is>
          <t>КИО (использование)</t>
        </is>
      </c>
      <c r="C8" s="84" t="inlineStr">
        <is>
          <t>0,47–0,58</t>
        </is>
      </c>
      <c r="D8" s="84" t="inlineStr">
        <is>
          <t>0,40–0,65</t>
        </is>
      </c>
      <c r="E8" s="83" t="inlineStr">
        <is>
          <t>Доля рабочего времени в КФВ</t>
        </is>
      </c>
    </row>
    <row r="9">
      <c r="B9" s="22" t="inlineStr">
        <is>
          <t>Удельный расход ДТ</t>
        </is>
      </c>
      <c r="C9" s="80" t="inlineStr">
        <is>
          <t>85–120</t>
        </is>
      </c>
      <c r="D9" s="80" t="inlineStr">
        <is>
          <t>70–140 кг/ч</t>
        </is>
      </c>
      <c r="E9" s="22" t="inlineStr">
        <is>
          <t>Двигатель и режим</t>
        </is>
      </c>
    </row>
    <row r="10">
      <c r="B10" s="83" t="inlineStr">
        <is>
          <t>Срок амортизации (НУ)</t>
        </is>
      </c>
      <c r="C10" s="84" t="inlineStr">
        <is>
          <t>62 мес</t>
        </is>
      </c>
      <c r="D10" s="84" t="inlineStr">
        <is>
          <t>5–7 лет</t>
        </is>
      </c>
      <c r="E10" s="83" t="inlineStr">
        <is>
          <t>Линейная амортизация</t>
        </is>
      </c>
    </row>
    <row r="11">
      <c r="B11" s="22" t="inlineStr">
        <is>
          <t>Остаточная стоимость</t>
        </is>
      </c>
      <c r="C11" s="80" t="inlineStr">
        <is>
          <t>10%</t>
        </is>
      </c>
      <c r="D11" s="80" t="inlineStr">
        <is>
          <t>8–20%</t>
        </is>
      </c>
      <c r="E11" s="22" t="inlineStr">
        <is>
          <t>Реализация в конце срока</t>
        </is>
      </c>
    </row>
    <row r="12">
      <c r="B12" s="83" t="inlineStr">
        <is>
          <t>Время цикла экскавации</t>
        </is>
      </c>
      <c r="C12" s="84" t="inlineStr">
        <is>
          <t>37 сек</t>
        </is>
      </c>
      <c r="D12" s="84" t="inlineStr">
        <is>
          <t>28–45 сек</t>
        </is>
      </c>
      <c r="E12" s="83" t="inlineStr">
        <is>
          <t>Черпание–поворот–разгрузка</t>
        </is>
      </c>
    </row>
    <row r="13">
      <c r="B13" s="22" t="inlineStr">
        <is>
          <t>Расходники на ковш</t>
        </is>
      </c>
      <c r="C13" s="80" t="inlineStr">
        <is>
          <t>0,87</t>
        </is>
      </c>
      <c r="D13" s="80" t="inlineStr">
        <is>
          <t>0,5–1,5 руб/м³</t>
        </is>
      </c>
      <c r="E13" s="22" t="inlineStr">
        <is>
          <t>Зубья, коронки, фиксаторы</t>
        </is>
      </c>
    </row>
    <row r="14">
      <c r="B14" s="83" t="inlineStr">
        <is>
          <t>Эскалация ДТ / ТОиР / ФОТ</t>
        </is>
      </c>
      <c r="C14" s="84" t="inlineStr">
        <is>
          <t>4 / 5 / 6%</t>
        </is>
      </c>
      <c r="D14" s="84" t="inlineStr">
        <is>
          <t>3–8%/год</t>
        </is>
      </c>
      <c r="E14" s="83" t="inlineStr">
        <is>
          <t>Обычно выше общей инфляции</t>
        </is>
      </c>
    </row>
    <row r="16">
      <c r="B16" s="7" t="inlineStr">
        <is>
          <t>Методические примечания:</t>
        </is>
      </c>
    </row>
    <row r="17">
      <c r="B17" s="85" t="inlineStr">
        <is>
          <t>•  Годовые затраты можно задавать усреднённо (в ТОиР) либо разнести капремонты по графику (раздел G ввода).</t>
        </is>
      </c>
    </row>
    <row r="18">
      <c r="B18" s="85" t="inlineStr">
        <is>
          <t>•  Расход ДТ — ключевой драйвер OPEX; уточняйте по факту двигателя, а не по паспорту.</t>
        </is>
      </c>
    </row>
    <row r="19">
      <c r="B19" s="85" t="inlineStr">
        <is>
          <t>•  Значения таблицы — ориентир порядка величин, а не норматив.</t>
        </is>
      </c>
    </row>
  </sheetData>
  <mergeCells count="5">
    <mergeCell ref="B18:I18"/>
    <mergeCell ref="B2:I2"/>
    <mergeCell ref="B19:I19"/>
    <mergeCell ref="B1:I1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2026-07-20T09:15:04Z</dcterms:created>
  <dcterms:modified xsi:type="dcterms:W3CDTF">2026-07-20T09:15:05Z</dcterms:modified>
</cp:coreProperties>
</file>