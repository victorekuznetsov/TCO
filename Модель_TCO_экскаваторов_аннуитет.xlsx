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Методика" sheetId="1" state="visible" r:id="rId1"/>
    <sheet name="Дашборд" sheetId="2" state="visible" r:id="rId2"/>
    <sheet name="Параметры" sheetId="3" state="visible" r:id="rId3"/>
    <sheet name="Ввод данных" sheetId="4" state="visible" r:id="rId4"/>
    <sheet name="Производительность" sheetId="5" state="visible" r:id="rId5"/>
    <sheet name="Денежный поток" sheetId="6" state="visible" r:id="rId6"/>
    <sheet name="Расчёт аннуитета" sheetId="7" state="visible" r:id="rId7"/>
    <sheet name="Сравнение" sheetId="8" state="visible" r:id="rId8"/>
    <sheet name="Чувствительность" sheetId="9" state="visible" r:id="rId9"/>
    <sheet name="Справочник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1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FFFFFF"/>
      <sz val="10"/>
    </font>
    <font>
      <b val="1"/>
      <color rgb="00FFFFFF"/>
      <sz val="11"/>
    </font>
    <font>
      <b val="1"/>
      <color rgb="001F3864"/>
      <sz val="9"/>
    </font>
    <font>
      <sz val="10"/>
    </font>
    <font>
      <b val="1"/>
      <sz val="10"/>
    </font>
    <font>
      <i val="1"/>
      <color rgb="00808080"/>
      <sz val="8"/>
    </font>
    <font>
      <b val="1"/>
      <color rgb="001F3864"/>
      <sz val="10"/>
    </font>
    <font>
      <b val="1"/>
      <color rgb="001F3864"/>
      <sz val="12"/>
    </font>
    <font>
      <b val="1"/>
      <color rgb="00006100"/>
      <sz val="12"/>
    </font>
    <font>
      <b val="1"/>
      <color rgb="00FFFFFF"/>
      <sz val="9"/>
    </font>
    <font>
      <b val="1"/>
      <color rgb="001F3864"/>
      <sz val="14"/>
    </font>
    <font>
      <b val="1"/>
      <color rgb="00006100"/>
    </font>
    <font>
      <b val="1"/>
      <color rgb="00C55A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DCE5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C6EFCE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0"/>
    <xf numFmtId="0" fontId="0" fillId="5" borderId="1" pivotButton="0" quotePrefix="0" xfId="0"/>
    <xf numFmtId="0" fontId="5" fillId="0" borderId="0" pivotButton="0" quotePrefix="0" xfId="0"/>
    <xf numFmtId="0" fontId="0" fillId="6" borderId="1" pivotButton="0" quotePrefix="0" xfId="0"/>
    <xf numFmtId="0" fontId="11" fillId="2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4" fontId="12" fillId="7" borderId="1" applyAlignment="1" pivotButton="0" quotePrefix="0" xfId="0">
      <alignment horizontal="center" vertical="center" wrapText="1"/>
    </xf>
    <xf numFmtId="3" fontId="12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166" fontId="5" fillId="5" borderId="1" applyAlignment="1" pivotButton="0" quotePrefix="0" xfId="0">
      <alignment horizontal="center" vertical="center" wrapText="1"/>
    </xf>
    <xf numFmtId="4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/>
    </xf>
    <xf numFmtId="4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3" fontId="8" fillId="6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4" fontId="8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4" fontId="8" fillId="6" borderId="1" applyAlignment="1" pivotButton="0" quotePrefix="0" xfId="0">
      <alignment horizontal="right" vertical="center"/>
    </xf>
    <xf numFmtId="4" fontId="6" fillId="6" borderId="1" applyAlignment="1" pivotButton="0" quotePrefix="0" xfId="0">
      <alignment horizontal="right" vertical="center"/>
    </xf>
    <xf numFmtId="0" fontId="6" fillId="0" borderId="1" pivotButton="0" quotePrefix="0" xfId="0"/>
    <xf numFmtId="0" fontId="5" fillId="0" borderId="1" pivotButton="0" quotePrefix="0" xfId="0"/>
    <xf numFmtId="164" fontId="5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4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4" fontId="0" fillId="0" borderId="0" pivotButton="0" quotePrefix="0" xfId="0"/>
    <xf numFmtId="164" fontId="4" fillId="4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Траектория аннуитета по годам, руб/м³</a:t>
            </a:r>
          </a:p>
        </rich>
      </tx>
    </title>
    <plotArea>
      <lineChart>
        <grouping val="standard"/>
        <ser>
          <idx val="0"/>
          <order val="0"/>
          <tx>
            <strRef>
              <f>'Ввод данных'!D$7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поток'!$E$26:$N$26</f>
            </numRef>
          </val>
        </ser>
        <ser>
          <idx val="1"/>
          <order val="1"/>
          <tx>
            <strRef>
              <f>'Ввод данных'!E$7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поток'!$E$46:$N$46</f>
            </numRef>
          </val>
        </ser>
        <ser>
          <idx val="2"/>
          <order val="2"/>
          <tx>
            <strRef>
              <f>'Ввод данных'!F$7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поток'!$E$66:$N$66</f>
            </numRef>
          </val>
        </ser>
        <ser>
          <idx val="3"/>
          <order val="3"/>
          <tx>
            <strRef>
              <f>'Ввод данных'!G$7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поток'!$E$86:$N$86</f>
            </numRef>
          </val>
        </ser>
        <ser>
          <idx val="4"/>
          <order val="4"/>
          <tx>
            <strRef>
              <f>'Ввод данных'!H$7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поток'!$E$106:$N$106</f>
            </numRef>
          </val>
        </ser>
        <ser>
          <idx val="5"/>
          <order val="5"/>
          <tx>
            <strRef>
              <f>'Ввод данных'!I$7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'Денежный поток'!$E$4:$N$4</f>
            </numRef>
          </cat>
          <val>
            <numRef>
              <f>'Денежный поток'!$E$126:$N$126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Год эксплуатации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аннуитета, руб/м³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'Сравнение'!$B$22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'Сравнение'!$D$22:$I$22</f>
            </numRef>
          </val>
        </ser>
        <ser>
          <idx val="1"/>
          <order val="1"/>
          <tx>
            <strRef>
              <f>'Сравнение'!$B$23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'Сравнение'!$D$23:$I$23</f>
            </numRef>
          </val>
        </ser>
        <ser>
          <idx val="2"/>
          <order val="2"/>
          <tx>
            <strRef>
              <f>'Сравнение'!$B$24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'Сравнение'!$D$24:$I$24</f>
            </numRef>
          </val>
        </ser>
        <ser>
          <idx val="3"/>
          <order val="3"/>
          <tx>
            <strRef>
              <f>'Сравнение'!$B$25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'Сравнение'!$D$25:$I$25</f>
            </numRef>
          </val>
        </ser>
        <ser>
          <idx val="4"/>
          <order val="4"/>
          <tx>
            <strRef>
              <f>'Сравнение'!$B$26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'Сравнение'!$D$26:$I$26</f>
            </numRef>
          </val>
        </ser>
        <ser>
          <idx val="5"/>
          <order val="5"/>
          <tx>
            <strRef>
              <f>'Сравнение'!$B$27</f>
            </strRef>
          </tx>
          <spPr>
            <a:ln>
              <a:prstDash val="solid"/>
            </a:ln>
          </spPr>
          <cat>
            <numRef>
              <f>'Сравнение'!$D$21:$I$21</f>
            </numRef>
          </cat>
          <val>
            <numRef>
              <f>'Сравнение'!$D$27:$I$27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Общий аннуитет, руб/м³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'Сравнение'!$D$12:$I$12</f>
            </numRef>
          </val>
        </ser>
        <dLbls>
          <numFmt formatCode="0.0"/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руб/м³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Стоимость экскаватора, тыс.руб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'Сравнение'!$D$4:$I$4</f>
            </numRef>
          </cat>
          <val>
            <numRef>
              <f>'Сравнение'!$D$5:$I$5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Торнадо: отклонение аннуитета, руб/м³</a:t>
            </a:r>
          </a:p>
        </rich>
      </tx>
    </title>
    <plotArea>
      <barChart>
        <barDir val="bar"/>
        <grouping val="stacked"/>
        <ser>
          <idx val="0"/>
          <order val="0"/>
          <spPr>
            <a:solidFill>
              <a:srgbClr val="70AD47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'Чувствительность'!$I$19:$I$22</f>
            </numRef>
          </val>
        </ser>
        <ser>
          <idx val="1"/>
          <order val="1"/>
          <spPr>
            <a:solidFill>
              <a:srgbClr val="C55A11"/>
            </a:solidFill>
            <a:ln>
              <a:prstDash val="solid"/>
            </a:ln>
          </spPr>
          <cat>
            <numRef>
              <f>'Чувствительность'!$B$19:$B$22</f>
            </numRef>
          </cat>
          <val>
            <numRef>
              <f>'Чувствительность'!$J$19:$J$22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22</row>
      <rowOff>0</rowOff>
    </from>
    <ext cx="39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K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22" customWidth="1" min="3" max="3"/>
  </cols>
  <sheetData>
    <row r="1">
      <c r="B1" s="1" t="inlineStr">
        <is>
          <t>МЕТОДИКА: АННУИТЕТ ЗАТРАТ (РУБ/М³) НА ВЛАДЕНИЕ ЭКСКАВАТОРАМИ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Пост-налоговый погодовой дисконтированный аннуитет жизненного цикла.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4" t="n"/>
      <c r="C4" s="5" t="inlineStr">
        <is>
          <t>1. НАЗНАЧЕНИЕ</t>
        </is>
      </c>
    </row>
    <row r="5" ht="50" customHeight="1">
      <c r="C5" s="6" t="inlineStr">
        <is>
          <t>Экономическое сравнение экскаваторов одного класса по удельному аннуитету затрат (руб/м³ вынутой горной массы) за полный срок эксплуатации. Метрика корректно сопоставляет машины с разной ценой, производительностью и структурой затрат. Лучший вариант — минимум руб/м³.</t>
        </is>
      </c>
    </row>
    <row r="6">
      <c r="B6" s="4" t="n"/>
      <c r="C6" s="5" t="inlineStr">
        <is>
          <t>2. ПРОИЗВОДИТЕЛЬНОСТЬ</t>
        </is>
      </c>
    </row>
    <row r="7" ht="60" customHeight="1">
      <c r="C7" s="6" t="inlineStr">
        <is>
          <t>Порода в ковше = ковш × плотность × (наполнение/разрыхление) × потери. Ковшей на самосвал = ОКРУГЛ.ВВЕРХ(грузоподъёмность / порода в ковше). Самосвалов/час = 3600/(ковшей × цикл + постановка а/с). т/ч = грузоподъёмность × самосвалов/час; м³/ч = т/ч / плотность. Годовой объём = м³/ч × эффективное время; эффективное время = КФВ × КТГ × (1 − простои/смена). КТГ снижается с возрастом машины.</t>
        </is>
      </c>
    </row>
    <row r="8">
      <c r="B8" s="4" t="n"/>
      <c r="C8" s="5" t="inlineStr">
        <is>
          <t>3. ПОГОДОВОЙ ДЕНЕЖНЫЙ ПОТОК (10 лет)</t>
        </is>
      </c>
    </row>
    <row r="9" ht="60" customHeight="1">
      <c r="C9" s="6" t="inlineStr">
        <is>
          <t>Для каждого года считаются: дизтопливо (эфф.время × кг/ч × цена, с эскалацией), ТОиР, капремонты по графику, расходники на ковш, персонал — все с индивидуальной эскалацией цен. Добавляются амортизация (НУ) и налог на прибыль (щит). Операционный поток = база + налог − амортизация. Инвестиции — в год 0, остаточная стоимость — в конце срока.</t>
        </is>
      </c>
    </row>
    <row r="10">
      <c r="B10" s="4" t="n"/>
      <c r="C10" s="5" t="inlineStr">
        <is>
          <t>4. АННУИТЕТ (ЯДРО)</t>
        </is>
      </c>
    </row>
    <row r="11" ht="65" customHeight="1">
      <c r="C11" s="6" t="inlineStr">
        <is>
          <t>Потоки дисконтируются и преобразуются в эквивалентный годовой платёж: Аннуитет = NPV затрат / Σ(дисконт-факторов). Инвестиционный аннуитет = (Цена − дисконт. остаточная стоимость) / Σ(дисконт-факторов). Операционный аннуитет — приведённые эксплуатационные затраты после налога. Общий = инвестиционный + операционный. Удельный аннуитет (руб/м³) = общий аннуитет / средний годовой объём; руб/т = руб/м³ / плотность.</t>
        </is>
      </c>
    </row>
    <row r="12">
      <c r="B12" s="4" t="n"/>
      <c r="C12" s="5" t="inlineStr">
        <is>
          <t>5. ПОРЯДОК РАБОТЫ</t>
        </is>
      </c>
    </row>
    <row r="13" ht="45" customHeight="1">
      <c r="C13" s="6" t="inlineStr">
        <is>
          <t>«Параметры» → «Ввод данных» (по каждому экскаватору) → авторасчёт «Производительность», «Денежный поток», «Расчёт аннуитета» → результаты на «Дашборд» и «Сравнение», анализ на «Чувствительность». «Справочник» — ориентиры для проверки данных.</t>
        </is>
      </c>
    </row>
    <row r="14">
      <c r="B14" s="4" t="n"/>
      <c r="C14" s="5" t="inlineStr">
        <is>
          <t>6. ДОПУЩЕНИЯ</t>
        </is>
      </c>
    </row>
    <row r="15">
      <c r="C15" s="6" t="inlineStr">
        <is>
          <t>• Машины сравниваются в одном классе и одной задаче; разница в производительности учтена через руб/м³.</t>
        </is>
      </c>
    </row>
    <row r="16">
      <c r="C16" s="6" t="inlineStr">
        <is>
          <t>• Капремонты можно учитывать усреднённо (в ТОиР) или разнести по графику (раздел G ввода).</t>
        </is>
      </c>
    </row>
    <row r="17">
      <c r="C17" s="6" t="inlineStr">
        <is>
          <t>• Ставка дисконтирования и эскалации должны быть согласованы (номинальные либо реальные).</t>
        </is>
      </c>
    </row>
    <row r="18" ht="30" customHeight="1">
      <c r="C18" s="6" t="inlineStr">
        <is>
          <t>• Методика воспроизводит корпоративный подход «аннуитета руб/м³» с погодовым дисконтированием, амортизацией и налоговым щитом.</t>
        </is>
      </c>
    </row>
    <row r="20">
      <c r="C20" s="7" t="inlineStr">
        <is>
          <t>Обозначения:</t>
        </is>
      </c>
    </row>
    <row r="21">
      <c r="B21" s="8" t="n"/>
      <c r="C21" s="9" t="inlineStr">
        <is>
          <t>жёлтые ячейки — ввод данных</t>
        </is>
      </c>
    </row>
    <row r="22">
      <c r="B22" s="10" t="n"/>
      <c r="C22" s="9" t="inlineStr">
        <is>
          <t>зелёные ячейки — итоговые показатели / лучший вариант</t>
        </is>
      </c>
    </row>
  </sheetData>
  <mergeCells count="2">
    <mergeCell ref="B1:K1"/>
    <mergeCell ref="B2:K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22" customWidth="1" min="3" max="3"/>
    <col width="22" customWidth="1" min="4" max="4"/>
    <col width="22" customWidth="1" min="5" max="5"/>
    <col width="6" customWidth="1" min="6" max="6"/>
    <col width="13" customWidth="1" min="7" max="7"/>
    <col width="13" customWidth="1" min="8" max="8"/>
    <col width="15" customWidth="1" min="9" max="9"/>
    <col width="13" customWidth="1" min="10" max="10"/>
  </cols>
  <sheetData>
    <row r="1">
      <c r="B1" s="1" t="inlineStr">
        <is>
          <t>ИТОГОВЫЙ ДАШБОРД — СРАВНЕНИЕ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Ключевые показатели и графики. Данные обновляются автоматически.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5" t="inlineStr">
        <is>
          <t>КЛЮЧЕВЫЕ ПОКАЗАТЕЛИ</t>
        </is>
      </c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B5" s="11" t="inlineStr">
        <is>
          <t>Лучший вариант</t>
        </is>
      </c>
      <c r="C5" s="11" t="inlineStr">
        <is>
          <t>Мин. аннуитет, руб/м³</t>
        </is>
      </c>
      <c r="D5" s="11" t="inlineStr">
        <is>
          <t>Мин. NPV владения, тыс.руб</t>
        </is>
      </c>
      <c r="E5" s="11" t="inlineStr">
        <is>
          <t>Разброс аннуитета, руб/м³</t>
        </is>
      </c>
    </row>
    <row r="6">
      <c r="B6" s="12">
        <f>INDEX('Ввод данных'!D7:I7,MATCH(MIN('Расчёт аннуитета'!D23:I23),'Расчёт аннуитета'!D23:I23,0))</f>
        <v/>
      </c>
      <c r="C6" s="13">
        <f>MIN('Расчёт аннуитета'!D23:I23)</f>
        <v/>
      </c>
      <c r="D6" s="14">
        <f>MIN('Расчёт аннуитета'!D13:I13)</f>
        <v/>
      </c>
      <c r="E6" s="13">
        <f>MAX('Расчёт аннуитета'!D23:I23)-MIN('Расчёт аннуитета'!D23:I23)</f>
        <v/>
      </c>
    </row>
    <row r="8">
      <c r="B8" s="5" t="inlineStr">
        <is>
          <t>РЕЙТИНГ ПО УДЕЛЬНОМУ АННУИТЕТУ (руб/м³)</t>
        </is>
      </c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B9" s="15" t="inlineStr">
        <is>
          <t>Место</t>
        </is>
      </c>
      <c r="C9" s="15" t="inlineStr">
        <is>
          <t>Экскаватор</t>
        </is>
      </c>
      <c r="D9" s="16" t="n"/>
      <c r="E9" s="16" t="n"/>
      <c r="F9" s="17" t="n"/>
      <c r="G9" s="15" t="inlineStr">
        <is>
          <t>Аннуитет, руб/м³</t>
        </is>
      </c>
      <c r="H9" s="17" t="n"/>
      <c r="I9" s="15" t="inlineStr">
        <is>
          <t>руб/т</t>
        </is>
      </c>
    </row>
    <row r="10">
      <c r="B10" s="18" t="n">
        <v>1</v>
      </c>
      <c r="C10" s="19">
        <f>INDEX('Ввод данных'!D7:I7,MATCH(SMALL('Расчёт аннуитета'!D23:I23,1),'Расчёт аннуитета'!D23:I23,0))</f>
        <v/>
      </c>
      <c r="G10" s="20">
        <f>SMALL('Расчёт аннуитета'!D23:I23,1)</f>
        <v/>
      </c>
      <c r="I10" s="21">
        <f>INDEX('Расчёт аннуитета'!$D$25:$I$25,MATCH(SMALL('Расчёт аннуитета'!D23:I23,1),'Расчёт аннуитета'!D23:I23,0))</f>
        <v/>
      </c>
    </row>
    <row r="11">
      <c r="B11" s="18" t="n">
        <v>2</v>
      </c>
      <c r="C11" s="22">
        <f>INDEX('Ввод данных'!D7:I7,MATCH(SMALL('Расчёт аннуитета'!D23:I23,2),'Расчёт аннуитета'!D23:I23,0))</f>
        <v/>
      </c>
      <c r="G11" s="21">
        <f>SMALL('Расчёт аннуитета'!D23:I23,2)</f>
        <v/>
      </c>
      <c r="I11" s="21">
        <f>INDEX('Расчёт аннуитета'!$D$25:$I$25,MATCH(SMALL('Расчёт аннуитета'!D23:I23,2),'Расчёт аннуитета'!D23:I23,0))</f>
        <v/>
      </c>
    </row>
    <row r="12">
      <c r="B12" s="18" t="n">
        <v>3</v>
      </c>
      <c r="C12" s="22">
        <f>INDEX('Ввод данных'!D7:I7,MATCH(SMALL('Расчёт аннуитета'!D23:I23,3),'Расчёт аннуитета'!D23:I23,0))</f>
        <v/>
      </c>
      <c r="G12" s="21">
        <f>SMALL('Расчёт аннуитета'!D23:I23,3)</f>
        <v/>
      </c>
      <c r="I12" s="21">
        <f>INDEX('Расчёт аннуитета'!$D$25:$I$25,MATCH(SMALL('Расчёт аннуитета'!D23:I23,3),'Расчёт аннуитета'!D23:I23,0))</f>
        <v/>
      </c>
    </row>
    <row r="13">
      <c r="B13" s="18" t="n">
        <v>4</v>
      </c>
      <c r="C13" s="22">
        <f>INDEX('Ввод данных'!D7:I7,MATCH(SMALL('Расчёт аннуитета'!D23:I23,4),'Расчёт аннуитета'!D23:I23,0))</f>
        <v/>
      </c>
      <c r="G13" s="21">
        <f>SMALL('Расчёт аннуитета'!D23:I23,4)</f>
        <v/>
      </c>
      <c r="I13" s="21">
        <f>INDEX('Расчёт аннуитета'!$D$25:$I$25,MATCH(SMALL('Расчёт аннуитета'!D23:I23,4),'Расчёт аннуитета'!D23:I23,0))</f>
        <v/>
      </c>
    </row>
    <row r="14">
      <c r="B14" s="18" t="n">
        <v>5</v>
      </c>
      <c r="C14" s="22">
        <f>INDEX('Ввод данных'!D7:I7,MATCH(SMALL('Расчёт аннуитета'!D23:I23,5),'Расчёт аннуитета'!D23:I23,0))</f>
        <v/>
      </c>
      <c r="G14" s="21">
        <f>SMALL('Расчёт аннуитета'!D23:I23,5)</f>
        <v/>
      </c>
      <c r="I14" s="21">
        <f>INDEX('Расчёт аннуитета'!$D$25:$I$25,MATCH(SMALL('Расчёт аннуитета'!D23:I23,5),'Расчёт аннуитета'!D23:I23,0))</f>
        <v/>
      </c>
    </row>
    <row r="15">
      <c r="B15" s="18" t="n">
        <v>6</v>
      </c>
      <c r="C15" s="22">
        <f>INDEX('Ввод данных'!D7:I7,MATCH(SMALL('Расчёт аннуитета'!D23:I23,6),'Расчёт аннуитета'!D23:I23,0))</f>
        <v/>
      </c>
      <c r="G15" s="21">
        <f>SMALL('Расчёт аннуитета'!D23:I23,6)</f>
        <v/>
      </c>
      <c r="I15" s="21">
        <f>INDEX('Расчёт аннуитета'!$D$25:$I$25,MATCH(SMALL('Расчёт аннуитета'!D23:I23,6),'Расчёт аннуитета'!D23:I23,0))</f>
        <v/>
      </c>
    </row>
  </sheetData>
  <mergeCells count="22">
    <mergeCell ref="G12:H12"/>
    <mergeCell ref="G11:H11"/>
    <mergeCell ref="B8:J8"/>
    <mergeCell ref="B5"/>
    <mergeCell ref="D5"/>
    <mergeCell ref="C13:F13"/>
    <mergeCell ref="G10:H10"/>
    <mergeCell ref="C15:F15"/>
    <mergeCell ref="G13:H13"/>
    <mergeCell ref="C5"/>
    <mergeCell ref="C14:F14"/>
    <mergeCell ref="E5"/>
    <mergeCell ref="G15:H15"/>
    <mergeCell ref="G14:H14"/>
    <mergeCell ref="B4:J4"/>
    <mergeCell ref="C10:F10"/>
    <mergeCell ref="B2:N2"/>
    <mergeCell ref="C9:F9"/>
    <mergeCell ref="B1:N1"/>
    <mergeCell ref="C12:F12"/>
    <mergeCell ref="C11:F11"/>
    <mergeCell ref="G9:H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4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3" customWidth="1" min="3" max="3"/>
    <col width="12" customWidth="1" min="4" max="4"/>
    <col width="52" customWidth="1" min="5" max="5"/>
  </cols>
  <sheetData>
    <row r="1">
      <c r="B1" s="1" t="inlineStr">
        <is>
          <t>ГЛОБАЛЬНЫЕ ПАРАМЕТРЫ МОДЕЛИ</t>
        </is>
      </c>
      <c r="C1" s="2" t="n"/>
      <c r="D1" s="2" t="n"/>
      <c r="E1" s="2" t="n"/>
      <c r="F1" s="2" t="n"/>
    </row>
    <row r="2">
      <c r="B2" s="3" t="inlineStr">
        <is>
          <t>Единые допущения для всех вариантов. Жёлтые ячейки — ввод.</t>
        </is>
      </c>
      <c r="C2" s="2" t="n"/>
      <c r="D2" s="2" t="n"/>
      <c r="E2" s="2" t="n"/>
      <c r="F2" s="2" t="n"/>
    </row>
    <row r="4">
      <c r="B4" s="5" t="inlineStr">
        <is>
          <t>Финансовые допущения</t>
        </is>
      </c>
      <c r="C4" s="4" t="n"/>
      <c r="D4" s="4" t="n"/>
      <c r="E4" s="4" t="n"/>
    </row>
    <row r="5">
      <c r="B5" s="15" t="inlineStr">
        <is>
          <t>Параметр</t>
        </is>
      </c>
      <c r="C5" s="15" t="inlineStr">
        <is>
          <t>Значение</t>
        </is>
      </c>
      <c r="D5" s="15" t="inlineStr">
        <is>
          <t>Ед.</t>
        </is>
      </c>
      <c r="E5" s="15" t="inlineStr">
        <is>
          <t>Комментарий</t>
        </is>
      </c>
    </row>
    <row r="6">
      <c r="B6" s="22" t="inlineStr">
        <is>
          <t>Ставка дисконтирования (WACC)</t>
        </is>
      </c>
      <c r="C6" s="23" t="n">
        <v>0.12</v>
      </c>
      <c r="D6" s="24" t="inlineStr">
        <is>
          <t>%/год</t>
        </is>
      </c>
      <c r="E6" s="25" t="inlineStr">
        <is>
          <t>Стоимость капитала для приведения к текущей стоимости</t>
        </is>
      </c>
    </row>
    <row r="7">
      <c r="B7" s="22" t="inlineStr">
        <is>
          <t>Налог на прибыль</t>
        </is>
      </c>
      <c r="C7" s="23" t="n">
        <v>0.25</v>
      </c>
      <c r="D7" s="24" t="inlineStr">
        <is>
          <t>%</t>
        </is>
      </c>
      <c r="E7" s="25" t="inlineStr">
        <is>
          <t>Формирует налоговый щит на затраты и амортизацию</t>
        </is>
      </c>
    </row>
    <row r="8">
      <c r="B8" s="22" t="inlineStr">
        <is>
          <t>Срок эксплуатации (горизонт)</t>
        </is>
      </c>
      <c r="C8" s="26" t="n">
        <v>10</v>
      </c>
      <c r="D8" s="24" t="inlineStr">
        <is>
          <t>лет</t>
        </is>
      </c>
      <c r="E8" s="25" t="inlineStr">
        <is>
          <t>Фиксирован = 10 лет в погодовом движке</t>
        </is>
      </c>
    </row>
    <row r="9">
      <c r="B9" s="22" t="inlineStr">
        <is>
          <t>Срок амортизации (налоговый учёт)</t>
        </is>
      </c>
      <c r="C9" s="27" t="n">
        <v>5.17</v>
      </c>
      <c r="D9" s="24" t="inlineStr">
        <is>
          <t>лет</t>
        </is>
      </c>
      <c r="E9" s="25" t="inlineStr">
        <is>
          <t>Линейная; 62 мес ≈ 5,17 года</t>
        </is>
      </c>
    </row>
    <row r="10">
      <c r="B10" s="22" t="inlineStr">
        <is>
          <t>Цена дизельного топлива</t>
        </is>
      </c>
      <c r="C10" s="27" t="n">
        <v>54.83</v>
      </c>
      <c r="D10" s="24" t="inlineStr">
        <is>
          <t>руб/кг</t>
        </is>
      </c>
      <c r="E10" s="25" t="inlineStr">
        <is>
          <t>Средняя цена на площадке эксплуатации</t>
        </is>
      </c>
    </row>
    <row r="12">
      <c r="B12" s="5" t="inlineStr">
        <is>
          <t>Эскалация цен (реальный/номинальный рост)</t>
        </is>
      </c>
      <c r="C12" s="4" t="n"/>
      <c r="D12" s="4" t="n"/>
      <c r="E12" s="4" t="n"/>
    </row>
    <row r="13">
      <c r="B13" s="15" t="inlineStr">
        <is>
          <t>Параметр</t>
        </is>
      </c>
      <c r="C13" s="15" t="inlineStr">
        <is>
          <t>Значение</t>
        </is>
      </c>
      <c r="D13" s="15" t="inlineStr">
        <is>
          <t>Ед.</t>
        </is>
      </c>
      <c r="E13" s="15" t="inlineStr">
        <is>
          <t>Комментарий</t>
        </is>
      </c>
    </row>
    <row r="14">
      <c r="B14" s="22" t="inlineStr">
        <is>
          <t>Эскалация цены топлива</t>
        </is>
      </c>
      <c r="C14" s="23" t="n">
        <v>0.04</v>
      </c>
      <c r="D14" s="24" t="inlineStr">
        <is>
          <t>%/год</t>
        </is>
      </c>
      <c r="E14" s="25" t="inlineStr">
        <is>
          <t>Годовой рост цены ДТ</t>
        </is>
      </c>
    </row>
    <row r="15">
      <c r="B15" s="22" t="inlineStr">
        <is>
          <t>Эскалация запчастей, ТОиР, ремонтов</t>
        </is>
      </c>
      <c r="C15" s="23" t="n">
        <v>0.05</v>
      </c>
      <c r="D15" s="24" t="inlineStr">
        <is>
          <t>%/год</t>
        </is>
      </c>
      <c r="E15" s="25" t="inlineStr">
        <is>
          <t>Рост цен на ЗИП и услуги сервиса</t>
        </is>
      </c>
    </row>
    <row r="16">
      <c r="B16" s="22" t="inlineStr">
        <is>
          <t>Эскалация оплаты труда</t>
        </is>
      </c>
      <c r="C16" s="23" t="n">
        <v>0.06</v>
      </c>
      <c r="D16" s="24" t="inlineStr">
        <is>
          <t>%/год</t>
        </is>
      </c>
      <c r="E16" s="25" t="inlineStr">
        <is>
          <t>Рост ФОТ экипажей</t>
        </is>
      </c>
    </row>
    <row r="18">
      <c r="B18" s="5" t="inlineStr">
        <is>
          <t>Курсы валют</t>
        </is>
      </c>
      <c r="C18" s="4" t="n"/>
      <c r="D18" s="4" t="n"/>
      <c r="E18" s="4" t="n"/>
    </row>
    <row r="19">
      <c r="B19" s="15" t="inlineStr">
        <is>
          <t>Параметр</t>
        </is>
      </c>
      <c r="C19" s="15" t="inlineStr">
        <is>
          <t>Значение</t>
        </is>
      </c>
      <c r="D19" s="15" t="inlineStr">
        <is>
          <t>Ед.</t>
        </is>
      </c>
      <c r="E19" s="15" t="inlineStr">
        <is>
          <t>Комментарий</t>
        </is>
      </c>
    </row>
    <row r="20">
      <c r="B20" s="22" t="inlineStr">
        <is>
          <t>Курс юаня (CNY)</t>
        </is>
      </c>
      <c r="C20" s="28" t="n">
        <v>11.2068</v>
      </c>
      <c r="D20" s="24" t="inlineStr">
        <is>
          <t>руб</t>
        </is>
      </c>
      <c r="E20" s="25" t="inlineStr">
        <is>
          <t>Для оборудования из Китая</t>
        </is>
      </c>
    </row>
    <row r="21">
      <c r="B21" s="22" t="inlineStr">
        <is>
          <t>Курс доллара (USD)</t>
        </is>
      </c>
      <c r="C21" s="28" t="n">
        <v>76.1258</v>
      </c>
      <c r="D21" s="24" t="inlineStr">
        <is>
          <t>руб</t>
        </is>
      </c>
      <c r="E21" s="25" t="inlineStr"/>
    </row>
    <row r="22">
      <c r="B22" s="22" t="inlineStr">
        <is>
          <t>Курс евро (EUR)</t>
        </is>
      </c>
      <c r="C22" s="28" t="n">
        <v>86.8976</v>
      </c>
      <c r="D22" s="24" t="inlineStr">
        <is>
          <t>руб</t>
        </is>
      </c>
      <c r="E22" s="25" t="inlineStr"/>
    </row>
    <row r="24">
      <c r="B24" s="5" t="inlineStr">
        <is>
          <t>Параметры производительности (карьер)</t>
        </is>
      </c>
      <c r="C24" s="4" t="n"/>
      <c r="D24" s="4" t="n"/>
      <c r="E24" s="4" t="n"/>
    </row>
    <row r="25">
      <c r="B25" s="15" t="inlineStr">
        <is>
          <t>Параметр</t>
        </is>
      </c>
      <c r="C25" s="15" t="inlineStr">
        <is>
          <t>Значение</t>
        </is>
      </c>
      <c r="D25" s="15" t="inlineStr">
        <is>
          <t>Ед.</t>
        </is>
      </c>
      <c r="E25" s="15" t="inlineStr">
        <is>
          <t>Комментарий</t>
        </is>
      </c>
    </row>
    <row r="26">
      <c r="B26" s="22" t="inlineStr">
        <is>
          <t>Календарный фонд времени</t>
        </is>
      </c>
      <c r="C26" s="26" t="n">
        <v>8760</v>
      </c>
      <c r="D26" s="24" t="inlineStr">
        <is>
          <t>час/год</t>
        </is>
      </c>
      <c r="E26" s="25" t="inlineStr">
        <is>
          <t>24 ч × 365 дн</t>
        </is>
      </c>
    </row>
    <row r="27">
      <c r="B27" s="22" t="inlineStr">
        <is>
          <t>Плотность породы</t>
        </is>
      </c>
      <c r="C27" s="28" t="n">
        <v>2.787</v>
      </c>
      <c r="D27" s="24" t="inlineStr">
        <is>
          <t>т/м³</t>
        </is>
      </c>
      <c r="E27" s="25" t="inlineStr">
        <is>
          <t>В целике; используется и для пересчёта руб/т</t>
        </is>
      </c>
    </row>
    <row r="28">
      <c r="B28" s="22" t="inlineStr">
        <is>
          <t>Коэффициент разрыхления</t>
        </is>
      </c>
      <c r="C28" s="27" t="n">
        <v>1.5</v>
      </c>
      <c r="D28" s="24" t="inlineStr">
        <is>
          <t>коэф.</t>
        </is>
      </c>
      <c r="E28" s="25" t="inlineStr"/>
    </row>
    <row r="29">
      <c r="B29" s="22" t="inlineStr">
        <is>
          <t>Коэффициент наполнения ковша</t>
        </is>
      </c>
      <c r="C29" s="27" t="n">
        <v>0.9</v>
      </c>
      <c r="D29" s="24" t="inlineStr">
        <is>
          <t>коэф.</t>
        </is>
      </c>
      <c r="E29" s="25" t="inlineStr"/>
    </row>
    <row r="30">
      <c r="B30" s="22" t="inlineStr">
        <is>
          <t>Коэффициент потерь при экскавации</t>
        </is>
      </c>
      <c r="C30" s="27" t="n">
        <v>0.9</v>
      </c>
      <c r="D30" s="24" t="inlineStr">
        <is>
          <t>коэф.</t>
        </is>
      </c>
      <c r="E30" s="25" t="inlineStr"/>
    </row>
    <row r="31">
      <c r="B31" s="22" t="inlineStr">
        <is>
          <t>Грузоподъёмность самосвала</t>
        </is>
      </c>
      <c r="C31" s="26" t="n">
        <v>136</v>
      </c>
      <c r="D31" s="24" t="inlineStr">
        <is>
          <t>т</t>
        </is>
      </c>
      <c r="E31" s="25" t="inlineStr">
        <is>
          <t>Эталонный самосвал для расчёта</t>
        </is>
      </c>
    </row>
    <row r="32">
      <c r="B32" s="22" t="inlineStr">
        <is>
          <t>Время постановки самосвала</t>
        </is>
      </c>
      <c r="C32" s="26" t="n">
        <v>32</v>
      </c>
      <c r="D32" s="24" t="inlineStr">
        <is>
          <t>сек</t>
        </is>
      </c>
      <c r="E32" s="25" t="inlineStr">
        <is>
          <t>Время оборота а/с под погрузку</t>
        </is>
      </c>
    </row>
    <row r="33">
      <c r="B33" s="22" t="inlineStr">
        <is>
          <t>Длительность смены</t>
        </is>
      </c>
      <c r="C33" s="26" t="n">
        <v>12</v>
      </c>
      <c r="D33" s="24" t="inlineStr">
        <is>
          <t>час</t>
        </is>
      </c>
      <c r="E33" s="25" t="inlineStr">
        <is>
          <t>Для пересчёта простоев</t>
        </is>
      </c>
    </row>
    <row r="35">
      <c r="B35" s="5" t="inlineStr">
        <is>
          <t>Расчётные финансовые коэффициенты</t>
        </is>
      </c>
      <c r="C35" s="4" t="n"/>
      <c r="D35" s="4" t="n"/>
      <c r="E35" s="4" t="n"/>
    </row>
    <row r="36">
      <c r="B36" s="15" t="inlineStr">
        <is>
          <t>Параметр</t>
        </is>
      </c>
      <c r="C36" s="15" t="inlineStr">
        <is>
          <t>Значение</t>
        </is>
      </c>
      <c r="D36" s="15" t="inlineStr">
        <is>
          <t>Ед.</t>
        </is>
      </c>
      <c r="E36" s="15" t="inlineStr">
        <is>
          <t>Комментарий</t>
        </is>
      </c>
    </row>
    <row r="37">
      <c r="B37" s="22" t="inlineStr">
        <is>
          <t>Коэф. аннуитета Σдиск.факторов (r, N)</t>
        </is>
      </c>
      <c r="C37" s="29">
        <f>IF('Параметры'!C6=0,'Параметры'!C8,(1-(1+'Параметры'!C6)^-'Параметры'!C8)/'Параметры'!C6)</f>
        <v/>
      </c>
      <c r="D37" s="24" t="inlineStr">
        <is>
          <t>коэф.</t>
        </is>
      </c>
      <c r="E37" s="25" t="inlineStr">
        <is>
          <t>Сумма дисконт-факторов за срок службы</t>
        </is>
      </c>
    </row>
    <row r="38">
      <c r="B38" s="22" t="inlineStr">
        <is>
          <t>Коэф. приведённой амортизации</t>
        </is>
      </c>
      <c r="C38" s="29">
        <f>(1/'Параметры'!C9)*((1-(1+'Параметры'!C6)^-INT('Параметры'!C9))/'Параметры'!C6+('Параметры'!C9-INT('Параметры'!C9))*(1+'Параметры'!C6)^-(INT('Параметры'!C9)+1))</f>
        <v/>
      </c>
      <c r="D38" s="24" t="inlineStr">
        <is>
          <t>коэф.</t>
        </is>
      </c>
      <c r="E38" s="25" t="inlineStr">
        <is>
          <t>Приведённая амортизация на 1 руб. цены (налог. щит)</t>
        </is>
      </c>
    </row>
    <row r="40">
      <c r="B40" s="7" t="inlineStr">
        <is>
          <t>Легенда:</t>
        </is>
      </c>
      <c r="C40" s="8" t="n"/>
      <c r="D40" s="9" t="inlineStr">
        <is>
          <t>— ввод данных</t>
        </is>
      </c>
    </row>
    <row r="41">
      <c r="C41" s="10" t="n"/>
      <c r="D41" s="9" t="inlineStr">
        <is>
          <t>— расчётные показатели</t>
        </is>
      </c>
    </row>
  </sheetData>
  <mergeCells count="9">
    <mergeCell ref="B18:E18"/>
    <mergeCell ref="B35:E35"/>
    <mergeCell ref="B4:E4"/>
    <mergeCell ref="B2:F2"/>
    <mergeCell ref="B12:E12"/>
    <mergeCell ref="D41:E41"/>
    <mergeCell ref="B24:E24"/>
    <mergeCell ref="B1:F1"/>
    <mergeCell ref="D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K3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34" customWidth="1" min="11" max="11"/>
  </cols>
  <sheetData>
    <row r="1">
      <c r="B1" s="1" t="inlineStr">
        <is>
          <t>ВВОД ИСХОДНЫХ ДАННЫХ ПО ЭКСКАВАТОРАМ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Сравнение до 6 машин одного класса. Пример: экскаваторы класса 2000 (~12 м³).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 t="inlineStr">
        <is>
          <t>Экскаватор 1</t>
        </is>
      </c>
      <c r="E4" s="15" t="inlineStr">
        <is>
          <t>Экскаватор 2</t>
        </is>
      </c>
      <c r="F4" s="15" t="inlineStr">
        <is>
          <t>Экскаватор 3</t>
        </is>
      </c>
      <c r="G4" s="15" t="inlineStr">
        <is>
          <t>Экскаватор 4</t>
        </is>
      </c>
      <c r="H4" s="15" t="inlineStr">
        <is>
          <t>Экскаватор 5</t>
        </is>
      </c>
      <c r="I4" s="15" t="inlineStr">
        <is>
          <t>Экскаватор 6</t>
        </is>
      </c>
      <c r="K4" s="15" t="inlineStr">
        <is>
          <t>Пояснение</t>
        </is>
      </c>
    </row>
    <row r="6">
      <c r="B6" s="5" t="inlineStr">
        <is>
          <t>A. ИДЕНТИФИКАЦИЯ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B7" s="22" t="inlineStr">
        <is>
          <t>Наименование / модель</t>
        </is>
      </c>
      <c r="C7" s="24" t="inlineStr">
        <is>
          <t>—</t>
        </is>
      </c>
      <c r="D7" s="30" t="inlineStr">
        <is>
          <t>Komatsu PC2000-8
Mining Solutions</t>
        </is>
      </c>
      <c r="E7" s="30" t="inlineStr">
        <is>
          <t>Komatsu PC2000-11R
ИСТК</t>
        </is>
      </c>
      <c r="F7" s="30" t="inlineStr">
        <is>
          <t>Zoomlion ZE2000G
Орикс</t>
        </is>
      </c>
      <c r="G7" s="30" t="inlineStr">
        <is>
          <t>Sany SY2000
АСТ</t>
        </is>
      </c>
      <c r="H7" s="30" t="inlineStr">
        <is>
          <t>Shantui SE2000LCW</t>
        </is>
      </c>
      <c r="I7" s="30" t="inlineStr">
        <is>
          <t>TZCO TZ2000
Дзикай</t>
        </is>
      </c>
      <c r="K7" s="25" t="inlineStr">
        <is>
          <t>Название варианта</t>
        </is>
      </c>
    </row>
    <row r="8">
      <c r="B8" s="22" t="inlineStr">
        <is>
          <t>Поставщик</t>
        </is>
      </c>
      <c r="C8" s="24" t="inlineStr">
        <is>
          <t>—</t>
        </is>
      </c>
      <c r="D8" s="30" t="inlineStr">
        <is>
          <t>Mining Solutions</t>
        </is>
      </c>
      <c r="E8" s="30" t="inlineStr">
        <is>
          <t>ИСТК</t>
        </is>
      </c>
      <c r="F8" s="30" t="inlineStr">
        <is>
          <t>Орикс</t>
        </is>
      </c>
      <c r="G8" s="30" t="inlineStr">
        <is>
          <t>АСТ</t>
        </is>
      </c>
      <c r="H8" s="30" t="inlineStr">
        <is>
          <t>Строймпорттехника</t>
        </is>
      </c>
      <c r="I8" s="30" t="inlineStr">
        <is>
          <t>Дзикай</t>
        </is>
      </c>
      <c r="K8" s="25" t="inlineStr"/>
    </row>
    <row r="9">
      <c r="B9" s="22" t="inlineStr">
        <is>
          <t>Двигатель</t>
        </is>
      </c>
      <c r="C9" s="24" t="inlineStr">
        <is>
          <t>—</t>
        </is>
      </c>
      <c r="D9" s="30" t="inlineStr">
        <is>
          <t>Komatsu SAA12V140E</t>
        </is>
      </c>
      <c r="E9" s="30" t="inlineStr">
        <is>
          <t>Komatsu SAA12V140E-7</t>
        </is>
      </c>
      <c r="F9" s="30" t="inlineStr">
        <is>
          <t>Cummins QST30</t>
        </is>
      </c>
      <c r="G9" s="30" t="inlineStr">
        <is>
          <t>Cummins QSK38</t>
        </is>
      </c>
      <c r="H9" s="30" t="inlineStr">
        <is>
          <t>Weichai 12M33</t>
        </is>
      </c>
      <c r="I9" s="30" t="inlineStr">
        <is>
          <t>Weichai 12M33</t>
        </is>
      </c>
      <c r="K9" s="25" t="inlineStr"/>
    </row>
    <row r="10">
      <c r="B10" s="5" t="inlineStr">
        <is>
          <t>B. СТОИМОСТЬ И ОСТАТОЧНАЯ ЦЕНА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</row>
    <row r="11">
      <c r="B11" s="22" t="inlineStr">
        <is>
          <t>Цена за единицу</t>
        </is>
      </c>
      <c r="C11" s="24" t="inlineStr">
        <is>
          <t>тыс.вал.</t>
        </is>
      </c>
      <c r="D11" s="31" t="n">
        <v>3800</v>
      </c>
      <c r="E11" s="31" t="n">
        <v>3401.64</v>
      </c>
      <c r="F11" s="31" t="n">
        <v>20129</v>
      </c>
      <c r="G11" s="31" t="n">
        <v>19621.62</v>
      </c>
      <c r="H11" s="31" t="n">
        <v>16742.05</v>
      </c>
      <c r="I11" s="31" t="n">
        <v>15400</v>
      </c>
      <c r="K11" s="25" t="inlineStr">
        <is>
          <t>В валюте контракта</t>
        </is>
      </c>
    </row>
    <row r="12">
      <c r="B12" s="22" t="inlineStr">
        <is>
          <t>Валюта цены</t>
        </is>
      </c>
      <c r="C12" s="24" t="inlineStr">
        <is>
          <t>—</t>
        </is>
      </c>
      <c r="D12" s="30" t="inlineStr">
        <is>
          <t>USD</t>
        </is>
      </c>
      <c r="E12" s="30" t="inlineStr">
        <is>
          <t>USD</t>
        </is>
      </c>
      <c r="F12" s="30" t="inlineStr">
        <is>
          <t>CNY</t>
        </is>
      </c>
      <c r="G12" s="30" t="inlineStr">
        <is>
          <t>CNY</t>
        </is>
      </c>
      <c r="H12" s="30" t="inlineStr">
        <is>
          <t>CNY</t>
        </is>
      </c>
      <c r="I12" s="30" t="inlineStr">
        <is>
          <t>CNY</t>
        </is>
      </c>
      <c r="K12" s="25" t="inlineStr">
        <is>
          <t>CNY / USD / EUR / RUB</t>
        </is>
      </c>
    </row>
    <row r="13">
      <c r="B13" s="22" t="inlineStr">
        <is>
          <t>Монтаж, доставка, ПНР</t>
        </is>
      </c>
      <c r="C13" s="24" t="inlineStr">
        <is>
          <t>тыс.руб</t>
        </is>
      </c>
      <c r="D13" s="31" t="n">
        <v>0</v>
      </c>
      <c r="E13" s="31" t="n">
        <v>0</v>
      </c>
      <c r="F13" s="31" t="n">
        <v>0</v>
      </c>
      <c r="G13" s="31" t="n">
        <v>0</v>
      </c>
      <c r="H13" s="31" t="n">
        <v>0</v>
      </c>
      <c r="I13" s="31" t="n">
        <v>0</v>
      </c>
      <c r="K13" s="25" t="inlineStr">
        <is>
          <t>Дополнительно к цене</t>
        </is>
      </c>
    </row>
    <row r="14">
      <c r="B14" s="22" t="inlineStr">
        <is>
          <t>Остаточная стоимость</t>
        </is>
      </c>
      <c r="C14" s="24" t="inlineStr">
        <is>
          <t>% от цены</t>
        </is>
      </c>
      <c r="D14" s="32" t="n">
        <v>0.1</v>
      </c>
      <c r="E14" s="32" t="n">
        <v>0.1</v>
      </c>
      <c r="F14" s="32" t="n">
        <v>0.1</v>
      </c>
      <c r="G14" s="32" t="n">
        <v>0.1</v>
      </c>
      <c r="H14" s="32" t="n">
        <v>0.1</v>
      </c>
      <c r="I14" s="32" t="n">
        <v>0.1</v>
      </c>
      <c r="K14" s="25" t="inlineStr">
        <is>
          <t>Стоимость реализации в конце срока</t>
        </is>
      </c>
    </row>
    <row r="15">
      <c r="B15" s="5" t="inlineStr">
        <is>
          <t>C. ПРОИЗВОДИТЕЛЬНОСТЬ</t>
        </is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22" t="inlineStr">
        <is>
          <t>Геометрический объём ковша</t>
        </is>
      </c>
      <c r="C16" s="24" t="inlineStr">
        <is>
          <t>м³</t>
        </is>
      </c>
      <c r="D16" s="33" t="n">
        <v>10</v>
      </c>
      <c r="E16" s="33" t="n">
        <v>10</v>
      </c>
      <c r="F16" s="33" t="n">
        <v>10</v>
      </c>
      <c r="G16" s="33" t="n">
        <v>10</v>
      </c>
      <c r="H16" s="33" t="n">
        <v>9.6</v>
      </c>
      <c r="I16" s="33" t="n">
        <v>12</v>
      </c>
      <c r="K16" s="25" t="inlineStr">
        <is>
          <t>Участвует в расчёте производительности</t>
        </is>
      </c>
    </row>
    <row r="17">
      <c r="B17" s="22" t="inlineStr">
        <is>
          <t>Время цикла экскавации</t>
        </is>
      </c>
      <c r="C17" s="24" t="inlineStr">
        <is>
          <t>сек</t>
        </is>
      </c>
      <c r="D17" s="33" t="n">
        <v>37.3</v>
      </c>
      <c r="E17" s="33" t="n">
        <v>37.3</v>
      </c>
      <c r="F17" s="33" t="n">
        <v>37.3</v>
      </c>
      <c r="G17" s="33" t="n">
        <v>37.3</v>
      </c>
      <c r="H17" s="33" t="n">
        <v>37.3</v>
      </c>
      <c r="I17" s="33" t="n">
        <v>37.3</v>
      </c>
      <c r="K17" s="25" t="inlineStr">
        <is>
          <t>Черпание–поворот–разгрузка–поворот</t>
        </is>
      </c>
    </row>
    <row r="18">
      <c r="B18" s="5" t="inlineStr">
        <is>
          <t>D. РЕЖИМ ЭКСПЛУАТАЦИИ</t>
        </is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22" t="inlineStr">
        <is>
          <t>КТГ (техготовность), 1-й год</t>
        </is>
      </c>
      <c r="C19" s="24" t="inlineStr">
        <is>
          <t>коэф.</t>
        </is>
      </c>
      <c r="D19" s="32" t="n">
        <v>0.84</v>
      </c>
      <c r="E19" s="32" t="n">
        <v>0.8080000000000001</v>
      </c>
      <c r="F19" s="32" t="n">
        <v>0.738</v>
      </c>
      <c r="G19" s="32" t="n">
        <v>0.738</v>
      </c>
      <c r="H19" s="32" t="n">
        <v>0.738</v>
      </c>
      <c r="I19" s="32" t="n">
        <v>0.738</v>
      </c>
      <c r="K19" s="25" t="inlineStr">
        <is>
          <t>Коэф. технической готовности в 1-й год</t>
        </is>
      </c>
    </row>
    <row r="20">
      <c r="B20" s="22" t="inlineStr">
        <is>
          <t>Снижение КТГ с возрастом</t>
        </is>
      </c>
      <c r="C20" s="24" t="inlineStr">
        <is>
          <t>%/год</t>
        </is>
      </c>
      <c r="D20" s="32" t="n">
        <v>0.01</v>
      </c>
      <c r="E20" s="32" t="n">
        <v>0.01</v>
      </c>
      <c r="F20" s="32" t="n">
        <v>0.01</v>
      </c>
      <c r="G20" s="32" t="n">
        <v>0.01</v>
      </c>
      <c r="H20" s="32" t="n">
        <v>0.01</v>
      </c>
      <c r="I20" s="32" t="n">
        <v>0.01</v>
      </c>
      <c r="K20" s="25" t="inlineStr">
        <is>
          <t>Годовое ухудшение готовности (старение)</t>
        </is>
      </c>
    </row>
    <row r="21">
      <c r="B21" s="22" t="inlineStr">
        <is>
          <t>Ежесменные простои</t>
        </is>
      </c>
      <c r="C21" s="24" t="inlineStr">
        <is>
          <t>мин/см</t>
        </is>
      </c>
      <c r="D21" s="33" t="n">
        <v>266.1</v>
      </c>
      <c r="E21" s="33" t="n">
        <v>266.1</v>
      </c>
      <c r="F21" s="33" t="n">
        <v>266.1</v>
      </c>
      <c r="G21" s="33" t="n">
        <v>266.1</v>
      </c>
      <c r="H21" s="33" t="n">
        <v>266.1</v>
      </c>
      <c r="I21" s="33" t="n">
        <v>266.1</v>
      </c>
      <c r="K21" s="25" t="inlineStr">
        <is>
          <t>ОТМ, ожидание а/с, прочие организационные</t>
        </is>
      </c>
    </row>
    <row r="22">
      <c r="B22" s="5" t="inlineStr">
        <is>
          <t>E. ТОПЛИВО</t>
        </is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22" t="inlineStr">
        <is>
          <t>Удельный расход ДТ</t>
        </is>
      </c>
      <c r="C23" s="24" t="inlineStr">
        <is>
          <t>кг/час</t>
        </is>
      </c>
      <c r="D23" s="33" t="n">
        <v>88.45999999999999</v>
      </c>
      <c r="E23" s="33" t="n">
        <v>85.81</v>
      </c>
      <c r="F23" s="33" t="n">
        <v>90.23</v>
      </c>
      <c r="G23" s="33" t="n">
        <v>92.04000000000001</v>
      </c>
      <c r="H23" s="33" t="n">
        <v>102</v>
      </c>
      <c r="I23" s="33" t="n">
        <v>120</v>
      </c>
      <c r="K23" s="25" t="inlineStr">
        <is>
          <t>Ключевой драйвер OPEX</t>
        </is>
      </c>
    </row>
    <row r="24">
      <c r="B24" s="5" t="inlineStr">
        <is>
          <t>F. ГОДОВЫЕ ЗАТРАТЫ (базовый год)</t>
        </is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22" t="inlineStr">
        <is>
          <t>ТОиР и сервис (плановое ТО, ТР, ППР)</t>
        </is>
      </c>
      <c r="C25" s="24" t="inlineStr">
        <is>
          <t>тыс.руб/год</t>
        </is>
      </c>
      <c r="D25" s="31" t="n">
        <v>42690</v>
      </c>
      <c r="E25" s="31" t="n">
        <v>42690</v>
      </c>
      <c r="F25" s="31" t="n">
        <v>34556</v>
      </c>
      <c r="G25" s="31" t="n">
        <v>65685</v>
      </c>
      <c r="H25" s="31" t="n">
        <v>34556</v>
      </c>
      <c r="I25" s="31" t="n">
        <v>51705</v>
      </c>
      <c r="K25" s="25" t="inlineStr">
        <is>
          <t>Регулярные затраты (без капремонтов ниже)</t>
        </is>
      </c>
    </row>
    <row r="26">
      <c r="B26" s="22" t="inlineStr">
        <is>
          <t>Расходники на ковш (зубья, коронки)</t>
        </is>
      </c>
      <c r="C26" s="24" t="inlineStr">
        <is>
          <t>руб/м³</t>
        </is>
      </c>
      <c r="D26" s="34" t="n">
        <v>0.87</v>
      </c>
      <c r="E26" s="34" t="n">
        <v>0.87</v>
      </c>
      <c r="F26" s="34" t="n">
        <v>0.87</v>
      </c>
      <c r="G26" s="34" t="n">
        <v>0.87</v>
      </c>
      <c r="H26" s="34" t="n">
        <v>0.87</v>
      </c>
      <c r="I26" s="34" t="n">
        <v>0.87</v>
      </c>
      <c r="K26" s="25" t="inlineStr">
        <is>
          <t>Удельные на кубометр вынутой породы</t>
        </is>
      </c>
    </row>
    <row r="27">
      <c r="B27" s="22" t="inlineStr">
        <is>
          <t>Расходы на персонал (экипаж)</t>
        </is>
      </c>
      <c r="C27" s="24" t="inlineStr">
        <is>
          <t>тыс.руб/год</t>
        </is>
      </c>
      <c r="D27" s="31" t="n">
        <v>10015</v>
      </c>
      <c r="E27" s="31" t="n">
        <v>10015</v>
      </c>
      <c r="F27" s="31" t="n">
        <v>10015</v>
      </c>
      <c r="G27" s="31" t="n">
        <v>10015</v>
      </c>
      <c r="H27" s="31" t="n">
        <v>10015</v>
      </c>
      <c r="I27" s="31" t="n">
        <v>10015</v>
      </c>
      <c r="K27" s="25" t="inlineStr">
        <is>
          <t>ФОТ с отчислениями на 1 машину</t>
        </is>
      </c>
    </row>
    <row r="28">
      <c r="B28" s="5" t="inlineStr">
        <is>
          <t>G. КАПИТАЛЬНЫЕ РЕМОНТЫ (по графику)</t>
        </is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22" t="inlineStr">
        <is>
          <t>Стоимость капремонта</t>
        </is>
      </c>
      <c r="C29" s="24" t="inlineStr">
        <is>
          <t>тыс.руб</t>
        </is>
      </c>
      <c r="D29" s="31" t="n">
        <v>0</v>
      </c>
      <c r="E29" s="31" t="n">
        <v>0</v>
      </c>
      <c r="F29" s="31" t="n">
        <v>0</v>
      </c>
      <c r="G29" s="31" t="n">
        <v>0</v>
      </c>
      <c r="H29" s="31" t="n">
        <v>0</v>
      </c>
      <c r="I29" s="31" t="n">
        <v>0</v>
      </c>
      <c r="K29" s="25" t="inlineStr">
        <is>
          <t>0 = учтено в ТОиР выше</t>
        </is>
      </c>
    </row>
    <row r="30">
      <c r="B30" s="22" t="inlineStr">
        <is>
          <t>Периодичность капремонта</t>
        </is>
      </c>
      <c r="C30" s="24" t="inlineStr">
        <is>
          <t>лет</t>
        </is>
      </c>
      <c r="D30" s="31" t="n">
        <v>0</v>
      </c>
      <c r="E30" s="31" t="n">
        <v>0</v>
      </c>
      <c r="F30" s="31" t="n">
        <v>0</v>
      </c>
      <c r="G30" s="31" t="n">
        <v>0</v>
      </c>
      <c r="H30" s="31" t="n">
        <v>0</v>
      </c>
      <c r="I30" s="31" t="n">
        <v>0</v>
      </c>
      <c r="K30" s="25" t="inlineStr">
        <is>
          <t>0 = без отдельного графика</t>
        </is>
      </c>
    </row>
    <row r="31">
      <c r="B31" s="22" t="inlineStr">
        <is>
          <t>Первый капремонт (год)</t>
        </is>
      </c>
      <c r="C31" s="24" t="inlineStr">
        <is>
          <t>год</t>
        </is>
      </c>
      <c r="D31" s="31" t="n">
        <v>6</v>
      </c>
      <c r="E31" s="31" t="n">
        <v>6</v>
      </c>
      <c r="F31" s="31" t="n">
        <v>6</v>
      </c>
      <c r="G31" s="31" t="n">
        <v>6</v>
      </c>
      <c r="H31" s="31" t="n">
        <v>6</v>
      </c>
      <c r="I31" s="31" t="n">
        <v>6</v>
      </c>
      <c r="K31" s="25" t="inlineStr">
        <is>
          <t>Год первого капремонта</t>
        </is>
      </c>
    </row>
  </sheetData>
  <mergeCells count="9">
    <mergeCell ref="B1:K1"/>
    <mergeCell ref="B22:K22"/>
    <mergeCell ref="B18:K18"/>
    <mergeCell ref="B15:K15"/>
    <mergeCell ref="B6:K6"/>
    <mergeCell ref="B24:K24"/>
    <mergeCell ref="B2:K2"/>
    <mergeCell ref="B10:K10"/>
    <mergeCell ref="B28:K28"/>
  </mergeCells>
  <dataValidations count="1">
    <dataValidation sqref="D12:I12" showDropDown="0" showInputMessage="0" showErrorMessage="0" allowBlank="0" type="list">
      <formula1>"CNY,USD,EUR,RUB"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ПРОИЗВОДИТЕЛЬНОСТИ (1-й год)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Часовая и годовая производительность. По годам — на листе «Денежный поток».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35" t="inlineStr">
        <is>
          <t>Стоимость в рублях</t>
        </is>
      </c>
      <c r="C5" s="24" t="inlineStr">
        <is>
          <t>тыс.руб</t>
        </is>
      </c>
      <c r="D5" s="36">
        <f>'Ввод данных'!D11*IF('Ввод данных'!D12="CNY",'Параметры'!C20,IF('Ввод данных'!D12="USD",'Параметры'!C21,IF('Ввод данных'!D12="EUR",'Параметры'!C22,1)))+'Ввод данных'!D13</f>
        <v/>
      </c>
      <c r="E5" s="36">
        <f>'Ввод данных'!E11*IF('Ввод данных'!E12="CNY",'Параметры'!C20,IF('Ввод данных'!E12="USD",'Параметры'!C21,IF('Ввод данных'!E12="EUR",'Параметры'!C22,1)))+'Ввод данных'!E13</f>
        <v/>
      </c>
      <c r="F5" s="36">
        <f>'Ввод данных'!F11*IF('Ввод данных'!F12="CNY",'Параметры'!C20,IF('Ввод данных'!F12="USD",'Параметры'!C21,IF('Ввод данных'!F12="EUR",'Параметры'!C22,1)))+'Ввод данных'!F13</f>
        <v/>
      </c>
      <c r="G5" s="36">
        <f>'Ввод данных'!G11*IF('Ввод данных'!G12="CNY",'Параметры'!C20,IF('Ввод данных'!G12="USD",'Параметры'!C21,IF('Ввод данных'!G12="EUR",'Параметры'!C22,1)))+'Ввод данных'!G13</f>
        <v/>
      </c>
      <c r="H5" s="36">
        <f>'Ввод данных'!H11*IF('Ввод данных'!H12="CNY",'Параметры'!C20,IF('Ввод данных'!H12="USD",'Параметры'!C21,IF('Ввод данных'!H12="EUR",'Параметры'!C22,1)))+'Ввод данных'!H13</f>
        <v/>
      </c>
      <c r="I5" s="36">
        <f>'Ввод данных'!I11*IF('Ввод данных'!I12="CNY",'Параметры'!C20,IF('Ввод данных'!I12="USD",'Параметры'!C21,IF('Ввод данных'!I12="EUR",'Параметры'!C22,1)))+'Ввод данных'!I13</f>
        <v/>
      </c>
    </row>
    <row r="6">
      <c r="B6" s="22" t="inlineStr">
        <is>
          <t>Порода в ковше</t>
        </is>
      </c>
      <c r="C6" s="24" t="inlineStr">
        <is>
          <t>т</t>
        </is>
      </c>
      <c r="D6" s="37">
        <f>'Ввод данных'!D16*'Параметры'!C27*('Параметры'!C29/'Параметры'!C28)*'Параметры'!C30</f>
        <v/>
      </c>
      <c r="E6" s="37">
        <f>'Ввод данных'!E16*'Параметры'!C27*('Параметры'!C29/'Параметры'!C28)*'Параметры'!C30</f>
        <v/>
      </c>
      <c r="F6" s="37">
        <f>'Ввод данных'!F16*'Параметры'!C27*('Параметры'!C29/'Параметры'!C28)*'Параметры'!C30</f>
        <v/>
      </c>
      <c r="G6" s="37">
        <f>'Ввод данных'!G16*'Параметры'!C27*('Параметры'!C29/'Параметры'!C28)*'Параметры'!C30</f>
        <v/>
      </c>
      <c r="H6" s="37">
        <f>'Ввод данных'!H16*'Параметры'!C27*('Параметры'!C29/'Параметры'!C28)*'Параметры'!C30</f>
        <v/>
      </c>
      <c r="I6" s="37">
        <f>'Ввод данных'!I16*'Параметры'!C27*('Параметры'!C29/'Параметры'!C28)*'Параметры'!C30</f>
        <v/>
      </c>
    </row>
    <row r="7">
      <c r="B7" s="22" t="inlineStr">
        <is>
          <t>Ковшей на самосвал (циклов)</t>
        </is>
      </c>
      <c r="C7" s="24" t="inlineStr">
        <is>
          <t>шт</t>
        </is>
      </c>
      <c r="D7" s="36">
        <f>ROUNDUP('Параметры'!C31/D6,0)</f>
        <v/>
      </c>
      <c r="E7" s="36">
        <f>ROUNDUP('Параметры'!C31/E6,0)</f>
        <v/>
      </c>
      <c r="F7" s="36">
        <f>ROUNDUP('Параметры'!C31/F6,0)</f>
        <v/>
      </c>
      <c r="G7" s="36">
        <f>ROUNDUP('Параметры'!C31/G6,0)</f>
        <v/>
      </c>
      <c r="H7" s="36">
        <f>ROUNDUP('Параметры'!C31/H6,0)</f>
        <v/>
      </c>
      <c r="I7" s="36">
        <f>ROUNDUP('Параметры'!C31/I6,0)</f>
        <v/>
      </c>
    </row>
    <row r="8">
      <c r="B8" s="22" t="inlineStr">
        <is>
          <t>Самосвалов за час работы</t>
        </is>
      </c>
      <c r="C8" s="24" t="inlineStr">
        <is>
          <t>а/с/ч</t>
        </is>
      </c>
      <c r="D8" s="37">
        <f>3600/(D7*'Ввод данных'!D17+'Параметры'!C32)</f>
        <v/>
      </c>
      <c r="E8" s="37">
        <f>3600/(E7*'Ввод данных'!E17+'Параметры'!C32)</f>
        <v/>
      </c>
      <c r="F8" s="37">
        <f>3600/(F7*'Ввод данных'!F17+'Параметры'!C32)</f>
        <v/>
      </c>
      <c r="G8" s="37">
        <f>3600/(G7*'Ввод данных'!G17+'Параметры'!C32)</f>
        <v/>
      </c>
      <c r="H8" s="37">
        <f>3600/(H7*'Ввод данных'!H17+'Параметры'!C32)</f>
        <v/>
      </c>
      <c r="I8" s="37">
        <f>3600/(I7*'Ввод данных'!I17+'Параметры'!C32)</f>
        <v/>
      </c>
    </row>
    <row r="9">
      <c r="B9" s="22" t="inlineStr">
        <is>
          <t>Часовая производительность</t>
        </is>
      </c>
      <c r="C9" s="24" t="inlineStr">
        <is>
          <t>т/час</t>
        </is>
      </c>
      <c r="D9" s="36">
        <f>'Параметры'!C31*D8</f>
        <v/>
      </c>
      <c r="E9" s="36">
        <f>'Параметры'!C31*E8</f>
        <v/>
      </c>
      <c r="F9" s="36">
        <f>'Параметры'!C31*F8</f>
        <v/>
      </c>
      <c r="G9" s="36">
        <f>'Параметры'!C31*G8</f>
        <v/>
      </c>
      <c r="H9" s="36">
        <f>'Параметры'!C31*H8</f>
        <v/>
      </c>
      <c r="I9" s="36">
        <f>'Параметры'!C31*I8</f>
        <v/>
      </c>
    </row>
    <row r="10">
      <c r="B10" s="22" t="inlineStr">
        <is>
          <t>Часовая производительность</t>
        </is>
      </c>
      <c r="C10" s="24" t="inlineStr">
        <is>
          <t>м³/час</t>
        </is>
      </c>
      <c r="D10" s="38">
        <f>D9/'Параметры'!C27</f>
        <v/>
      </c>
      <c r="E10" s="38">
        <f>E9/'Параметры'!C27</f>
        <v/>
      </c>
      <c r="F10" s="38">
        <f>F9/'Параметры'!C27</f>
        <v/>
      </c>
      <c r="G10" s="38">
        <f>G9/'Параметры'!C27</f>
        <v/>
      </c>
      <c r="H10" s="38">
        <f>H9/'Параметры'!C27</f>
        <v/>
      </c>
      <c r="I10" s="38">
        <f>I9/'Параметры'!C27</f>
        <v/>
      </c>
    </row>
    <row r="11">
      <c r="B11" s="22" t="inlineStr">
        <is>
          <t>Время техготовности (1-й год)</t>
        </is>
      </c>
      <c r="C11" s="24" t="inlineStr">
        <is>
          <t>час/год</t>
        </is>
      </c>
      <c r="D11" s="36">
        <f>'Параметры'!C26*'Ввод данных'!D19</f>
        <v/>
      </c>
      <c r="E11" s="36">
        <f>'Параметры'!C26*'Ввод данных'!E19</f>
        <v/>
      </c>
      <c r="F11" s="36">
        <f>'Параметры'!C26*'Ввод данных'!F19</f>
        <v/>
      </c>
      <c r="G11" s="36">
        <f>'Параметры'!C26*'Ввод данных'!G19</f>
        <v/>
      </c>
      <c r="H11" s="36">
        <f>'Параметры'!C26*'Ввод данных'!H19</f>
        <v/>
      </c>
      <c r="I11" s="36">
        <f>'Параметры'!C26*'Ввод данных'!I19</f>
        <v/>
      </c>
    </row>
    <row r="12">
      <c r="B12" s="22" t="inlineStr">
        <is>
          <t>Эффективное время (1-й год)</t>
        </is>
      </c>
      <c r="C12" s="24" t="inlineStr">
        <is>
          <t>час/год</t>
        </is>
      </c>
      <c r="D12" s="36">
        <f>D11*(1-'Ввод данных'!D21/(60*'Параметры'!C33))</f>
        <v/>
      </c>
      <c r="E12" s="36">
        <f>E11*(1-'Ввод данных'!E21/(60*'Параметры'!C33))</f>
        <v/>
      </c>
      <c r="F12" s="36">
        <f>F11*(1-'Ввод данных'!F21/(60*'Параметры'!C33))</f>
        <v/>
      </c>
      <c r="G12" s="36">
        <f>G11*(1-'Ввод данных'!G21/(60*'Параметры'!C33))</f>
        <v/>
      </c>
      <c r="H12" s="36">
        <f>H11*(1-'Ввод данных'!H21/(60*'Параметры'!C33))</f>
        <v/>
      </c>
      <c r="I12" s="36">
        <f>I11*(1-'Ввод данных'!I21/(60*'Параметры'!C33))</f>
        <v/>
      </c>
    </row>
    <row r="13">
      <c r="B13" s="22" t="inlineStr">
        <is>
          <t>КИО (1-й год)</t>
        </is>
      </c>
      <c r="C13" s="24" t="inlineStr">
        <is>
          <t>коэф.</t>
        </is>
      </c>
      <c r="D13" s="39">
        <f>D12/'Параметры'!C26</f>
        <v/>
      </c>
      <c r="E13" s="39">
        <f>E12/'Параметры'!C26</f>
        <v/>
      </c>
      <c r="F13" s="39">
        <f>F12/'Параметры'!C26</f>
        <v/>
      </c>
      <c r="G13" s="39">
        <f>G12/'Параметры'!C26</f>
        <v/>
      </c>
      <c r="H13" s="39">
        <f>H12/'Параметры'!C26</f>
        <v/>
      </c>
      <c r="I13" s="39">
        <f>I12/'Параметры'!C26</f>
        <v/>
      </c>
    </row>
    <row r="14">
      <c r="B14" s="40" t="inlineStr">
        <is>
          <t>Производительность (1-й год)</t>
        </is>
      </c>
      <c r="C14" s="24" t="inlineStr">
        <is>
          <t>тыс.м³</t>
        </is>
      </c>
      <c r="D14" s="41">
        <f>D10*D12/1000</f>
        <v/>
      </c>
      <c r="E14" s="41">
        <f>E10*E12/1000</f>
        <v/>
      </c>
      <c r="F14" s="41">
        <f>F10*F12/1000</f>
        <v/>
      </c>
      <c r="G14" s="41">
        <f>G10*G12/1000</f>
        <v/>
      </c>
      <c r="H14" s="41">
        <f>H10*H12/1000</f>
        <v/>
      </c>
      <c r="I14" s="41">
        <f>I10*I12/1000</f>
        <v/>
      </c>
    </row>
  </sheetData>
  <mergeCells count="2">
    <mergeCell ref="B1:K1"/>
    <mergeCell ref="B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12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B1" s="1" t="inlineStr">
        <is>
          <t>ПОГОДОВОЙ ДЕНЕЖНЫЙ ПОТОК И АННУИТЕТ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B2" s="3" t="inlineStr">
        <is>
          <t>Пост-налоговый жизненный цикл по годам: период 0 — инвестиции, 1–10 — эксплуатация.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>
      <c r="B4" s="42" t="inlineStr">
        <is>
          <t>Период</t>
        </is>
      </c>
      <c r="D4" s="43" t="n">
        <v>0</v>
      </c>
      <c r="E4" s="43" t="n">
        <v>1</v>
      </c>
      <c r="F4" s="43" t="n">
        <v>2</v>
      </c>
      <c r="G4" s="43" t="n">
        <v>3</v>
      </c>
      <c r="H4" s="43" t="n">
        <v>4</v>
      </c>
      <c r="I4" s="43" t="n">
        <v>5</v>
      </c>
      <c r="J4" s="43" t="n">
        <v>6</v>
      </c>
      <c r="K4" s="43" t="n">
        <v>7</v>
      </c>
      <c r="L4" s="43" t="n">
        <v>8</v>
      </c>
      <c r="M4" s="43" t="n">
        <v>9</v>
      </c>
      <c r="N4" s="43" t="n">
        <v>10</v>
      </c>
    </row>
    <row r="5">
      <c r="B5" s="44" t="inlineStr">
        <is>
          <t>Календарный год</t>
        </is>
      </c>
      <c r="D5" s="24" t="n">
        <v>2026</v>
      </c>
      <c r="E5" s="24" t="n">
        <v>2027</v>
      </c>
      <c r="F5" s="24" t="n">
        <v>2028</v>
      </c>
      <c r="G5" s="24" t="n">
        <v>2029</v>
      </c>
      <c r="H5" s="24" t="n">
        <v>2030</v>
      </c>
      <c r="I5" s="24" t="n">
        <v>2031</v>
      </c>
      <c r="J5" s="24" t="n">
        <v>2032</v>
      </c>
      <c r="K5" s="24" t="n">
        <v>2033</v>
      </c>
      <c r="L5" s="24" t="n">
        <v>2034</v>
      </c>
      <c r="M5" s="24" t="n">
        <v>2035</v>
      </c>
      <c r="N5" s="24" t="n">
        <v>2036</v>
      </c>
    </row>
    <row r="6">
      <c r="B6" s="42" t="inlineStr">
        <is>
          <t>Дисконт-фактор</t>
        </is>
      </c>
      <c r="D6" s="45">
        <f>1/(1+'Параметры'!C6)^D$4</f>
        <v/>
      </c>
      <c r="E6" s="45">
        <f>1/(1+'Параметры'!C6)^E$4</f>
        <v/>
      </c>
      <c r="F6" s="45">
        <f>1/(1+'Параметры'!C6)^F$4</f>
        <v/>
      </c>
      <c r="G6" s="45">
        <f>1/(1+'Параметры'!C6)^G$4</f>
        <v/>
      </c>
      <c r="H6" s="45">
        <f>1/(1+'Параметры'!C6)^H$4</f>
        <v/>
      </c>
      <c r="I6" s="45">
        <f>1/(1+'Параметры'!C6)^I$4</f>
        <v/>
      </c>
      <c r="J6" s="45">
        <f>1/(1+'Параметры'!C6)^J$4</f>
        <v/>
      </c>
      <c r="K6" s="45">
        <f>1/(1+'Параметры'!C6)^K$4</f>
        <v/>
      </c>
      <c r="L6" s="45">
        <f>1/(1+'Параметры'!C6)^L$4</f>
        <v/>
      </c>
      <c r="M6" s="45">
        <f>1/(1+'Параметры'!C6)^M$4</f>
        <v/>
      </c>
      <c r="N6" s="45">
        <f>1/(1+'Параметры'!C6)^N$4</f>
        <v/>
      </c>
    </row>
    <row r="8">
      <c r="B8" s="5">
        <f>"Вариант 1:  "&amp;'Ввод данных'!D7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</row>
    <row r="9">
      <c r="B9" s="22" t="inlineStr">
        <is>
          <t>КТГ</t>
        </is>
      </c>
      <c r="C9" s="24" t="inlineStr">
        <is>
          <t>коэф.</t>
        </is>
      </c>
      <c r="D9" s="39" t="n"/>
      <c r="E9" s="39">
        <f>'Ввод данных'!D19*(1-'Ввод данных'!D20)^(E$4-1)</f>
        <v/>
      </c>
      <c r="F9" s="39">
        <f>'Ввод данных'!D19*(1-'Ввод данных'!D20)^(F$4-1)</f>
        <v/>
      </c>
      <c r="G9" s="39">
        <f>'Ввод данных'!D19*(1-'Ввод данных'!D20)^(G$4-1)</f>
        <v/>
      </c>
      <c r="H9" s="39">
        <f>'Ввод данных'!D19*(1-'Ввод данных'!D20)^(H$4-1)</f>
        <v/>
      </c>
      <c r="I9" s="39">
        <f>'Ввод данных'!D19*(1-'Ввод данных'!D20)^(I$4-1)</f>
        <v/>
      </c>
      <c r="J9" s="39">
        <f>'Ввод данных'!D19*(1-'Ввод данных'!D20)^(J$4-1)</f>
        <v/>
      </c>
      <c r="K9" s="39">
        <f>'Ввод данных'!D19*(1-'Ввод данных'!D20)^(K$4-1)</f>
        <v/>
      </c>
      <c r="L9" s="39">
        <f>'Ввод данных'!D19*(1-'Ввод данных'!D20)^(L$4-1)</f>
        <v/>
      </c>
      <c r="M9" s="39">
        <f>'Ввод данных'!D19*(1-'Ввод данных'!D20)^(M$4-1)</f>
        <v/>
      </c>
      <c r="N9" s="39">
        <f>'Ввод данных'!D19*(1-'Ввод данных'!D20)^(N$4-1)</f>
        <v/>
      </c>
    </row>
    <row r="10">
      <c r="B10" s="22" t="inlineStr">
        <is>
          <t>Эффективное время</t>
        </is>
      </c>
      <c r="C10" s="24" t="inlineStr">
        <is>
          <t>час/год</t>
        </is>
      </c>
      <c r="D10" s="36" t="n"/>
      <c r="E10" s="36">
        <f>'Параметры'!C26*E9*(1-'Ввод данных'!D21/(60*'Параметры'!C33))</f>
        <v/>
      </c>
      <c r="F10" s="36">
        <f>'Параметры'!C26*F9*(1-'Ввод данных'!D21/(60*'Параметры'!C33))</f>
        <v/>
      </c>
      <c r="G10" s="36">
        <f>'Параметры'!C26*G9*(1-'Ввод данных'!D21/(60*'Параметры'!C33))</f>
        <v/>
      </c>
      <c r="H10" s="36">
        <f>'Параметры'!C26*H9*(1-'Ввод данных'!D21/(60*'Параметры'!C33))</f>
        <v/>
      </c>
      <c r="I10" s="36">
        <f>'Параметры'!C26*I9*(1-'Ввод данных'!D21/(60*'Параметры'!C33))</f>
        <v/>
      </c>
      <c r="J10" s="36">
        <f>'Параметры'!C26*J9*(1-'Ввод данных'!D21/(60*'Параметры'!C33))</f>
        <v/>
      </c>
      <c r="K10" s="36">
        <f>'Параметры'!C26*K9*(1-'Ввод данных'!D21/(60*'Параметры'!C33))</f>
        <v/>
      </c>
      <c r="L10" s="36">
        <f>'Параметры'!C26*L9*(1-'Ввод данных'!D21/(60*'Параметры'!C33))</f>
        <v/>
      </c>
      <c r="M10" s="36">
        <f>'Параметры'!C26*M9*(1-'Ввод данных'!D21/(60*'Параметры'!C33))</f>
        <v/>
      </c>
      <c r="N10" s="36">
        <f>'Параметры'!C26*N9*(1-'Ввод данных'!D21/(60*'Параметры'!C33))</f>
        <v/>
      </c>
    </row>
    <row r="11">
      <c r="B11" s="22" t="inlineStr">
        <is>
          <t>Производительность</t>
        </is>
      </c>
      <c r="C11" s="24" t="inlineStr">
        <is>
          <t>тыс.м³</t>
        </is>
      </c>
      <c r="D11" s="36" t="n"/>
      <c r="E11" s="36">
        <f>'Производительность'!D10*E10/1000</f>
        <v/>
      </c>
      <c r="F11" s="36">
        <f>'Производительность'!D10*F10/1000</f>
        <v/>
      </c>
      <c r="G11" s="36">
        <f>'Производительность'!D10*G10/1000</f>
        <v/>
      </c>
      <c r="H11" s="36">
        <f>'Производительность'!D10*H10/1000</f>
        <v/>
      </c>
      <c r="I11" s="36">
        <f>'Производительность'!D10*I10/1000</f>
        <v/>
      </c>
      <c r="J11" s="36">
        <f>'Производительность'!D10*J10/1000</f>
        <v/>
      </c>
      <c r="K11" s="36">
        <f>'Производительность'!D10*K10/1000</f>
        <v/>
      </c>
      <c r="L11" s="36">
        <f>'Производительность'!D10*L10/1000</f>
        <v/>
      </c>
      <c r="M11" s="36">
        <f>'Производительность'!D10*M10/1000</f>
        <v/>
      </c>
      <c r="N11" s="36">
        <f>'Производительность'!D10*N10/1000</f>
        <v/>
      </c>
    </row>
    <row r="12">
      <c r="B12" s="22" t="inlineStr">
        <is>
          <t>Дизтопливо</t>
        </is>
      </c>
      <c r="C12" s="24" t="inlineStr">
        <is>
          <t>тыс.руб</t>
        </is>
      </c>
      <c r="D12" s="36" t="n"/>
      <c r="E12" s="36">
        <f>E10*'Ввод данных'!D23*'Параметры'!C10*(1+'Параметры'!C14)^(E$4-1)/1000</f>
        <v/>
      </c>
      <c r="F12" s="36">
        <f>F10*'Ввод данных'!D23*'Параметры'!C10*(1+'Параметры'!C14)^(F$4-1)/1000</f>
        <v/>
      </c>
      <c r="G12" s="36">
        <f>G10*'Ввод данных'!D23*'Параметры'!C10*(1+'Параметры'!C14)^(G$4-1)/1000</f>
        <v/>
      </c>
      <c r="H12" s="36">
        <f>H10*'Ввод данных'!D23*'Параметры'!C10*(1+'Параметры'!C14)^(H$4-1)/1000</f>
        <v/>
      </c>
      <c r="I12" s="36">
        <f>I10*'Ввод данных'!D23*'Параметры'!C10*(1+'Параметры'!C14)^(I$4-1)/1000</f>
        <v/>
      </c>
      <c r="J12" s="36">
        <f>J10*'Ввод данных'!D23*'Параметры'!C10*(1+'Параметры'!C14)^(J$4-1)/1000</f>
        <v/>
      </c>
      <c r="K12" s="36">
        <f>K10*'Ввод данных'!D23*'Параметры'!C10*(1+'Параметры'!C14)^(K$4-1)/1000</f>
        <v/>
      </c>
      <c r="L12" s="36">
        <f>L10*'Ввод данных'!D23*'Параметры'!C10*(1+'Параметры'!C14)^(L$4-1)/1000</f>
        <v/>
      </c>
      <c r="M12" s="36">
        <f>M10*'Ввод данных'!D23*'Параметры'!C10*(1+'Параметры'!C14)^(M$4-1)/1000</f>
        <v/>
      </c>
      <c r="N12" s="36">
        <f>N10*'Ввод данных'!D23*'Параметры'!C10*(1+'Параметры'!C14)^(N$4-1)/1000</f>
        <v/>
      </c>
    </row>
    <row r="13">
      <c r="B13" s="22" t="inlineStr">
        <is>
          <t>ТОиР и сервис (плановое)</t>
        </is>
      </c>
      <c r="C13" s="24" t="inlineStr">
        <is>
          <t>тыс.руб</t>
        </is>
      </c>
      <c r="D13" s="36" t="n"/>
      <c r="E13" s="36">
        <f>'Ввод данных'!D25*(1+'Параметры'!C15)^(E$4-1)</f>
        <v/>
      </c>
      <c r="F13" s="36">
        <f>'Ввод данных'!D25*(1+'Параметры'!C15)^(F$4-1)</f>
        <v/>
      </c>
      <c r="G13" s="36">
        <f>'Ввод данных'!D25*(1+'Параметры'!C15)^(G$4-1)</f>
        <v/>
      </c>
      <c r="H13" s="36">
        <f>'Ввод данных'!D25*(1+'Параметры'!C15)^(H$4-1)</f>
        <v/>
      </c>
      <c r="I13" s="36">
        <f>'Ввод данных'!D25*(1+'Параметры'!C15)^(I$4-1)</f>
        <v/>
      </c>
      <c r="J13" s="36">
        <f>'Ввод данных'!D25*(1+'Параметры'!C15)^(J$4-1)</f>
        <v/>
      </c>
      <c r="K13" s="36">
        <f>'Ввод данных'!D25*(1+'Параметры'!C15)^(K$4-1)</f>
        <v/>
      </c>
      <c r="L13" s="36">
        <f>'Ввод данных'!D25*(1+'Параметры'!C15)^(L$4-1)</f>
        <v/>
      </c>
      <c r="M13" s="36">
        <f>'Ввод данных'!D25*(1+'Параметры'!C15)^(M$4-1)</f>
        <v/>
      </c>
      <c r="N13" s="36">
        <f>'Ввод данных'!D25*(1+'Параметры'!C15)^(N$4-1)</f>
        <v/>
      </c>
    </row>
    <row r="14">
      <c r="B14" s="22" t="inlineStr">
        <is>
          <t>Капитальные ремонты</t>
        </is>
      </c>
      <c r="C14" s="24" t="inlineStr">
        <is>
          <t>тыс.руб</t>
        </is>
      </c>
      <c r="D14" s="36" t="n"/>
      <c r="E14" s="36">
        <f>IF('Ввод данных'!D30&gt;0,IF(AND('Ввод данных'!D29&gt;0,E$4&gt;='Ввод данных'!D31,MOD(E$4-'Ввод данных'!D31,'Ввод данных'!D30)=0),'Ввод данных'!D29*(1+'Параметры'!C15)^(E$4-1),0),0)</f>
        <v/>
      </c>
      <c r="F14" s="36">
        <f>IF('Ввод данных'!D30&gt;0,IF(AND('Ввод данных'!D29&gt;0,F$4&gt;='Ввод данных'!D31,MOD(F$4-'Ввод данных'!D31,'Ввод данных'!D30)=0),'Ввод данных'!D29*(1+'Параметры'!C15)^(F$4-1),0),0)</f>
        <v/>
      </c>
      <c r="G14" s="36">
        <f>IF('Ввод данных'!D30&gt;0,IF(AND('Ввод данных'!D29&gt;0,G$4&gt;='Ввод данных'!D31,MOD(G$4-'Ввод данных'!D31,'Ввод данных'!D30)=0),'Ввод данных'!D29*(1+'Параметры'!C15)^(G$4-1),0),0)</f>
        <v/>
      </c>
      <c r="H14" s="36">
        <f>IF('Ввод данных'!D30&gt;0,IF(AND('Ввод данных'!D29&gt;0,H$4&gt;='Ввод данных'!D31,MOD(H$4-'Ввод данных'!D31,'Ввод данных'!D30)=0),'Ввод данных'!D29*(1+'Параметры'!C15)^(H$4-1),0),0)</f>
        <v/>
      </c>
      <c r="I14" s="36">
        <f>IF('Ввод данных'!D30&gt;0,IF(AND('Ввод данных'!D29&gt;0,I$4&gt;='Ввод данных'!D31,MOD(I$4-'Ввод данных'!D31,'Ввод данных'!D30)=0),'Ввод данных'!D29*(1+'Параметры'!C15)^(I$4-1),0),0)</f>
        <v/>
      </c>
      <c r="J14" s="36">
        <f>IF('Ввод данных'!D30&gt;0,IF(AND('Ввод данных'!D29&gt;0,J$4&gt;='Ввод данных'!D31,MOD(J$4-'Ввод данных'!D31,'Ввод данных'!D30)=0),'Ввод данных'!D29*(1+'Параметры'!C15)^(J$4-1),0),0)</f>
        <v/>
      </c>
      <c r="K14" s="36">
        <f>IF('Ввод данных'!D30&gt;0,IF(AND('Ввод данных'!D29&gt;0,K$4&gt;='Ввод данных'!D31,MOD(K$4-'Ввод данных'!D31,'Ввод данных'!D30)=0),'Ввод данных'!D29*(1+'Параметры'!C15)^(K$4-1),0),0)</f>
        <v/>
      </c>
      <c r="L14" s="36">
        <f>IF('Ввод данных'!D30&gt;0,IF(AND('Ввод данных'!D29&gt;0,L$4&gt;='Ввод данных'!D31,MOD(L$4-'Ввод данных'!D31,'Ввод данных'!D30)=0),'Ввод данных'!D29*(1+'Параметры'!C15)^(L$4-1),0),0)</f>
        <v/>
      </c>
      <c r="M14" s="36">
        <f>IF('Ввод данных'!D30&gt;0,IF(AND('Ввод данных'!D29&gt;0,M$4&gt;='Ввод данных'!D31,MOD(M$4-'Ввод данных'!D31,'Ввод данных'!D30)=0),'Ввод данных'!D29*(1+'Параметры'!C15)^(M$4-1),0),0)</f>
        <v/>
      </c>
      <c r="N14" s="36">
        <f>IF('Ввод данных'!D30&gt;0,IF(AND('Ввод данных'!D29&gt;0,N$4&gt;='Ввод данных'!D31,MOD(N$4-'Ввод данных'!D31,'Ввод данных'!D30)=0),'Ввод данных'!D29*(1+'Параметры'!C15)^(N$4-1),0),0)</f>
        <v/>
      </c>
    </row>
    <row r="15">
      <c r="B15" s="22" t="inlineStr">
        <is>
          <t>Расходники на ковш</t>
        </is>
      </c>
      <c r="C15" s="24" t="inlineStr">
        <is>
          <t>тыс.руб</t>
        </is>
      </c>
      <c r="D15" s="36" t="n"/>
      <c r="E15" s="36">
        <f>'Ввод данных'!D26*E11*(1+'Параметры'!C15)^(E$4-1)</f>
        <v/>
      </c>
      <c r="F15" s="36">
        <f>'Ввод данных'!D26*F11*(1+'Параметры'!C15)^(F$4-1)</f>
        <v/>
      </c>
      <c r="G15" s="36">
        <f>'Ввод данных'!D26*G11*(1+'Параметры'!C15)^(G$4-1)</f>
        <v/>
      </c>
      <c r="H15" s="36">
        <f>'Ввод данных'!D26*H11*(1+'Параметры'!C15)^(H$4-1)</f>
        <v/>
      </c>
      <c r="I15" s="36">
        <f>'Ввод данных'!D26*I11*(1+'Параметры'!C15)^(I$4-1)</f>
        <v/>
      </c>
      <c r="J15" s="36">
        <f>'Ввод данных'!D26*J11*(1+'Параметры'!C15)^(J$4-1)</f>
        <v/>
      </c>
      <c r="K15" s="36">
        <f>'Ввод данных'!D26*K11*(1+'Параметры'!C15)^(K$4-1)</f>
        <v/>
      </c>
      <c r="L15" s="36">
        <f>'Ввод данных'!D26*L11*(1+'Параметры'!C15)^(L$4-1)</f>
        <v/>
      </c>
      <c r="M15" s="36">
        <f>'Ввод данных'!D26*M11*(1+'Параметры'!C15)^(M$4-1)</f>
        <v/>
      </c>
      <c r="N15" s="36">
        <f>'Ввод данных'!D26*N11*(1+'Параметры'!C15)^(N$4-1)</f>
        <v/>
      </c>
    </row>
    <row r="16">
      <c r="B16" s="22" t="inlineStr">
        <is>
          <t>Персонал</t>
        </is>
      </c>
      <c r="C16" s="24" t="inlineStr">
        <is>
          <t>тыс.руб</t>
        </is>
      </c>
      <c r="D16" s="36" t="n"/>
      <c r="E16" s="36">
        <f>'Ввод данных'!D27*(1+'Параметры'!C16)^(E$4-1)</f>
        <v/>
      </c>
      <c r="F16" s="36">
        <f>'Ввод данных'!D27*(1+'Параметры'!C16)^(F$4-1)</f>
        <v/>
      </c>
      <c r="G16" s="36">
        <f>'Ввод данных'!D27*(1+'Параметры'!C16)^(G$4-1)</f>
        <v/>
      </c>
      <c r="H16" s="36">
        <f>'Ввод данных'!D27*(1+'Параметры'!C16)^(H$4-1)</f>
        <v/>
      </c>
      <c r="I16" s="36">
        <f>'Ввод данных'!D27*(1+'Параметры'!C16)^(I$4-1)</f>
        <v/>
      </c>
      <c r="J16" s="36">
        <f>'Ввод данных'!D27*(1+'Параметры'!C16)^(J$4-1)</f>
        <v/>
      </c>
      <c r="K16" s="36">
        <f>'Ввод данных'!D27*(1+'Параметры'!C16)^(K$4-1)</f>
        <v/>
      </c>
      <c r="L16" s="36">
        <f>'Ввод данных'!D27*(1+'Параметры'!C16)^(L$4-1)</f>
        <v/>
      </c>
      <c r="M16" s="36">
        <f>'Ввод данных'!D27*(1+'Параметры'!C16)^(M$4-1)</f>
        <v/>
      </c>
      <c r="N16" s="36">
        <f>'Ввод данных'!D27*(1+'Параметры'!C16)^(N$4-1)</f>
        <v/>
      </c>
    </row>
    <row r="17">
      <c r="B17" s="22" t="inlineStr">
        <is>
          <t>Итого денежные затраты</t>
        </is>
      </c>
      <c r="C17" s="24" t="inlineStr">
        <is>
          <t>тыс.руб</t>
        </is>
      </c>
      <c r="D17" s="36" t="n"/>
      <c r="E17" s="46">
        <f>E12+E13+E14+E15+E16</f>
        <v/>
      </c>
      <c r="F17" s="46">
        <f>F12+F13+F14+F15+F16</f>
        <v/>
      </c>
      <c r="G17" s="46">
        <f>G12+G13+G14+G15+G16</f>
        <v/>
      </c>
      <c r="H17" s="46">
        <f>H12+H13+H14+H15+H16</f>
        <v/>
      </c>
      <c r="I17" s="46">
        <f>I12+I13+I14+I15+I16</f>
        <v/>
      </c>
      <c r="J17" s="46">
        <f>J12+J13+J14+J15+J16</f>
        <v/>
      </c>
      <c r="K17" s="46">
        <f>K12+K13+K14+K15+K16</f>
        <v/>
      </c>
      <c r="L17" s="46">
        <f>L12+L13+L14+L15+L16</f>
        <v/>
      </c>
      <c r="M17" s="46">
        <f>M12+M13+M14+M15+M16</f>
        <v/>
      </c>
      <c r="N17" s="46">
        <f>N12+N13+N14+N15+N16</f>
        <v/>
      </c>
    </row>
    <row r="18">
      <c r="B18" s="22" t="inlineStr">
        <is>
          <t>Амортизация (НУ)</t>
        </is>
      </c>
      <c r="C18" s="24" t="inlineStr">
        <is>
          <t>тыс.руб</t>
        </is>
      </c>
      <c r="D18" s="36" t="n"/>
      <c r="E18" s="36">
        <f>IF(E$4&lt;=INT('Параметры'!C9),'Производительность'!D5/'Параметры'!C9,IF(E$4=INT('Параметры'!C9)+1,'Производительность'!D5*('Параметры'!C9-INT('Параметры'!C9))/'Параметры'!C9,0))</f>
        <v/>
      </c>
      <c r="F18" s="36">
        <f>IF(F$4&lt;=INT('Параметры'!C9),'Производительность'!D5/'Параметры'!C9,IF(F$4=INT('Параметры'!C9)+1,'Производительность'!D5*('Параметры'!C9-INT('Параметры'!C9))/'Параметры'!C9,0))</f>
        <v/>
      </c>
      <c r="G18" s="36">
        <f>IF(G$4&lt;=INT('Параметры'!C9),'Производительность'!D5/'Параметры'!C9,IF(G$4=INT('Параметры'!C9)+1,'Производительность'!D5*('Параметры'!C9-INT('Параметры'!C9))/'Параметры'!C9,0))</f>
        <v/>
      </c>
      <c r="H18" s="36">
        <f>IF(H$4&lt;=INT('Параметры'!C9),'Производительность'!D5/'Параметры'!C9,IF(H$4=INT('Параметры'!C9)+1,'Производительность'!D5*('Параметры'!C9-INT('Параметры'!C9))/'Параметры'!C9,0))</f>
        <v/>
      </c>
      <c r="I18" s="36">
        <f>IF(I$4&lt;=INT('Параметры'!C9),'Производительность'!D5/'Параметры'!C9,IF(I$4=INT('Параметры'!C9)+1,'Производительность'!D5*('Параметры'!C9-INT('Параметры'!C9))/'Параметры'!C9,0))</f>
        <v/>
      </c>
      <c r="J18" s="36">
        <f>IF(J$4&lt;=INT('Параметры'!C9),'Производительность'!D5/'Параметры'!C9,IF(J$4=INT('Параметры'!C9)+1,'Производительность'!D5*('Параметры'!C9-INT('Параметры'!C9))/'Параметры'!C9,0))</f>
        <v/>
      </c>
      <c r="K18" s="36">
        <f>IF(K$4&lt;=INT('Параметры'!C9),'Производительность'!D5/'Параметры'!C9,IF(K$4=INT('Параметры'!C9)+1,'Производительность'!D5*('Параметры'!C9-INT('Параметры'!C9))/'Параметры'!C9,0))</f>
        <v/>
      </c>
      <c r="L18" s="36">
        <f>IF(L$4&lt;=INT('Параметры'!C9),'Производительность'!D5/'Параметры'!C9,IF(L$4=INT('Параметры'!C9)+1,'Производительность'!D5*('Параметры'!C9-INT('Параметры'!C9))/'Параметры'!C9,0))</f>
        <v/>
      </c>
      <c r="M18" s="36">
        <f>IF(M$4&lt;=INT('Параметры'!C9),'Производительность'!D5/'Параметры'!C9,IF(M$4=INT('Параметры'!C9)+1,'Производительность'!D5*('Параметры'!C9-INT('Параметры'!C9))/'Параметры'!C9,0))</f>
        <v/>
      </c>
      <c r="N18" s="36">
        <f>IF(N$4&lt;=INT('Параметры'!C9),'Производительность'!D5/'Параметры'!C9,IF(N$4=INT('Параметры'!C9)+1,'Производительность'!D5*('Параметры'!C9-INT('Параметры'!C9))/'Параметры'!C9,0))</f>
        <v/>
      </c>
    </row>
    <row r="19">
      <c r="B19" s="22" t="inlineStr">
        <is>
          <t>Налогооблагаемая база</t>
        </is>
      </c>
      <c r="C19" s="24" t="inlineStr">
        <is>
          <t>тыс.руб</t>
        </is>
      </c>
      <c r="D19" s="36" t="n"/>
      <c r="E19" s="36">
        <f>E17+E18</f>
        <v/>
      </c>
      <c r="F19" s="36">
        <f>F17+F18</f>
        <v/>
      </c>
      <c r="G19" s="36">
        <f>G17+G18</f>
        <v/>
      </c>
      <c r="H19" s="36">
        <f>H17+H18</f>
        <v/>
      </c>
      <c r="I19" s="36">
        <f>I17+I18</f>
        <v/>
      </c>
      <c r="J19" s="36">
        <f>J17+J18</f>
        <v/>
      </c>
      <c r="K19" s="36">
        <f>K17+K18</f>
        <v/>
      </c>
      <c r="L19" s="36">
        <f>L17+L18</f>
        <v/>
      </c>
      <c r="M19" s="36">
        <f>M17+M18</f>
        <v/>
      </c>
      <c r="N19" s="36">
        <f>N17+N18</f>
        <v/>
      </c>
    </row>
    <row r="20">
      <c r="B20" s="22" t="inlineStr">
        <is>
          <t>Налог на прибыль (щит)</t>
        </is>
      </c>
      <c r="C20" s="24" t="inlineStr">
        <is>
          <t>тыс.руб</t>
        </is>
      </c>
      <c r="D20" s="36" t="n"/>
      <c r="E20" s="36">
        <f>-E19*'Параметры'!C7</f>
        <v/>
      </c>
      <c r="F20" s="36">
        <f>-F19*'Параметры'!C7</f>
        <v/>
      </c>
      <c r="G20" s="36">
        <f>-G19*'Параметры'!C7</f>
        <v/>
      </c>
      <c r="H20" s="36">
        <f>-H19*'Параметры'!C7</f>
        <v/>
      </c>
      <c r="I20" s="36">
        <f>-I19*'Параметры'!C7</f>
        <v/>
      </c>
      <c r="J20" s="36">
        <f>-J19*'Параметры'!C7</f>
        <v/>
      </c>
      <c r="K20" s="36">
        <f>-K19*'Параметры'!C7</f>
        <v/>
      </c>
      <c r="L20" s="36">
        <f>-L19*'Параметры'!C7</f>
        <v/>
      </c>
      <c r="M20" s="36">
        <f>-M19*'Параметры'!C7</f>
        <v/>
      </c>
      <c r="N20" s="36">
        <f>-N19*'Параметры'!C7</f>
        <v/>
      </c>
    </row>
    <row r="21">
      <c r="B21" s="22" t="inlineStr">
        <is>
          <t>Операц. денежный поток</t>
        </is>
      </c>
      <c r="C21" s="24" t="inlineStr">
        <is>
          <t>тыс.руб</t>
        </is>
      </c>
      <c r="D21" s="36" t="n"/>
      <c r="E21" s="46">
        <f>E19+E20-E18</f>
        <v/>
      </c>
      <c r="F21" s="46">
        <f>F19+F20-F18</f>
        <v/>
      </c>
      <c r="G21" s="46">
        <f>G19+G20-G18</f>
        <v/>
      </c>
      <c r="H21" s="46">
        <f>H19+H20-H18</f>
        <v/>
      </c>
      <c r="I21" s="46">
        <f>I19+I20-I18</f>
        <v/>
      </c>
      <c r="J21" s="46">
        <f>J19+J20-J18</f>
        <v/>
      </c>
      <c r="K21" s="46">
        <f>K19+K20-K18</f>
        <v/>
      </c>
      <c r="L21" s="46">
        <f>L19+L20-L18</f>
        <v/>
      </c>
      <c r="M21" s="46">
        <f>M19+M20-M18</f>
        <v/>
      </c>
      <c r="N21" s="46">
        <f>N19+N20-N18</f>
        <v/>
      </c>
    </row>
    <row r="22">
      <c r="B22" s="22" t="inlineStr">
        <is>
          <t>Инвестиции / остаточная ст-ть</t>
        </is>
      </c>
      <c r="C22" s="24" t="inlineStr">
        <is>
          <t>тыс.руб</t>
        </is>
      </c>
      <c r="D22" s="36">
        <f>IF(D$4=0,'Производительность'!D5,IF(D$4='Параметры'!C8,-'Ввод данных'!D14*'Производительность'!D5,0))</f>
        <v/>
      </c>
      <c r="E22" s="36">
        <f>IF(E$4=0,'Производительность'!D5,IF(E$4='Параметры'!C8,-'Ввод данных'!D14*'Производительность'!D5,0))</f>
        <v/>
      </c>
      <c r="F22" s="36">
        <f>IF(F$4=0,'Производительность'!D5,IF(F$4='Параметры'!C8,-'Ввод данных'!D14*'Производительность'!D5,0))</f>
        <v/>
      </c>
      <c r="G22" s="36">
        <f>IF(G$4=0,'Производительность'!D5,IF(G$4='Параметры'!C8,-'Ввод данных'!D14*'Производительность'!D5,0))</f>
        <v/>
      </c>
      <c r="H22" s="36">
        <f>IF(H$4=0,'Производительность'!D5,IF(H$4='Параметры'!C8,-'Ввод данных'!D14*'Производительность'!D5,0))</f>
        <v/>
      </c>
      <c r="I22" s="36">
        <f>IF(I$4=0,'Производительность'!D5,IF(I$4='Параметры'!C8,-'Ввод данных'!D14*'Производительность'!D5,0))</f>
        <v/>
      </c>
      <c r="J22" s="36">
        <f>IF(J$4=0,'Производительность'!D5,IF(J$4='Параметры'!C8,-'Ввод данных'!D14*'Производительность'!D5,0))</f>
        <v/>
      </c>
      <c r="K22" s="36">
        <f>IF(K$4=0,'Производительность'!D5,IF(K$4='Параметры'!C8,-'Ввод данных'!D14*'Производительность'!D5,0))</f>
        <v/>
      </c>
      <c r="L22" s="36">
        <f>IF(L$4=0,'Производительность'!D5,IF(L$4='Параметры'!C8,-'Ввод данных'!D14*'Производительность'!D5,0))</f>
        <v/>
      </c>
      <c r="M22" s="36">
        <f>IF(M$4=0,'Производительность'!D5,IF(M$4='Параметры'!C8,-'Ввод данных'!D14*'Производительность'!D5,0))</f>
        <v/>
      </c>
      <c r="N22" s="36">
        <f>IF(N$4=0,'Производительность'!D5,IF(N$4='Параметры'!C8,-'Ввод данных'!D14*'Производительность'!D5,0))</f>
        <v/>
      </c>
    </row>
    <row r="23">
      <c r="B23" s="22" t="inlineStr">
        <is>
          <t>Чистый денежный поток</t>
        </is>
      </c>
      <c r="C23" s="24" t="inlineStr">
        <is>
          <t>тыс.руб</t>
        </is>
      </c>
      <c r="D23" s="46">
        <f>0+D22</f>
        <v/>
      </c>
      <c r="E23" s="46">
        <f>E21+E22</f>
        <v/>
      </c>
      <c r="F23" s="46">
        <f>F21+F22</f>
        <v/>
      </c>
      <c r="G23" s="46">
        <f>G21+G22</f>
        <v/>
      </c>
      <c r="H23" s="46">
        <f>H21+H22</f>
        <v/>
      </c>
      <c r="I23" s="46">
        <f>I21+I22</f>
        <v/>
      </c>
      <c r="J23" s="46">
        <f>J21+J22</f>
        <v/>
      </c>
      <c r="K23" s="46">
        <f>K21+K22</f>
        <v/>
      </c>
      <c r="L23" s="46">
        <f>L21+L22</f>
        <v/>
      </c>
      <c r="M23" s="46">
        <f>M21+M22</f>
        <v/>
      </c>
      <c r="N23" s="46">
        <f>N21+N22</f>
        <v/>
      </c>
    </row>
    <row r="24">
      <c r="B24" s="22" t="inlineStr">
        <is>
          <t>Дисконтированный поток</t>
        </is>
      </c>
      <c r="C24" s="24" t="inlineStr">
        <is>
          <t>тыс.руб</t>
        </is>
      </c>
      <c r="D24" s="36">
        <f>D23*D$6</f>
        <v/>
      </c>
      <c r="E24" s="36">
        <f>E23*E$6</f>
        <v/>
      </c>
      <c r="F24" s="36">
        <f>F23*F$6</f>
        <v/>
      </c>
      <c r="G24" s="36">
        <f>G23*G$6</f>
        <v/>
      </c>
      <c r="H24" s="36">
        <f>H23*H$6</f>
        <v/>
      </c>
      <c r="I24" s="36">
        <f>I23*I$6</f>
        <v/>
      </c>
      <c r="J24" s="36">
        <f>J23*J$6</f>
        <v/>
      </c>
      <c r="K24" s="36">
        <f>K23*K$6</f>
        <v/>
      </c>
      <c r="L24" s="36">
        <f>L23*L$6</f>
        <v/>
      </c>
      <c r="M24" s="36">
        <f>M23*M$6</f>
        <v/>
      </c>
      <c r="N24" s="36">
        <f>N23*N$6</f>
        <v/>
      </c>
    </row>
    <row r="25">
      <c r="B25" s="22" t="inlineStr">
        <is>
          <t>Кумул. дисконт. поток</t>
        </is>
      </c>
      <c r="C25" s="24" t="inlineStr">
        <is>
          <t>тыс.руб</t>
        </is>
      </c>
      <c r="D25" s="36">
        <f>SUM($D24:D24)</f>
        <v/>
      </c>
      <c r="E25" s="36">
        <f>SUM($D24:E24)</f>
        <v/>
      </c>
      <c r="F25" s="36">
        <f>SUM($D24:F24)</f>
        <v/>
      </c>
      <c r="G25" s="36">
        <f>SUM($D24:G24)</f>
        <v/>
      </c>
      <c r="H25" s="36">
        <f>SUM($D24:H24)</f>
        <v/>
      </c>
      <c r="I25" s="36">
        <f>SUM($D24:I24)</f>
        <v/>
      </c>
      <c r="J25" s="36">
        <f>SUM($D24:J24)</f>
        <v/>
      </c>
      <c r="K25" s="36">
        <f>SUM($D24:K24)</f>
        <v/>
      </c>
      <c r="L25" s="36">
        <f>SUM($D24:L24)</f>
        <v/>
      </c>
      <c r="M25" s="36">
        <f>SUM($D24:M24)</f>
        <v/>
      </c>
      <c r="N25" s="36">
        <f>SUM($D24:N24)</f>
        <v/>
      </c>
    </row>
    <row r="26">
      <c r="B26" s="40" t="inlineStr">
        <is>
          <t>Аннуитет по году</t>
        </is>
      </c>
      <c r="C26" s="24" t="inlineStr">
        <is>
          <t>руб/м³</t>
        </is>
      </c>
      <c r="D26" s="47" t="n"/>
      <c r="E26" s="47">
        <f>SUM($D24:E24)/SUM($E$6:E$6)/(SUM($E11:E11)/E$4)</f>
        <v/>
      </c>
      <c r="F26" s="47">
        <f>SUM($D24:F24)/SUM($E$6:F$6)/(SUM($E11:F11)/F$4)</f>
        <v/>
      </c>
      <c r="G26" s="47">
        <f>SUM($D24:G24)/SUM($E$6:G$6)/(SUM($E11:G11)/G$4)</f>
        <v/>
      </c>
      <c r="H26" s="47">
        <f>SUM($D24:H24)/SUM($E$6:H$6)/(SUM($E11:H11)/H$4)</f>
        <v/>
      </c>
      <c r="I26" s="47">
        <f>SUM($D24:I24)/SUM($E$6:I$6)/(SUM($E11:I11)/I$4)</f>
        <v/>
      </c>
      <c r="J26" s="47">
        <f>SUM($D24:J24)/SUM($E$6:J$6)/(SUM($E11:J11)/J$4)</f>
        <v/>
      </c>
      <c r="K26" s="47">
        <f>SUM($D24:K24)/SUM($E$6:K$6)/(SUM($E11:K11)/K$4)</f>
        <v/>
      </c>
      <c r="L26" s="47">
        <f>SUM($D24:L24)/SUM($E$6:L$6)/(SUM($E11:L11)/L$4)</f>
        <v/>
      </c>
      <c r="M26" s="47">
        <f>SUM($D24:M24)/SUM($E$6:M$6)/(SUM($E11:M11)/M$4)</f>
        <v/>
      </c>
      <c r="N26" s="47">
        <f>SUM($D24:N24)/SUM($E$6:N$6)/(SUM($E11:N11)/N$4)</f>
        <v/>
      </c>
    </row>
    <row r="28">
      <c r="B28" s="5">
        <f>"Вариант 2:  "&amp;'Ввод данных'!E7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B29" s="22" t="inlineStr">
        <is>
          <t>КТГ</t>
        </is>
      </c>
      <c r="C29" s="24" t="inlineStr">
        <is>
          <t>коэф.</t>
        </is>
      </c>
      <c r="D29" s="39" t="n"/>
      <c r="E29" s="39">
        <f>'Ввод данных'!E19*(1-'Ввод данных'!E20)^(E$4-1)</f>
        <v/>
      </c>
      <c r="F29" s="39">
        <f>'Ввод данных'!E19*(1-'Ввод данных'!E20)^(F$4-1)</f>
        <v/>
      </c>
      <c r="G29" s="39">
        <f>'Ввод данных'!E19*(1-'Ввод данных'!E20)^(G$4-1)</f>
        <v/>
      </c>
      <c r="H29" s="39">
        <f>'Ввод данных'!E19*(1-'Ввод данных'!E20)^(H$4-1)</f>
        <v/>
      </c>
      <c r="I29" s="39">
        <f>'Ввод данных'!E19*(1-'Ввод данных'!E20)^(I$4-1)</f>
        <v/>
      </c>
      <c r="J29" s="39">
        <f>'Ввод данных'!E19*(1-'Ввод данных'!E20)^(J$4-1)</f>
        <v/>
      </c>
      <c r="K29" s="39">
        <f>'Ввод данных'!E19*(1-'Ввод данных'!E20)^(K$4-1)</f>
        <v/>
      </c>
      <c r="L29" s="39">
        <f>'Ввод данных'!E19*(1-'Ввод данных'!E20)^(L$4-1)</f>
        <v/>
      </c>
      <c r="M29" s="39">
        <f>'Ввод данных'!E19*(1-'Ввод данных'!E20)^(M$4-1)</f>
        <v/>
      </c>
      <c r="N29" s="39">
        <f>'Ввод данных'!E19*(1-'Ввод данных'!E20)^(N$4-1)</f>
        <v/>
      </c>
    </row>
    <row r="30">
      <c r="B30" s="22" t="inlineStr">
        <is>
          <t>Эффективное время</t>
        </is>
      </c>
      <c r="C30" s="24" t="inlineStr">
        <is>
          <t>час/год</t>
        </is>
      </c>
      <c r="D30" s="36" t="n"/>
      <c r="E30" s="36">
        <f>'Параметры'!C26*E29*(1-'Ввод данных'!E21/(60*'Параметры'!C33))</f>
        <v/>
      </c>
      <c r="F30" s="36">
        <f>'Параметры'!C26*F29*(1-'Ввод данных'!E21/(60*'Параметры'!C33))</f>
        <v/>
      </c>
      <c r="G30" s="36">
        <f>'Параметры'!C26*G29*(1-'Ввод данных'!E21/(60*'Параметры'!C33))</f>
        <v/>
      </c>
      <c r="H30" s="36">
        <f>'Параметры'!C26*H29*(1-'Ввод данных'!E21/(60*'Параметры'!C33))</f>
        <v/>
      </c>
      <c r="I30" s="36">
        <f>'Параметры'!C26*I29*(1-'Ввод данных'!E21/(60*'Параметры'!C33))</f>
        <v/>
      </c>
      <c r="J30" s="36">
        <f>'Параметры'!C26*J29*(1-'Ввод данных'!E21/(60*'Параметры'!C33))</f>
        <v/>
      </c>
      <c r="K30" s="36">
        <f>'Параметры'!C26*K29*(1-'Ввод данных'!E21/(60*'Параметры'!C33))</f>
        <v/>
      </c>
      <c r="L30" s="36">
        <f>'Параметры'!C26*L29*(1-'Ввод данных'!E21/(60*'Параметры'!C33))</f>
        <v/>
      </c>
      <c r="M30" s="36">
        <f>'Параметры'!C26*M29*(1-'Ввод данных'!E21/(60*'Параметры'!C33))</f>
        <v/>
      </c>
      <c r="N30" s="36">
        <f>'Параметры'!C26*N29*(1-'Ввод данных'!E21/(60*'Параметры'!C33))</f>
        <v/>
      </c>
    </row>
    <row r="31">
      <c r="B31" s="22" t="inlineStr">
        <is>
          <t>Производительность</t>
        </is>
      </c>
      <c r="C31" s="24" t="inlineStr">
        <is>
          <t>тыс.м³</t>
        </is>
      </c>
      <c r="D31" s="36" t="n"/>
      <c r="E31" s="36">
        <f>'Производительность'!E10*E30/1000</f>
        <v/>
      </c>
      <c r="F31" s="36">
        <f>'Производительность'!E10*F30/1000</f>
        <v/>
      </c>
      <c r="G31" s="36">
        <f>'Производительность'!E10*G30/1000</f>
        <v/>
      </c>
      <c r="H31" s="36">
        <f>'Производительность'!E10*H30/1000</f>
        <v/>
      </c>
      <c r="I31" s="36">
        <f>'Производительность'!E10*I30/1000</f>
        <v/>
      </c>
      <c r="J31" s="36">
        <f>'Производительность'!E10*J30/1000</f>
        <v/>
      </c>
      <c r="K31" s="36">
        <f>'Производительность'!E10*K30/1000</f>
        <v/>
      </c>
      <c r="L31" s="36">
        <f>'Производительность'!E10*L30/1000</f>
        <v/>
      </c>
      <c r="M31" s="36">
        <f>'Производительность'!E10*M30/1000</f>
        <v/>
      </c>
      <c r="N31" s="36">
        <f>'Производительность'!E10*N30/1000</f>
        <v/>
      </c>
    </row>
    <row r="32">
      <c r="B32" s="22" t="inlineStr">
        <is>
          <t>Дизтопливо</t>
        </is>
      </c>
      <c r="C32" s="24" t="inlineStr">
        <is>
          <t>тыс.руб</t>
        </is>
      </c>
      <c r="D32" s="36" t="n"/>
      <c r="E32" s="36">
        <f>E30*'Ввод данных'!E23*'Параметры'!C10*(1+'Параметры'!C14)^(E$4-1)/1000</f>
        <v/>
      </c>
      <c r="F32" s="36">
        <f>F30*'Ввод данных'!E23*'Параметры'!C10*(1+'Параметры'!C14)^(F$4-1)/1000</f>
        <v/>
      </c>
      <c r="G32" s="36">
        <f>G30*'Ввод данных'!E23*'Параметры'!C10*(1+'Параметры'!C14)^(G$4-1)/1000</f>
        <v/>
      </c>
      <c r="H32" s="36">
        <f>H30*'Ввод данных'!E23*'Параметры'!C10*(1+'Параметры'!C14)^(H$4-1)/1000</f>
        <v/>
      </c>
      <c r="I32" s="36">
        <f>I30*'Ввод данных'!E23*'Параметры'!C10*(1+'Параметры'!C14)^(I$4-1)/1000</f>
        <v/>
      </c>
      <c r="J32" s="36">
        <f>J30*'Ввод данных'!E23*'Параметры'!C10*(1+'Параметры'!C14)^(J$4-1)/1000</f>
        <v/>
      </c>
      <c r="K32" s="36">
        <f>K30*'Ввод данных'!E23*'Параметры'!C10*(1+'Параметры'!C14)^(K$4-1)/1000</f>
        <v/>
      </c>
      <c r="L32" s="36">
        <f>L30*'Ввод данных'!E23*'Параметры'!C10*(1+'Параметры'!C14)^(L$4-1)/1000</f>
        <v/>
      </c>
      <c r="M32" s="36">
        <f>M30*'Ввод данных'!E23*'Параметры'!C10*(1+'Параметры'!C14)^(M$4-1)/1000</f>
        <v/>
      </c>
      <c r="N32" s="36">
        <f>N30*'Ввод данных'!E23*'Параметры'!C10*(1+'Параметры'!C14)^(N$4-1)/1000</f>
        <v/>
      </c>
    </row>
    <row r="33">
      <c r="B33" s="22" t="inlineStr">
        <is>
          <t>ТОиР и сервис (плановое)</t>
        </is>
      </c>
      <c r="C33" s="24" t="inlineStr">
        <is>
          <t>тыс.руб</t>
        </is>
      </c>
      <c r="D33" s="36" t="n"/>
      <c r="E33" s="36">
        <f>'Ввод данных'!E25*(1+'Параметры'!C15)^(E$4-1)</f>
        <v/>
      </c>
      <c r="F33" s="36">
        <f>'Ввод данных'!E25*(1+'Параметры'!C15)^(F$4-1)</f>
        <v/>
      </c>
      <c r="G33" s="36">
        <f>'Ввод данных'!E25*(1+'Параметры'!C15)^(G$4-1)</f>
        <v/>
      </c>
      <c r="H33" s="36">
        <f>'Ввод данных'!E25*(1+'Параметры'!C15)^(H$4-1)</f>
        <v/>
      </c>
      <c r="I33" s="36">
        <f>'Ввод данных'!E25*(1+'Параметры'!C15)^(I$4-1)</f>
        <v/>
      </c>
      <c r="J33" s="36">
        <f>'Ввод данных'!E25*(1+'Параметры'!C15)^(J$4-1)</f>
        <v/>
      </c>
      <c r="K33" s="36">
        <f>'Ввод данных'!E25*(1+'Параметры'!C15)^(K$4-1)</f>
        <v/>
      </c>
      <c r="L33" s="36">
        <f>'Ввод данных'!E25*(1+'Параметры'!C15)^(L$4-1)</f>
        <v/>
      </c>
      <c r="M33" s="36">
        <f>'Ввод данных'!E25*(1+'Параметры'!C15)^(M$4-1)</f>
        <v/>
      </c>
      <c r="N33" s="36">
        <f>'Ввод данных'!E25*(1+'Параметры'!C15)^(N$4-1)</f>
        <v/>
      </c>
    </row>
    <row r="34">
      <c r="B34" s="22" t="inlineStr">
        <is>
          <t>Капитальные ремонты</t>
        </is>
      </c>
      <c r="C34" s="24" t="inlineStr">
        <is>
          <t>тыс.руб</t>
        </is>
      </c>
      <c r="D34" s="36" t="n"/>
      <c r="E34" s="36">
        <f>IF('Ввод данных'!E30&gt;0,IF(AND('Ввод данных'!E29&gt;0,E$4&gt;='Ввод данных'!E31,MOD(E$4-'Ввод данных'!E31,'Ввод данных'!E30)=0),'Ввод данных'!E29*(1+'Параметры'!C15)^(E$4-1),0),0)</f>
        <v/>
      </c>
      <c r="F34" s="36">
        <f>IF('Ввод данных'!E30&gt;0,IF(AND('Ввод данных'!E29&gt;0,F$4&gt;='Ввод данных'!E31,MOD(F$4-'Ввод данных'!E31,'Ввод данных'!E30)=0),'Ввод данных'!E29*(1+'Параметры'!C15)^(F$4-1),0),0)</f>
        <v/>
      </c>
      <c r="G34" s="36">
        <f>IF('Ввод данных'!E30&gt;0,IF(AND('Ввод данных'!E29&gt;0,G$4&gt;='Ввод данных'!E31,MOD(G$4-'Ввод данных'!E31,'Ввод данных'!E30)=0),'Ввод данных'!E29*(1+'Параметры'!C15)^(G$4-1),0),0)</f>
        <v/>
      </c>
      <c r="H34" s="36">
        <f>IF('Ввод данных'!E30&gt;0,IF(AND('Ввод данных'!E29&gt;0,H$4&gt;='Ввод данных'!E31,MOD(H$4-'Ввод данных'!E31,'Ввод данных'!E30)=0),'Ввод данных'!E29*(1+'Параметры'!C15)^(H$4-1),0),0)</f>
        <v/>
      </c>
      <c r="I34" s="36">
        <f>IF('Ввод данных'!E30&gt;0,IF(AND('Ввод данных'!E29&gt;0,I$4&gt;='Ввод данных'!E31,MOD(I$4-'Ввод данных'!E31,'Ввод данных'!E30)=0),'Ввод данных'!E29*(1+'Параметры'!C15)^(I$4-1),0),0)</f>
        <v/>
      </c>
      <c r="J34" s="36">
        <f>IF('Ввод данных'!E30&gt;0,IF(AND('Ввод данных'!E29&gt;0,J$4&gt;='Ввод данных'!E31,MOD(J$4-'Ввод данных'!E31,'Ввод данных'!E30)=0),'Ввод данных'!E29*(1+'Параметры'!C15)^(J$4-1),0),0)</f>
        <v/>
      </c>
      <c r="K34" s="36">
        <f>IF('Ввод данных'!E30&gt;0,IF(AND('Ввод данных'!E29&gt;0,K$4&gt;='Ввод данных'!E31,MOD(K$4-'Ввод данных'!E31,'Ввод данных'!E30)=0),'Ввод данных'!E29*(1+'Параметры'!C15)^(K$4-1),0),0)</f>
        <v/>
      </c>
      <c r="L34" s="36">
        <f>IF('Ввод данных'!E30&gt;0,IF(AND('Ввод данных'!E29&gt;0,L$4&gt;='Ввод данных'!E31,MOD(L$4-'Ввод данных'!E31,'Ввод данных'!E30)=0),'Ввод данных'!E29*(1+'Параметры'!C15)^(L$4-1),0),0)</f>
        <v/>
      </c>
      <c r="M34" s="36">
        <f>IF('Ввод данных'!E30&gt;0,IF(AND('Ввод данных'!E29&gt;0,M$4&gt;='Ввод данных'!E31,MOD(M$4-'Ввод данных'!E31,'Ввод данных'!E30)=0),'Ввод данных'!E29*(1+'Параметры'!C15)^(M$4-1),0),0)</f>
        <v/>
      </c>
      <c r="N34" s="36">
        <f>IF('Ввод данных'!E30&gt;0,IF(AND('Ввод данных'!E29&gt;0,N$4&gt;='Ввод данных'!E31,MOD(N$4-'Ввод данных'!E31,'Ввод данных'!E30)=0),'Ввод данных'!E29*(1+'Параметры'!C15)^(N$4-1),0),0)</f>
        <v/>
      </c>
    </row>
    <row r="35">
      <c r="B35" s="22" t="inlineStr">
        <is>
          <t>Расходники на ковш</t>
        </is>
      </c>
      <c r="C35" s="24" t="inlineStr">
        <is>
          <t>тыс.руб</t>
        </is>
      </c>
      <c r="D35" s="36" t="n"/>
      <c r="E35" s="36">
        <f>'Ввод данных'!E26*E31*(1+'Параметры'!C15)^(E$4-1)</f>
        <v/>
      </c>
      <c r="F35" s="36">
        <f>'Ввод данных'!E26*F31*(1+'Параметры'!C15)^(F$4-1)</f>
        <v/>
      </c>
      <c r="G35" s="36">
        <f>'Ввод данных'!E26*G31*(1+'Параметры'!C15)^(G$4-1)</f>
        <v/>
      </c>
      <c r="H35" s="36">
        <f>'Ввод данных'!E26*H31*(1+'Параметры'!C15)^(H$4-1)</f>
        <v/>
      </c>
      <c r="I35" s="36">
        <f>'Ввод данных'!E26*I31*(1+'Параметры'!C15)^(I$4-1)</f>
        <v/>
      </c>
      <c r="J35" s="36">
        <f>'Ввод данных'!E26*J31*(1+'Параметры'!C15)^(J$4-1)</f>
        <v/>
      </c>
      <c r="K35" s="36">
        <f>'Ввод данных'!E26*K31*(1+'Параметры'!C15)^(K$4-1)</f>
        <v/>
      </c>
      <c r="L35" s="36">
        <f>'Ввод данных'!E26*L31*(1+'Параметры'!C15)^(L$4-1)</f>
        <v/>
      </c>
      <c r="M35" s="36">
        <f>'Ввод данных'!E26*M31*(1+'Параметры'!C15)^(M$4-1)</f>
        <v/>
      </c>
      <c r="N35" s="36">
        <f>'Ввод данных'!E26*N31*(1+'Параметры'!C15)^(N$4-1)</f>
        <v/>
      </c>
    </row>
    <row r="36">
      <c r="B36" s="22" t="inlineStr">
        <is>
          <t>Персонал</t>
        </is>
      </c>
      <c r="C36" s="24" t="inlineStr">
        <is>
          <t>тыс.руб</t>
        </is>
      </c>
      <c r="D36" s="36" t="n"/>
      <c r="E36" s="36">
        <f>'Ввод данных'!E27*(1+'Параметры'!C16)^(E$4-1)</f>
        <v/>
      </c>
      <c r="F36" s="36">
        <f>'Ввод данных'!E27*(1+'Параметры'!C16)^(F$4-1)</f>
        <v/>
      </c>
      <c r="G36" s="36">
        <f>'Ввод данных'!E27*(1+'Параметры'!C16)^(G$4-1)</f>
        <v/>
      </c>
      <c r="H36" s="36">
        <f>'Ввод данных'!E27*(1+'Параметры'!C16)^(H$4-1)</f>
        <v/>
      </c>
      <c r="I36" s="36">
        <f>'Ввод данных'!E27*(1+'Параметры'!C16)^(I$4-1)</f>
        <v/>
      </c>
      <c r="J36" s="36">
        <f>'Ввод данных'!E27*(1+'Параметры'!C16)^(J$4-1)</f>
        <v/>
      </c>
      <c r="K36" s="36">
        <f>'Ввод данных'!E27*(1+'Параметры'!C16)^(K$4-1)</f>
        <v/>
      </c>
      <c r="L36" s="36">
        <f>'Ввод данных'!E27*(1+'Параметры'!C16)^(L$4-1)</f>
        <v/>
      </c>
      <c r="M36" s="36">
        <f>'Ввод данных'!E27*(1+'Параметры'!C16)^(M$4-1)</f>
        <v/>
      </c>
      <c r="N36" s="36">
        <f>'Ввод данных'!E27*(1+'Параметры'!C16)^(N$4-1)</f>
        <v/>
      </c>
    </row>
    <row r="37">
      <c r="B37" s="22" t="inlineStr">
        <is>
          <t>Итого денежные затраты</t>
        </is>
      </c>
      <c r="C37" s="24" t="inlineStr">
        <is>
          <t>тыс.руб</t>
        </is>
      </c>
      <c r="D37" s="36" t="n"/>
      <c r="E37" s="46">
        <f>E32+E33+E34+E35+E36</f>
        <v/>
      </c>
      <c r="F37" s="46">
        <f>F32+F33+F34+F35+F36</f>
        <v/>
      </c>
      <c r="G37" s="46">
        <f>G32+G33+G34+G35+G36</f>
        <v/>
      </c>
      <c r="H37" s="46">
        <f>H32+H33+H34+H35+H36</f>
        <v/>
      </c>
      <c r="I37" s="46">
        <f>I32+I33+I34+I35+I36</f>
        <v/>
      </c>
      <c r="J37" s="46">
        <f>J32+J33+J34+J35+J36</f>
        <v/>
      </c>
      <c r="K37" s="46">
        <f>K32+K33+K34+K35+K36</f>
        <v/>
      </c>
      <c r="L37" s="46">
        <f>L32+L33+L34+L35+L36</f>
        <v/>
      </c>
      <c r="M37" s="46">
        <f>M32+M33+M34+M35+M36</f>
        <v/>
      </c>
      <c r="N37" s="46">
        <f>N32+N33+N34+N35+N36</f>
        <v/>
      </c>
    </row>
    <row r="38">
      <c r="B38" s="22" t="inlineStr">
        <is>
          <t>Амортизация (НУ)</t>
        </is>
      </c>
      <c r="C38" s="24" t="inlineStr">
        <is>
          <t>тыс.руб</t>
        </is>
      </c>
      <c r="D38" s="36" t="n"/>
      <c r="E38" s="36">
        <f>IF(E$4&lt;=INT('Параметры'!C9),'Производительность'!E5/'Параметры'!C9,IF(E$4=INT('Параметры'!C9)+1,'Производительность'!E5*('Параметры'!C9-INT('Параметры'!C9))/'Параметры'!C9,0))</f>
        <v/>
      </c>
      <c r="F38" s="36">
        <f>IF(F$4&lt;=INT('Параметры'!C9),'Производительность'!E5/'Параметры'!C9,IF(F$4=INT('Параметры'!C9)+1,'Производительность'!E5*('Параметры'!C9-INT('Параметры'!C9))/'Параметры'!C9,0))</f>
        <v/>
      </c>
      <c r="G38" s="36">
        <f>IF(G$4&lt;=INT('Параметры'!C9),'Производительность'!E5/'Параметры'!C9,IF(G$4=INT('Параметры'!C9)+1,'Производительность'!E5*('Параметры'!C9-INT('Параметры'!C9))/'Параметры'!C9,0))</f>
        <v/>
      </c>
      <c r="H38" s="36">
        <f>IF(H$4&lt;=INT('Параметры'!C9),'Производительность'!E5/'Параметры'!C9,IF(H$4=INT('Параметры'!C9)+1,'Производительность'!E5*('Параметры'!C9-INT('Параметры'!C9))/'Параметры'!C9,0))</f>
        <v/>
      </c>
      <c r="I38" s="36">
        <f>IF(I$4&lt;=INT('Параметры'!C9),'Производительность'!E5/'Параметры'!C9,IF(I$4=INT('Параметры'!C9)+1,'Производительность'!E5*('Параметры'!C9-INT('Параметры'!C9))/'Параметры'!C9,0))</f>
        <v/>
      </c>
      <c r="J38" s="36">
        <f>IF(J$4&lt;=INT('Параметры'!C9),'Производительность'!E5/'Параметры'!C9,IF(J$4=INT('Параметры'!C9)+1,'Производительность'!E5*('Параметры'!C9-INT('Параметры'!C9))/'Параметры'!C9,0))</f>
        <v/>
      </c>
      <c r="K38" s="36">
        <f>IF(K$4&lt;=INT('Параметры'!C9),'Производительность'!E5/'Параметры'!C9,IF(K$4=INT('Параметры'!C9)+1,'Производительность'!E5*('Параметры'!C9-INT('Параметры'!C9))/'Параметры'!C9,0))</f>
        <v/>
      </c>
      <c r="L38" s="36">
        <f>IF(L$4&lt;=INT('Параметры'!C9),'Производительность'!E5/'Параметры'!C9,IF(L$4=INT('Параметры'!C9)+1,'Производительность'!E5*('Параметры'!C9-INT('Параметры'!C9))/'Параметры'!C9,0))</f>
        <v/>
      </c>
      <c r="M38" s="36">
        <f>IF(M$4&lt;=INT('Параметры'!C9),'Производительность'!E5/'Параметры'!C9,IF(M$4=INT('Параметры'!C9)+1,'Производительность'!E5*('Параметры'!C9-INT('Параметры'!C9))/'Параметры'!C9,0))</f>
        <v/>
      </c>
      <c r="N38" s="36">
        <f>IF(N$4&lt;=INT('Параметры'!C9),'Производительность'!E5/'Параметры'!C9,IF(N$4=INT('Параметры'!C9)+1,'Производительность'!E5*('Параметры'!C9-INT('Параметры'!C9))/'Параметры'!C9,0))</f>
        <v/>
      </c>
    </row>
    <row r="39">
      <c r="B39" s="22" t="inlineStr">
        <is>
          <t>Налогооблагаемая база</t>
        </is>
      </c>
      <c r="C39" s="24" t="inlineStr">
        <is>
          <t>тыс.руб</t>
        </is>
      </c>
      <c r="D39" s="36" t="n"/>
      <c r="E39" s="36">
        <f>E37+E38</f>
        <v/>
      </c>
      <c r="F39" s="36">
        <f>F37+F38</f>
        <v/>
      </c>
      <c r="G39" s="36">
        <f>G37+G38</f>
        <v/>
      </c>
      <c r="H39" s="36">
        <f>H37+H38</f>
        <v/>
      </c>
      <c r="I39" s="36">
        <f>I37+I38</f>
        <v/>
      </c>
      <c r="J39" s="36">
        <f>J37+J38</f>
        <v/>
      </c>
      <c r="K39" s="36">
        <f>K37+K38</f>
        <v/>
      </c>
      <c r="L39" s="36">
        <f>L37+L38</f>
        <v/>
      </c>
      <c r="M39" s="36">
        <f>M37+M38</f>
        <v/>
      </c>
      <c r="N39" s="36">
        <f>N37+N38</f>
        <v/>
      </c>
    </row>
    <row r="40">
      <c r="B40" s="22" t="inlineStr">
        <is>
          <t>Налог на прибыль (щит)</t>
        </is>
      </c>
      <c r="C40" s="24" t="inlineStr">
        <is>
          <t>тыс.руб</t>
        </is>
      </c>
      <c r="D40" s="36" t="n"/>
      <c r="E40" s="36">
        <f>-E39*'Параметры'!C7</f>
        <v/>
      </c>
      <c r="F40" s="36">
        <f>-F39*'Параметры'!C7</f>
        <v/>
      </c>
      <c r="G40" s="36">
        <f>-G39*'Параметры'!C7</f>
        <v/>
      </c>
      <c r="H40" s="36">
        <f>-H39*'Параметры'!C7</f>
        <v/>
      </c>
      <c r="I40" s="36">
        <f>-I39*'Параметры'!C7</f>
        <v/>
      </c>
      <c r="J40" s="36">
        <f>-J39*'Параметры'!C7</f>
        <v/>
      </c>
      <c r="K40" s="36">
        <f>-K39*'Параметры'!C7</f>
        <v/>
      </c>
      <c r="L40" s="36">
        <f>-L39*'Параметры'!C7</f>
        <v/>
      </c>
      <c r="M40" s="36">
        <f>-M39*'Параметры'!C7</f>
        <v/>
      </c>
      <c r="N40" s="36">
        <f>-N39*'Параметры'!C7</f>
        <v/>
      </c>
    </row>
    <row r="41">
      <c r="B41" s="22" t="inlineStr">
        <is>
          <t>Операц. денежный поток</t>
        </is>
      </c>
      <c r="C41" s="24" t="inlineStr">
        <is>
          <t>тыс.руб</t>
        </is>
      </c>
      <c r="D41" s="36" t="n"/>
      <c r="E41" s="46">
        <f>E39+E40-E38</f>
        <v/>
      </c>
      <c r="F41" s="46">
        <f>F39+F40-F38</f>
        <v/>
      </c>
      <c r="G41" s="46">
        <f>G39+G40-G38</f>
        <v/>
      </c>
      <c r="H41" s="46">
        <f>H39+H40-H38</f>
        <v/>
      </c>
      <c r="I41" s="46">
        <f>I39+I40-I38</f>
        <v/>
      </c>
      <c r="J41" s="46">
        <f>J39+J40-J38</f>
        <v/>
      </c>
      <c r="K41" s="46">
        <f>K39+K40-K38</f>
        <v/>
      </c>
      <c r="L41" s="46">
        <f>L39+L40-L38</f>
        <v/>
      </c>
      <c r="M41" s="46">
        <f>M39+M40-M38</f>
        <v/>
      </c>
      <c r="N41" s="46">
        <f>N39+N40-N38</f>
        <v/>
      </c>
    </row>
    <row r="42">
      <c r="B42" s="22" t="inlineStr">
        <is>
          <t>Инвестиции / остаточная ст-ть</t>
        </is>
      </c>
      <c r="C42" s="24" t="inlineStr">
        <is>
          <t>тыс.руб</t>
        </is>
      </c>
      <c r="D42" s="36">
        <f>IF(D$4=0,'Производительность'!E5,IF(D$4='Параметры'!C8,-'Ввод данных'!E14*'Производительность'!E5,0))</f>
        <v/>
      </c>
      <c r="E42" s="36">
        <f>IF(E$4=0,'Производительность'!E5,IF(E$4='Параметры'!C8,-'Ввод данных'!E14*'Производительность'!E5,0))</f>
        <v/>
      </c>
      <c r="F42" s="36">
        <f>IF(F$4=0,'Производительность'!E5,IF(F$4='Параметры'!C8,-'Ввод данных'!E14*'Производительность'!E5,0))</f>
        <v/>
      </c>
      <c r="G42" s="36">
        <f>IF(G$4=0,'Производительность'!E5,IF(G$4='Параметры'!C8,-'Ввод данных'!E14*'Производительность'!E5,0))</f>
        <v/>
      </c>
      <c r="H42" s="36">
        <f>IF(H$4=0,'Производительность'!E5,IF(H$4='Параметры'!C8,-'Ввод данных'!E14*'Производительность'!E5,0))</f>
        <v/>
      </c>
      <c r="I42" s="36">
        <f>IF(I$4=0,'Производительность'!E5,IF(I$4='Параметры'!C8,-'Ввод данных'!E14*'Производительность'!E5,0))</f>
        <v/>
      </c>
      <c r="J42" s="36">
        <f>IF(J$4=0,'Производительность'!E5,IF(J$4='Параметры'!C8,-'Ввод данных'!E14*'Производительность'!E5,0))</f>
        <v/>
      </c>
      <c r="K42" s="36">
        <f>IF(K$4=0,'Производительность'!E5,IF(K$4='Параметры'!C8,-'Ввод данных'!E14*'Производительность'!E5,0))</f>
        <v/>
      </c>
      <c r="L42" s="36">
        <f>IF(L$4=0,'Производительность'!E5,IF(L$4='Параметры'!C8,-'Ввод данных'!E14*'Производительность'!E5,0))</f>
        <v/>
      </c>
      <c r="M42" s="36">
        <f>IF(M$4=0,'Производительность'!E5,IF(M$4='Параметры'!C8,-'Ввод данных'!E14*'Производительность'!E5,0))</f>
        <v/>
      </c>
      <c r="N42" s="36">
        <f>IF(N$4=0,'Производительность'!E5,IF(N$4='Параметры'!C8,-'Ввод данных'!E14*'Производительность'!E5,0))</f>
        <v/>
      </c>
    </row>
    <row r="43">
      <c r="B43" s="22" t="inlineStr">
        <is>
          <t>Чистый денежный поток</t>
        </is>
      </c>
      <c r="C43" s="24" t="inlineStr">
        <is>
          <t>тыс.руб</t>
        </is>
      </c>
      <c r="D43" s="46">
        <f>0+D42</f>
        <v/>
      </c>
      <c r="E43" s="46">
        <f>E41+E42</f>
        <v/>
      </c>
      <c r="F43" s="46">
        <f>F41+F42</f>
        <v/>
      </c>
      <c r="G43" s="46">
        <f>G41+G42</f>
        <v/>
      </c>
      <c r="H43" s="46">
        <f>H41+H42</f>
        <v/>
      </c>
      <c r="I43" s="46">
        <f>I41+I42</f>
        <v/>
      </c>
      <c r="J43" s="46">
        <f>J41+J42</f>
        <v/>
      </c>
      <c r="K43" s="46">
        <f>K41+K42</f>
        <v/>
      </c>
      <c r="L43" s="46">
        <f>L41+L42</f>
        <v/>
      </c>
      <c r="M43" s="46">
        <f>M41+M42</f>
        <v/>
      </c>
      <c r="N43" s="46">
        <f>N41+N42</f>
        <v/>
      </c>
    </row>
    <row r="44">
      <c r="B44" s="22" t="inlineStr">
        <is>
          <t>Дисконтированный поток</t>
        </is>
      </c>
      <c r="C44" s="24" t="inlineStr">
        <is>
          <t>тыс.руб</t>
        </is>
      </c>
      <c r="D44" s="36">
        <f>D43*D$6</f>
        <v/>
      </c>
      <c r="E44" s="36">
        <f>E43*E$6</f>
        <v/>
      </c>
      <c r="F44" s="36">
        <f>F43*F$6</f>
        <v/>
      </c>
      <c r="G44" s="36">
        <f>G43*G$6</f>
        <v/>
      </c>
      <c r="H44" s="36">
        <f>H43*H$6</f>
        <v/>
      </c>
      <c r="I44" s="36">
        <f>I43*I$6</f>
        <v/>
      </c>
      <c r="J44" s="36">
        <f>J43*J$6</f>
        <v/>
      </c>
      <c r="K44" s="36">
        <f>K43*K$6</f>
        <v/>
      </c>
      <c r="L44" s="36">
        <f>L43*L$6</f>
        <v/>
      </c>
      <c r="M44" s="36">
        <f>M43*M$6</f>
        <v/>
      </c>
      <c r="N44" s="36">
        <f>N43*N$6</f>
        <v/>
      </c>
    </row>
    <row r="45">
      <c r="B45" s="22" t="inlineStr">
        <is>
          <t>Кумул. дисконт. поток</t>
        </is>
      </c>
      <c r="C45" s="24" t="inlineStr">
        <is>
          <t>тыс.руб</t>
        </is>
      </c>
      <c r="D45" s="36">
        <f>SUM($D44:D44)</f>
        <v/>
      </c>
      <c r="E45" s="36">
        <f>SUM($D44:E44)</f>
        <v/>
      </c>
      <c r="F45" s="36">
        <f>SUM($D44:F44)</f>
        <v/>
      </c>
      <c r="G45" s="36">
        <f>SUM($D44:G44)</f>
        <v/>
      </c>
      <c r="H45" s="36">
        <f>SUM($D44:H44)</f>
        <v/>
      </c>
      <c r="I45" s="36">
        <f>SUM($D44:I44)</f>
        <v/>
      </c>
      <c r="J45" s="36">
        <f>SUM($D44:J44)</f>
        <v/>
      </c>
      <c r="K45" s="36">
        <f>SUM($D44:K44)</f>
        <v/>
      </c>
      <c r="L45" s="36">
        <f>SUM($D44:L44)</f>
        <v/>
      </c>
      <c r="M45" s="36">
        <f>SUM($D44:M44)</f>
        <v/>
      </c>
      <c r="N45" s="36">
        <f>SUM($D44:N44)</f>
        <v/>
      </c>
    </row>
    <row r="46">
      <c r="B46" s="40" t="inlineStr">
        <is>
          <t>Аннуитет по году</t>
        </is>
      </c>
      <c r="C46" s="24" t="inlineStr">
        <is>
          <t>руб/м³</t>
        </is>
      </c>
      <c r="D46" s="47" t="n"/>
      <c r="E46" s="47">
        <f>SUM($D44:E44)/SUM($E$6:E$6)/(SUM($E31:E31)/E$4)</f>
        <v/>
      </c>
      <c r="F46" s="47">
        <f>SUM($D44:F44)/SUM($E$6:F$6)/(SUM($E31:F31)/F$4)</f>
        <v/>
      </c>
      <c r="G46" s="47">
        <f>SUM($D44:G44)/SUM($E$6:G$6)/(SUM($E31:G31)/G$4)</f>
        <v/>
      </c>
      <c r="H46" s="47">
        <f>SUM($D44:H44)/SUM($E$6:H$6)/(SUM($E31:H31)/H$4)</f>
        <v/>
      </c>
      <c r="I46" s="47">
        <f>SUM($D44:I44)/SUM($E$6:I$6)/(SUM($E31:I31)/I$4)</f>
        <v/>
      </c>
      <c r="J46" s="47">
        <f>SUM($D44:J44)/SUM($E$6:J$6)/(SUM($E31:J31)/J$4)</f>
        <v/>
      </c>
      <c r="K46" s="47">
        <f>SUM($D44:K44)/SUM($E$6:K$6)/(SUM($E31:K31)/K$4)</f>
        <v/>
      </c>
      <c r="L46" s="47">
        <f>SUM($D44:L44)/SUM($E$6:L$6)/(SUM($E31:L31)/L$4)</f>
        <v/>
      </c>
      <c r="M46" s="47">
        <f>SUM($D44:M44)/SUM($E$6:M$6)/(SUM($E31:M31)/M$4)</f>
        <v/>
      </c>
      <c r="N46" s="47">
        <f>SUM($D44:N44)/SUM($E$6:N$6)/(SUM($E31:N31)/N$4)</f>
        <v/>
      </c>
    </row>
    <row r="48">
      <c r="B48" s="5">
        <f>"Вариант 3:  "&amp;'Ввод данных'!F7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</row>
    <row r="49">
      <c r="B49" s="22" t="inlineStr">
        <is>
          <t>КТГ</t>
        </is>
      </c>
      <c r="C49" s="24" t="inlineStr">
        <is>
          <t>коэф.</t>
        </is>
      </c>
      <c r="D49" s="39" t="n"/>
      <c r="E49" s="39">
        <f>'Ввод данных'!F19*(1-'Ввод данных'!F20)^(E$4-1)</f>
        <v/>
      </c>
      <c r="F49" s="39">
        <f>'Ввод данных'!F19*(1-'Ввод данных'!F20)^(F$4-1)</f>
        <v/>
      </c>
      <c r="G49" s="39">
        <f>'Ввод данных'!F19*(1-'Ввод данных'!F20)^(G$4-1)</f>
        <v/>
      </c>
      <c r="H49" s="39">
        <f>'Ввод данных'!F19*(1-'Ввод данных'!F20)^(H$4-1)</f>
        <v/>
      </c>
      <c r="I49" s="39">
        <f>'Ввод данных'!F19*(1-'Ввод данных'!F20)^(I$4-1)</f>
        <v/>
      </c>
      <c r="J49" s="39">
        <f>'Ввод данных'!F19*(1-'Ввод данных'!F20)^(J$4-1)</f>
        <v/>
      </c>
      <c r="K49" s="39">
        <f>'Ввод данных'!F19*(1-'Ввод данных'!F20)^(K$4-1)</f>
        <v/>
      </c>
      <c r="L49" s="39">
        <f>'Ввод данных'!F19*(1-'Ввод данных'!F20)^(L$4-1)</f>
        <v/>
      </c>
      <c r="M49" s="39">
        <f>'Ввод данных'!F19*(1-'Ввод данных'!F20)^(M$4-1)</f>
        <v/>
      </c>
      <c r="N49" s="39">
        <f>'Ввод данных'!F19*(1-'Ввод данных'!F20)^(N$4-1)</f>
        <v/>
      </c>
    </row>
    <row r="50">
      <c r="B50" s="22" t="inlineStr">
        <is>
          <t>Эффективное время</t>
        </is>
      </c>
      <c r="C50" s="24" t="inlineStr">
        <is>
          <t>час/год</t>
        </is>
      </c>
      <c r="D50" s="36" t="n"/>
      <c r="E50" s="36">
        <f>'Параметры'!C26*E49*(1-'Ввод данных'!F21/(60*'Параметры'!C33))</f>
        <v/>
      </c>
      <c r="F50" s="36">
        <f>'Параметры'!C26*F49*(1-'Ввод данных'!F21/(60*'Параметры'!C33))</f>
        <v/>
      </c>
      <c r="G50" s="36">
        <f>'Параметры'!C26*G49*(1-'Ввод данных'!F21/(60*'Параметры'!C33))</f>
        <v/>
      </c>
      <c r="H50" s="36">
        <f>'Параметры'!C26*H49*(1-'Ввод данных'!F21/(60*'Параметры'!C33))</f>
        <v/>
      </c>
      <c r="I50" s="36">
        <f>'Параметры'!C26*I49*(1-'Ввод данных'!F21/(60*'Параметры'!C33))</f>
        <v/>
      </c>
      <c r="J50" s="36">
        <f>'Параметры'!C26*J49*(1-'Ввод данных'!F21/(60*'Параметры'!C33))</f>
        <v/>
      </c>
      <c r="K50" s="36">
        <f>'Параметры'!C26*K49*(1-'Ввод данных'!F21/(60*'Параметры'!C33))</f>
        <v/>
      </c>
      <c r="L50" s="36">
        <f>'Параметры'!C26*L49*(1-'Ввод данных'!F21/(60*'Параметры'!C33))</f>
        <v/>
      </c>
      <c r="M50" s="36">
        <f>'Параметры'!C26*M49*(1-'Ввод данных'!F21/(60*'Параметры'!C33))</f>
        <v/>
      </c>
      <c r="N50" s="36">
        <f>'Параметры'!C26*N49*(1-'Ввод данных'!F21/(60*'Параметры'!C33))</f>
        <v/>
      </c>
    </row>
    <row r="51">
      <c r="B51" s="22" t="inlineStr">
        <is>
          <t>Производительность</t>
        </is>
      </c>
      <c r="C51" s="24" t="inlineStr">
        <is>
          <t>тыс.м³</t>
        </is>
      </c>
      <c r="D51" s="36" t="n"/>
      <c r="E51" s="36">
        <f>'Производительность'!F10*E50/1000</f>
        <v/>
      </c>
      <c r="F51" s="36">
        <f>'Производительность'!F10*F50/1000</f>
        <v/>
      </c>
      <c r="G51" s="36">
        <f>'Производительность'!F10*G50/1000</f>
        <v/>
      </c>
      <c r="H51" s="36">
        <f>'Производительность'!F10*H50/1000</f>
        <v/>
      </c>
      <c r="I51" s="36">
        <f>'Производительность'!F10*I50/1000</f>
        <v/>
      </c>
      <c r="J51" s="36">
        <f>'Производительность'!F10*J50/1000</f>
        <v/>
      </c>
      <c r="K51" s="36">
        <f>'Производительность'!F10*K50/1000</f>
        <v/>
      </c>
      <c r="L51" s="36">
        <f>'Производительность'!F10*L50/1000</f>
        <v/>
      </c>
      <c r="M51" s="36">
        <f>'Производительность'!F10*M50/1000</f>
        <v/>
      </c>
      <c r="N51" s="36">
        <f>'Производительность'!F10*N50/1000</f>
        <v/>
      </c>
    </row>
    <row r="52">
      <c r="B52" s="22" t="inlineStr">
        <is>
          <t>Дизтопливо</t>
        </is>
      </c>
      <c r="C52" s="24" t="inlineStr">
        <is>
          <t>тыс.руб</t>
        </is>
      </c>
      <c r="D52" s="36" t="n"/>
      <c r="E52" s="36">
        <f>E50*'Ввод данных'!F23*'Параметры'!C10*(1+'Параметры'!C14)^(E$4-1)/1000</f>
        <v/>
      </c>
      <c r="F52" s="36">
        <f>F50*'Ввод данных'!F23*'Параметры'!C10*(1+'Параметры'!C14)^(F$4-1)/1000</f>
        <v/>
      </c>
      <c r="G52" s="36">
        <f>G50*'Ввод данных'!F23*'Параметры'!C10*(1+'Параметры'!C14)^(G$4-1)/1000</f>
        <v/>
      </c>
      <c r="H52" s="36">
        <f>H50*'Ввод данных'!F23*'Параметры'!C10*(1+'Параметры'!C14)^(H$4-1)/1000</f>
        <v/>
      </c>
      <c r="I52" s="36">
        <f>I50*'Ввод данных'!F23*'Параметры'!C10*(1+'Параметры'!C14)^(I$4-1)/1000</f>
        <v/>
      </c>
      <c r="J52" s="36">
        <f>J50*'Ввод данных'!F23*'Параметры'!C10*(1+'Параметры'!C14)^(J$4-1)/1000</f>
        <v/>
      </c>
      <c r="K52" s="36">
        <f>K50*'Ввод данных'!F23*'Параметры'!C10*(1+'Параметры'!C14)^(K$4-1)/1000</f>
        <v/>
      </c>
      <c r="L52" s="36">
        <f>L50*'Ввод данных'!F23*'Параметры'!C10*(1+'Параметры'!C14)^(L$4-1)/1000</f>
        <v/>
      </c>
      <c r="M52" s="36">
        <f>M50*'Ввод данных'!F23*'Параметры'!C10*(1+'Параметры'!C14)^(M$4-1)/1000</f>
        <v/>
      </c>
      <c r="N52" s="36">
        <f>N50*'Ввод данных'!F23*'Параметры'!C10*(1+'Параметры'!C14)^(N$4-1)/1000</f>
        <v/>
      </c>
    </row>
    <row r="53">
      <c r="B53" s="22" t="inlineStr">
        <is>
          <t>ТОиР и сервис (плановое)</t>
        </is>
      </c>
      <c r="C53" s="24" t="inlineStr">
        <is>
          <t>тыс.руб</t>
        </is>
      </c>
      <c r="D53" s="36" t="n"/>
      <c r="E53" s="36">
        <f>'Ввод данных'!F25*(1+'Параметры'!C15)^(E$4-1)</f>
        <v/>
      </c>
      <c r="F53" s="36">
        <f>'Ввод данных'!F25*(1+'Параметры'!C15)^(F$4-1)</f>
        <v/>
      </c>
      <c r="G53" s="36">
        <f>'Ввод данных'!F25*(1+'Параметры'!C15)^(G$4-1)</f>
        <v/>
      </c>
      <c r="H53" s="36">
        <f>'Ввод данных'!F25*(1+'Параметры'!C15)^(H$4-1)</f>
        <v/>
      </c>
      <c r="I53" s="36">
        <f>'Ввод данных'!F25*(1+'Параметры'!C15)^(I$4-1)</f>
        <v/>
      </c>
      <c r="J53" s="36">
        <f>'Ввод данных'!F25*(1+'Параметры'!C15)^(J$4-1)</f>
        <v/>
      </c>
      <c r="K53" s="36">
        <f>'Ввод данных'!F25*(1+'Параметры'!C15)^(K$4-1)</f>
        <v/>
      </c>
      <c r="L53" s="36">
        <f>'Ввод данных'!F25*(1+'Параметры'!C15)^(L$4-1)</f>
        <v/>
      </c>
      <c r="M53" s="36">
        <f>'Ввод данных'!F25*(1+'Параметры'!C15)^(M$4-1)</f>
        <v/>
      </c>
      <c r="N53" s="36">
        <f>'Ввод данных'!F25*(1+'Параметры'!C15)^(N$4-1)</f>
        <v/>
      </c>
    </row>
    <row r="54">
      <c r="B54" s="22" t="inlineStr">
        <is>
          <t>Капитальные ремонты</t>
        </is>
      </c>
      <c r="C54" s="24" t="inlineStr">
        <is>
          <t>тыс.руб</t>
        </is>
      </c>
      <c r="D54" s="36" t="n"/>
      <c r="E54" s="36">
        <f>IF('Ввод данных'!F30&gt;0,IF(AND('Ввод данных'!F29&gt;0,E$4&gt;='Ввод данных'!F31,MOD(E$4-'Ввод данных'!F31,'Ввод данных'!F30)=0),'Ввод данных'!F29*(1+'Параметры'!C15)^(E$4-1),0),0)</f>
        <v/>
      </c>
      <c r="F54" s="36">
        <f>IF('Ввод данных'!F30&gt;0,IF(AND('Ввод данных'!F29&gt;0,F$4&gt;='Ввод данных'!F31,MOD(F$4-'Ввод данных'!F31,'Ввод данных'!F30)=0),'Ввод данных'!F29*(1+'Параметры'!C15)^(F$4-1),0),0)</f>
        <v/>
      </c>
      <c r="G54" s="36">
        <f>IF('Ввод данных'!F30&gt;0,IF(AND('Ввод данных'!F29&gt;0,G$4&gt;='Ввод данных'!F31,MOD(G$4-'Ввод данных'!F31,'Ввод данных'!F30)=0),'Ввод данных'!F29*(1+'Параметры'!C15)^(G$4-1),0),0)</f>
        <v/>
      </c>
      <c r="H54" s="36">
        <f>IF('Ввод данных'!F30&gt;0,IF(AND('Ввод данных'!F29&gt;0,H$4&gt;='Ввод данных'!F31,MOD(H$4-'Ввод данных'!F31,'Ввод данных'!F30)=0),'Ввод данных'!F29*(1+'Параметры'!C15)^(H$4-1),0),0)</f>
        <v/>
      </c>
      <c r="I54" s="36">
        <f>IF('Ввод данных'!F30&gt;0,IF(AND('Ввод данных'!F29&gt;0,I$4&gt;='Ввод данных'!F31,MOD(I$4-'Ввод данных'!F31,'Ввод данных'!F30)=0),'Ввод данных'!F29*(1+'Параметры'!C15)^(I$4-1),0),0)</f>
        <v/>
      </c>
      <c r="J54" s="36">
        <f>IF('Ввод данных'!F30&gt;0,IF(AND('Ввод данных'!F29&gt;0,J$4&gt;='Ввод данных'!F31,MOD(J$4-'Ввод данных'!F31,'Ввод данных'!F30)=0),'Ввод данных'!F29*(1+'Параметры'!C15)^(J$4-1),0),0)</f>
        <v/>
      </c>
      <c r="K54" s="36">
        <f>IF('Ввод данных'!F30&gt;0,IF(AND('Ввод данных'!F29&gt;0,K$4&gt;='Ввод данных'!F31,MOD(K$4-'Ввод данных'!F31,'Ввод данных'!F30)=0),'Ввод данных'!F29*(1+'Параметры'!C15)^(K$4-1),0),0)</f>
        <v/>
      </c>
      <c r="L54" s="36">
        <f>IF('Ввод данных'!F30&gt;0,IF(AND('Ввод данных'!F29&gt;0,L$4&gt;='Ввод данных'!F31,MOD(L$4-'Ввод данных'!F31,'Ввод данных'!F30)=0),'Ввод данных'!F29*(1+'Параметры'!C15)^(L$4-1),0),0)</f>
        <v/>
      </c>
      <c r="M54" s="36">
        <f>IF('Ввод данных'!F30&gt;0,IF(AND('Ввод данных'!F29&gt;0,M$4&gt;='Ввод данных'!F31,MOD(M$4-'Ввод данных'!F31,'Ввод данных'!F30)=0),'Ввод данных'!F29*(1+'Параметры'!C15)^(M$4-1),0),0)</f>
        <v/>
      </c>
      <c r="N54" s="36">
        <f>IF('Ввод данных'!F30&gt;0,IF(AND('Ввод данных'!F29&gt;0,N$4&gt;='Ввод данных'!F31,MOD(N$4-'Ввод данных'!F31,'Ввод данных'!F30)=0),'Ввод данных'!F29*(1+'Параметры'!C15)^(N$4-1),0),0)</f>
        <v/>
      </c>
    </row>
    <row r="55">
      <c r="B55" s="22" t="inlineStr">
        <is>
          <t>Расходники на ковш</t>
        </is>
      </c>
      <c r="C55" s="24" t="inlineStr">
        <is>
          <t>тыс.руб</t>
        </is>
      </c>
      <c r="D55" s="36" t="n"/>
      <c r="E55" s="36">
        <f>'Ввод данных'!F26*E51*(1+'Параметры'!C15)^(E$4-1)</f>
        <v/>
      </c>
      <c r="F55" s="36">
        <f>'Ввод данных'!F26*F51*(1+'Параметры'!C15)^(F$4-1)</f>
        <v/>
      </c>
      <c r="G55" s="36">
        <f>'Ввод данных'!F26*G51*(1+'Параметры'!C15)^(G$4-1)</f>
        <v/>
      </c>
      <c r="H55" s="36">
        <f>'Ввод данных'!F26*H51*(1+'Параметры'!C15)^(H$4-1)</f>
        <v/>
      </c>
      <c r="I55" s="36">
        <f>'Ввод данных'!F26*I51*(1+'Параметры'!C15)^(I$4-1)</f>
        <v/>
      </c>
      <c r="J55" s="36">
        <f>'Ввод данных'!F26*J51*(1+'Параметры'!C15)^(J$4-1)</f>
        <v/>
      </c>
      <c r="K55" s="36">
        <f>'Ввод данных'!F26*K51*(1+'Параметры'!C15)^(K$4-1)</f>
        <v/>
      </c>
      <c r="L55" s="36">
        <f>'Ввод данных'!F26*L51*(1+'Параметры'!C15)^(L$4-1)</f>
        <v/>
      </c>
      <c r="M55" s="36">
        <f>'Ввод данных'!F26*M51*(1+'Параметры'!C15)^(M$4-1)</f>
        <v/>
      </c>
      <c r="N55" s="36">
        <f>'Ввод данных'!F26*N51*(1+'Параметры'!C15)^(N$4-1)</f>
        <v/>
      </c>
    </row>
    <row r="56">
      <c r="B56" s="22" t="inlineStr">
        <is>
          <t>Персонал</t>
        </is>
      </c>
      <c r="C56" s="24" t="inlineStr">
        <is>
          <t>тыс.руб</t>
        </is>
      </c>
      <c r="D56" s="36" t="n"/>
      <c r="E56" s="36">
        <f>'Ввод данных'!F27*(1+'Параметры'!C16)^(E$4-1)</f>
        <v/>
      </c>
      <c r="F56" s="36">
        <f>'Ввод данных'!F27*(1+'Параметры'!C16)^(F$4-1)</f>
        <v/>
      </c>
      <c r="G56" s="36">
        <f>'Ввод данных'!F27*(1+'Параметры'!C16)^(G$4-1)</f>
        <v/>
      </c>
      <c r="H56" s="36">
        <f>'Ввод данных'!F27*(1+'Параметры'!C16)^(H$4-1)</f>
        <v/>
      </c>
      <c r="I56" s="36">
        <f>'Ввод данных'!F27*(1+'Параметры'!C16)^(I$4-1)</f>
        <v/>
      </c>
      <c r="J56" s="36">
        <f>'Ввод данных'!F27*(1+'Параметры'!C16)^(J$4-1)</f>
        <v/>
      </c>
      <c r="K56" s="36">
        <f>'Ввод данных'!F27*(1+'Параметры'!C16)^(K$4-1)</f>
        <v/>
      </c>
      <c r="L56" s="36">
        <f>'Ввод данных'!F27*(1+'Параметры'!C16)^(L$4-1)</f>
        <v/>
      </c>
      <c r="M56" s="36">
        <f>'Ввод данных'!F27*(1+'Параметры'!C16)^(M$4-1)</f>
        <v/>
      </c>
      <c r="N56" s="36">
        <f>'Ввод данных'!F27*(1+'Параметры'!C16)^(N$4-1)</f>
        <v/>
      </c>
    </row>
    <row r="57">
      <c r="B57" s="22" t="inlineStr">
        <is>
          <t>Итого денежные затраты</t>
        </is>
      </c>
      <c r="C57" s="24" t="inlineStr">
        <is>
          <t>тыс.руб</t>
        </is>
      </c>
      <c r="D57" s="36" t="n"/>
      <c r="E57" s="46">
        <f>E52+E53+E54+E55+E56</f>
        <v/>
      </c>
      <c r="F57" s="46">
        <f>F52+F53+F54+F55+F56</f>
        <v/>
      </c>
      <c r="G57" s="46">
        <f>G52+G53+G54+G55+G56</f>
        <v/>
      </c>
      <c r="H57" s="46">
        <f>H52+H53+H54+H55+H56</f>
        <v/>
      </c>
      <c r="I57" s="46">
        <f>I52+I53+I54+I55+I56</f>
        <v/>
      </c>
      <c r="J57" s="46">
        <f>J52+J53+J54+J55+J56</f>
        <v/>
      </c>
      <c r="K57" s="46">
        <f>K52+K53+K54+K55+K56</f>
        <v/>
      </c>
      <c r="L57" s="46">
        <f>L52+L53+L54+L55+L56</f>
        <v/>
      </c>
      <c r="M57" s="46">
        <f>M52+M53+M54+M55+M56</f>
        <v/>
      </c>
      <c r="N57" s="46">
        <f>N52+N53+N54+N55+N56</f>
        <v/>
      </c>
    </row>
    <row r="58">
      <c r="B58" s="22" t="inlineStr">
        <is>
          <t>Амортизация (НУ)</t>
        </is>
      </c>
      <c r="C58" s="24" t="inlineStr">
        <is>
          <t>тыс.руб</t>
        </is>
      </c>
      <c r="D58" s="36" t="n"/>
      <c r="E58" s="36">
        <f>IF(E$4&lt;=INT('Параметры'!C9),'Производительность'!F5/'Параметры'!C9,IF(E$4=INT('Параметры'!C9)+1,'Производительность'!F5*('Параметры'!C9-INT('Параметры'!C9))/'Параметры'!C9,0))</f>
        <v/>
      </c>
      <c r="F58" s="36">
        <f>IF(F$4&lt;=INT('Параметры'!C9),'Производительность'!F5/'Параметры'!C9,IF(F$4=INT('Параметры'!C9)+1,'Производительность'!F5*('Параметры'!C9-INT('Параметры'!C9))/'Параметры'!C9,0))</f>
        <v/>
      </c>
      <c r="G58" s="36">
        <f>IF(G$4&lt;=INT('Параметры'!C9),'Производительность'!F5/'Параметры'!C9,IF(G$4=INT('Параметры'!C9)+1,'Производительность'!F5*('Параметры'!C9-INT('Параметры'!C9))/'Параметры'!C9,0))</f>
        <v/>
      </c>
      <c r="H58" s="36">
        <f>IF(H$4&lt;=INT('Параметры'!C9),'Производительность'!F5/'Параметры'!C9,IF(H$4=INT('Параметры'!C9)+1,'Производительность'!F5*('Параметры'!C9-INT('Параметры'!C9))/'Параметры'!C9,0))</f>
        <v/>
      </c>
      <c r="I58" s="36">
        <f>IF(I$4&lt;=INT('Параметры'!C9),'Производительность'!F5/'Параметры'!C9,IF(I$4=INT('Параметры'!C9)+1,'Производительность'!F5*('Параметры'!C9-INT('Параметры'!C9))/'Параметры'!C9,0))</f>
        <v/>
      </c>
      <c r="J58" s="36">
        <f>IF(J$4&lt;=INT('Параметры'!C9),'Производительность'!F5/'Параметры'!C9,IF(J$4=INT('Параметры'!C9)+1,'Производительность'!F5*('Параметры'!C9-INT('Параметры'!C9))/'Параметры'!C9,0))</f>
        <v/>
      </c>
      <c r="K58" s="36">
        <f>IF(K$4&lt;=INT('Параметры'!C9),'Производительность'!F5/'Параметры'!C9,IF(K$4=INT('Параметры'!C9)+1,'Производительность'!F5*('Параметры'!C9-INT('Параметры'!C9))/'Параметры'!C9,0))</f>
        <v/>
      </c>
      <c r="L58" s="36">
        <f>IF(L$4&lt;=INT('Параметры'!C9),'Производительность'!F5/'Параметры'!C9,IF(L$4=INT('Параметры'!C9)+1,'Производительность'!F5*('Параметры'!C9-INT('Параметры'!C9))/'Параметры'!C9,0))</f>
        <v/>
      </c>
      <c r="M58" s="36">
        <f>IF(M$4&lt;=INT('Параметры'!C9),'Производительность'!F5/'Параметры'!C9,IF(M$4=INT('Параметры'!C9)+1,'Производительность'!F5*('Параметры'!C9-INT('Параметры'!C9))/'Параметры'!C9,0))</f>
        <v/>
      </c>
      <c r="N58" s="36">
        <f>IF(N$4&lt;=INT('Параметры'!C9),'Производительность'!F5/'Параметры'!C9,IF(N$4=INT('Параметры'!C9)+1,'Производительность'!F5*('Параметры'!C9-INT('Параметры'!C9))/'Параметры'!C9,0))</f>
        <v/>
      </c>
    </row>
    <row r="59">
      <c r="B59" s="22" t="inlineStr">
        <is>
          <t>Налогооблагаемая база</t>
        </is>
      </c>
      <c r="C59" s="24" t="inlineStr">
        <is>
          <t>тыс.руб</t>
        </is>
      </c>
      <c r="D59" s="36" t="n"/>
      <c r="E59" s="36">
        <f>E57+E58</f>
        <v/>
      </c>
      <c r="F59" s="36">
        <f>F57+F58</f>
        <v/>
      </c>
      <c r="G59" s="36">
        <f>G57+G58</f>
        <v/>
      </c>
      <c r="H59" s="36">
        <f>H57+H58</f>
        <v/>
      </c>
      <c r="I59" s="36">
        <f>I57+I58</f>
        <v/>
      </c>
      <c r="J59" s="36">
        <f>J57+J58</f>
        <v/>
      </c>
      <c r="K59" s="36">
        <f>K57+K58</f>
        <v/>
      </c>
      <c r="L59" s="36">
        <f>L57+L58</f>
        <v/>
      </c>
      <c r="M59" s="36">
        <f>M57+M58</f>
        <v/>
      </c>
      <c r="N59" s="36">
        <f>N57+N58</f>
        <v/>
      </c>
    </row>
    <row r="60">
      <c r="B60" s="22" t="inlineStr">
        <is>
          <t>Налог на прибыль (щит)</t>
        </is>
      </c>
      <c r="C60" s="24" t="inlineStr">
        <is>
          <t>тыс.руб</t>
        </is>
      </c>
      <c r="D60" s="36" t="n"/>
      <c r="E60" s="36">
        <f>-E59*'Параметры'!C7</f>
        <v/>
      </c>
      <c r="F60" s="36">
        <f>-F59*'Параметры'!C7</f>
        <v/>
      </c>
      <c r="G60" s="36">
        <f>-G59*'Параметры'!C7</f>
        <v/>
      </c>
      <c r="H60" s="36">
        <f>-H59*'Параметры'!C7</f>
        <v/>
      </c>
      <c r="I60" s="36">
        <f>-I59*'Параметры'!C7</f>
        <v/>
      </c>
      <c r="J60" s="36">
        <f>-J59*'Параметры'!C7</f>
        <v/>
      </c>
      <c r="K60" s="36">
        <f>-K59*'Параметры'!C7</f>
        <v/>
      </c>
      <c r="L60" s="36">
        <f>-L59*'Параметры'!C7</f>
        <v/>
      </c>
      <c r="M60" s="36">
        <f>-M59*'Параметры'!C7</f>
        <v/>
      </c>
      <c r="N60" s="36">
        <f>-N59*'Параметры'!C7</f>
        <v/>
      </c>
    </row>
    <row r="61">
      <c r="B61" s="22" t="inlineStr">
        <is>
          <t>Операц. денежный поток</t>
        </is>
      </c>
      <c r="C61" s="24" t="inlineStr">
        <is>
          <t>тыс.руб</t>
        </is>
      </c>
      <c r="D61" s="36" t="n"/>
      <c r="E61" s="46">
        <f>E59+E60-E58</f>
        <v/>
      </c>
      <c r="F61" s="46">
        <f>F59+F60-F58</f>
        <v/>
      </c>
      <c r="G61" s="46">
        <f>G59+G60-G58</f>
        <v/>
      </c>
      <c r="H61" s="46">
        <f>H59+H60-H58</f>
        <v/>
      </c>
      <c r="I61" s="46">
        <f>I59+I60-I58</f>
        <v/>
      </c>
      <c r="J61" s="46">
        <f>J59+J60-J58</f>
        <v/>
      </c>
      <c r="K61" s="46">
        <f>K59+K60-K58</f>
        <v/>
      </c>
      <c r="L61" s="46">
        <f>L59+L60-L58</f>
        <v/>
      </c>
      <c r="M61" s="46">
        <f>M59+M60-M58</f>
        <v/>
      </c>
      <c r="N61" s="46">
        <f>N59+N60-N58</f>
        <v/>
      </c>
    </row>
    <row r="62">
      <c r="B62" s="22" t="inlineStr">
        <is>
          <t>Инвестиции / остаточная ст-ть</t>
        </is>
      </c>
      <c r="C62" s="24" t="inlineStr">
        <is>
          <t>тыс.руб</t>
        </is>
      </c>
      <c r="D62" s="36">
        <f>IF(D$4=0,'Производительность'!F5,IF(D$4='Параметры'!C8,-'Ввод данных'!F14*'Производительность'!F5,0))</f>
        <v/>
      </c>
      <c r="E62" s="36">
        <f>IF(E$4=0,'Производительность'!F5,IF(E$4='Параметры'!C8,-'Ввод данных'!F14*'Производительность'!F5,0))</f>
        <v/>
      </c>
      <c r="F62" s="36">
        <f>IF(F$4=0,'Производительность'!F5,IF(F$4='Параметры'!C8,-'Ввод данных'!F14*'Производительность'!F5,0))</f>
        <v/>
      </c>
      <c r="G62" s="36">
        <f>IF(G$4=0,'Производительность'!F5,IF(G$4='Параметры'!C8,-'Ввод данных'!F14*'Производительность'!F5,0))</f>
        <v/>
      </c>
      <c r="H62" s="36">
        <f>IF(H$4=0,'Производительность'!F5,IF(H$4='Параметры'!C8,-'Ввод данных'!F14*'Производительность'!F5,0))</f>
        <v/>
      </c>
      <c r="I62" s="36">
        <f>IF(I$4=0,'Производительность'!F5,IF(I$4='Параметры'!C8,-'Ввод данных'!F14*'Производительность'!F5,0))</f>
        <v/>
      </c>
      <c r="J62" s="36">
        <f>IF(J$4=0,'Производительность'!F5,IF(J$4='Параметры'!C8,-'Ввод данных'!F14*'Производительность'!F5,0))</f>
        <v/>
      </c>
      <c r="K62" s="36">
        <f>IF(K$4=0,'Производительность'!F5,IF(K$4='Параметры'!C8,-'Ввод данных'!F14*'Производительность'!F5,0))</f>
        <v/>
      </c>
      <c r="L62" s="36">
        <f>IF(L$4=0,'Производительность'!F5,IF(L$4='Параметры'!C8,-'Ввод данных'!F14*'Производительность'!F5,0))</f>
        <v/>
      </c>
      <c r="M62" s="36">
        <f>IF(M$4=0,'Производительность'!F5,IF(M$4='Параметры'!C8,-'Ввод данных'!F14*'Производительность'!F5,0))</f>
        <v/>
      </c>
      <c r="N62" s="36">
        <f>IF(N$4=0,'Производительность'!F5,IF(N$4='Параметры'!C8,-'Ввод данных'!F14*'Производительность'!F5,0))</f>
        <v/>
      </c>
    </row>
    <row r="63">
      <c r="B63" s="22" t="inlineStr">
        <is>
          <t>Чистый денежный поток</t>
        </is>
      </c>
      <c r="C63" s="24" t="inlineStr">
        <is>
          <t>тыс.руб</t>
        </is>
      </c>
      <c r="D63" s="46">
        <f>0+D62</f>
        <v/>
      </c>
      <c r="E63" s="46">
        <f>E61+E62</f>
        <v/>
      </c>
      <c r="F63" s="46">
        <f>F61+F62</f>
        <v/>
      </c>
      <c r="G63" s="46">
        <f>G61+G62</f>
        <v/>
      </c>
      <c r="H63" s="46">
        <f>H61+H62</f>
        <v/>
      </c>
      <c r="I63" s="46">
        <f>I61+I62</f>
        <v/>
      </c>
      <c r="J63" s="46">
        <f>J61+J62</f>
        <v/>
      </c>
      <c r="K63" s="46">
        <f>K61+K62</f>
        <v/>
      </c>
      <c r="L63" s="46">
        <f>L61+L62</f>
        <v/>
      </c>
      <c r="M63" s="46">
        <f>M61+M62</f>
        <v/>
      </c>
      <c r="N63" s="46">
        <f>N61+N62</f>
        <v/>
      </c>
    </row>
    <row r="64">
      <c r="B64" s="22" t="inlineStr">
        <is>
          <t>Дисконтированный поток</t>
        </is>
      </c>
      <c r="C64" s="24" t="inlineStr">
        <is>
          <t>тыс.руб</t>
        </is>
      </c>
      <c r="D64" s="36">
        <f>D63*D$6</f>
        <v/>
      </c>
      <c r="E64" s="36">
        <f>E63*E$6</f>
        <v/>
      </c>
      <c r="F64" s="36">
        <f>F63*F$6</f>
        <v/>
      </c>
      <c r="G64" s="36">
        <f>G63*G$6</f>
        <v/>
      </c>
      <c r="H64" s="36">
        <f>H63*H$6</f>
        <v/>
      </c>
      <c r="I64" s="36">
        <f>I63*I$6</f>
        <v/>
      </c>
      <c r="J64" s="36">
        <f>J63*J$6</f>
        <v/>
      </c>
      <c r="K64" s="36">
        <f>K63*K$6</f>
        <v/>
      </c>
      <c r="L64" s="36">
        <f>L63*L$6</f>
        <v/>
      </c>
      <c r="M64" s="36">
        <f>M63*M$6</f>
        <v/>
      </c>
      <c r="N64" s="36">
        <f>N63*N$6</f>
        <v/>
      </c>
    </row>
    <row r="65">
      <c r="B65" s="22" t="inlineStr">
        <is>
          <t>Кумул. дисконт. поток</t>
        </is>
      </c>
      <c r="C65" s="24" t="inlineStr">
        <is>
          <t>тыс.руб</t>
        </is>
      </c>
      <c r="D65" s="36">
        <f>SUM($D64:D64)</f>
        <v/>
      </c>
      <c r="E65" s="36">
        <f>SUM($D64:E64)</f>
        <v/>
      </c>
      <c r="F65" s="36">
        <f>SUM($D64:F64)</f>
        <v/>
      </c>
      <c r="G65" s="36">
        <f>SUM($D64:G64)</f>
        <v/>
      </c>
      <c r="H65" s="36">
        <f>SUM($D64:H64)</f>
        <v/>
      </c>
      <c r="I65" s="36">
        <f>SUM($D64:I64)</f>
        <v/>
      </c>
      <c r="J65" s="36">
        <f>SUM($D64:J64)</f>
        <v/>
      </c>
      <c r="K65" s="36">
        <f>SUM($D64:K64)</f>
        <v/>
      </c>
      <c r="L65" s="36">
        <f>SUM($D64:L64)</f>
        <v/>
      </c>
      <c r="M65" s="36">
        <f>SUM($D64:M64)</f>
        <v/>
      </c>
      <c r="N65" s="36">
        <f>SUM($D64:N64)</f>
        <v/>
      </c>
    </row>
    <row r="66">
      <c r="B66" s="40" t="inlineStr">
        <is>
          <t>Аннуитет по году</t>
        </is>
      </c>
      <c r="C66" s="24" t="inlineStr">
        <is>
          <t>руб/м³</t>
        </is>
      </c>
      <c r="D66" s="47" t="n"/>
      <c r="E66" s="47">
        <f>SUM($D64:E64)/SUM($E$6:E$6)/(SUM($E51:E51)/E$4)</f>
        <v/>
      </c>
      <c r="F66" s="47">
        <f>SUM($D64:F64)/SUM($E$6:F$6)/(SUM($E51:F51)/F$4)</f>
        <v/>
      </c>
      <c r="G66" s="47">
        <f>SUM($D64:G64)/SUM($E$6:G$6)/(SUM($E51:G51)/G$4)</f>
        <v/>
      </c>
      <c r="H66" s="47">
        <f>SUM($D64:H64)/SUM($E$6:H$6)/(SUM($E51:H51)/H$4)</f>
        <v/>
      </c>
      <c r="I66" s="47">
        <f>SUM($D64:I64)/SUM($E$6:I$6)/(SUM($E51:I51)/I$4)</f>
        <v/>
      </c>
      <c r="J66" s="47">
        <f>SUM($D64:J64)/SUM($E$6:J$6)/(SUM($E51:J51)/J$4)</f>
        <v/>
      </c>
      <c r="K66" s="47">
        <f>SUM($D64:K64)/SUM($E$6:K$6)/(SUM($E51:K51)/K$4)</f>
        <v/>
      </c>
      <c r="L66" s="47">
        <f>SUM($D64:L64)/SUM($E$6:L$6)/(SUM($E51:L51)/L$4)</f>
        <v/>
      </c>
      <c r="M66" s="47">
        <f>SUM($D64:M64)/SUM($E$6:M$6)/(SUM($E51:M51)/M$4)</f>
        <v/>
      </c>
      <c r="N66" s="47">
        <f>SUM($D64:N64)/SUM($E$6:N$6)/(SUM($E51:N51)/N$4)</f>
        <v/>
      </c>
    </row>
    <row r="68">
      <c r="B68" s="5">
        <f>"Вариант 4:  "&amp;'Ввод данных'!G7</f>
        <v/>
      </c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B69" s="22" t="inlineStr">
        <is>
          <t>КТГ</t>
        </is>
      </c>
      <c r="C69" s="24" t="inlineStr">
        <is>
          <t>коэф.</t>
        </is>
      </c>
      <c r="D69" s="39" t="n"/>
      <c r="E69" s="39">
        <f>'Ввод данных'!G19*(1-'Ввод данных'!G20)^(E$4-1)</f>
        <v/>
      </c>
      <c r="F69" s="39">
        <f>'Ввод данных'!G19*(1-'Ввод данных'!G20)^(F$4-1)</f>
        <v/>
      </c>
      <c r="G69" s="39">
        <f>'Ввод данных'!G19*(1-'Ввод данных'!G20)^(G$4-1)</f>
        <v/>
      </c>
      <c r="H69" s="39">
        <f>'Ввод данных'!G19*(1-'Ввод данных'!G20)^(H$4-1)</f>
        <v/>
      </c>
      <c r="I69" s="39">
        <f>'Ввод данных'!G19*(1-'Ввод данных'!G20)^(I$4-1)</f>
        <v/>
      </c>
      <c r="J69" s="39">
        <f>'Ввод данных'!G19*(1-'Ввод данных'!G20)^(J$4-1)</f>
        <v/>
      </c>
      <c r="K69" s="39">
        <f>'Ввод данных'!G19*(1-'Ввод данных'!G20)^(K$4-1)</f>
        <v/>
      </c>
      <c r="L69" s="39">
        <f>'Ввод данных'!G19*(1-'Ввод данных'!G20)^(L$4-1)</f>
        <v/>
      </c>
      <c r="M69" s="39">
        <f>'Ввод данных'!G19*(1-'Ввод данных'!G20)^(M$4-1)</f>
        <v/>
      </c>
      <c r="N69" s="39">
        <f>'Ввод данных'!G19*(1-'Ввод данных'!G20)^(N$4-1)</f>
        <v/>
      </c>
    </row>
    <row r="70">
      <c r="B70" s="22" t="inlineStr">
        <is>
          <t>Эффективное время</t>
        </is>
      </c>
      <c r="C70" s="24" t="inlineStr">
        <is>
          <t>час/год</t>
        </is>
      </c>
      <c r="D70" s="36" t="n"/>
      <c r="E70" s="36">
        <f>'Параметры'!C26*E69*(1-'Ввод данных'!G21/(60*'Параметры'!C33))</f>
        <v/>
      </c>
      <c r="F70" s="36">
        <f>'Параметры'!C26*F69*(1-'Ввод данных'!G21/(60*'Параметры'!C33))</f>
        <v/>
      </c>
      <c r="G70" s="36">
        <f>'Параметры'!C26*G69*(1-'Ввод данных'!G21/(60*'Параметры'!C33))</f>
        <v/>
      </c>
      <c r="H70" s="36">
        <f>'Параметры'!C26*H69*(1-'Ввод данных'!G21/(60*'Параметры'!C33))</f>
        <v/>
      </c>
      <c r="I70" s="36">
        <f>'Параметры'!C26*I69*(1-'Ввод данных'!G21/(60*'Параметры'!C33))</f>
        <v/>
      </c>
      <c r="J70" s="36">
        <f>'Параметры'!C26*J69*(1-'Ввод данных'!G21/(60*'Параметры'!C33))</f>
        <v/>
      </c>
      <c r="K70" s="36">
        <f>'Параметры'!C26*K69*(1-'Ввод данных'!G21/(60*'Параметры'!C33))</f>
        <v/>
      </c>
      <c r="L70" s="36">
        <f>'Параметры'!C26*L69*(1-'Ввод данных'!G21/(60*'Параметры'!C33))</f>
        <v/>
      </c>
      <c r="M70" s="36">
        <f>'Параметры'!C26*M69*(1-'Ввод данных'!G21/(60*'Параметры'!C33))</f>
        <v/>
      </c>
      <c r="N70" s="36">
        <f>'Параметры'!C26*N69*(1-'Ввод данных'!G21/(60*'Параметры'!C33))</f>
        <v/>
      </c>
    </row>
    <row r="71">
      <c r="B71" s="22" t="inlineStr">
        <is>
          <t>Производительность</t>
        </is>
      </c>
      <c r="C71" s="24" t="inlineStr">
        <is>
          <t>тыс.м³</t>
        </is>
      </c>
      <c r="D71" s="36" t="n"/>
      <c r="E71" s="36">
        <f>'Производительность'!G10*E70/1000</f>
        <v/>
      </c>
      <c r="F71" s="36">
        <f>'Производительность'!G10*F70/1000</f>
        <v/>
      </c>
      <c r="G71" s="36">
        <f>'Производительность'!G10*G70/1000</f>
        <v/>
      </c>
      <c r="H71" s="36">
        <f>'Производительность'!G10*H70/1000</f>
        <v/>
      </c>
      <c r="I71" s="36">
        <f>'Производительность'!G10*I70/1000</f>
        <v/>
      </c>
      <c r="J71" s="36">
        <f>'Производительность'!G10*J70/1000</f>
        <v/>
      </c>
      <c r="K71" s="36">
        <f>'Производительность'!G10*K70/1000</f>
        <v/>
      </c>
      <c r="L71" s="36">
        <f>'Производительность'!G10*L70/1000</f>
        <v/>
      </c>
      <c r="M71" s="36">
        <f>'Производительность'!G10*M70/1000</f>
        <v/>
      </c>
      <c r="N71" s="36">
        <f>'Производительность'!G10*N70/1000</f>
        <v/>
      </c>
    </row>
    <row r="72">
      <c r="B72" s="22" t="inlineStr">
        <is>
          <t>Дизтопливо</t>
        </is>
      </c>
      <c r="C72" s="24" t="inlineStr">
        <is>
          <t>тыс.руб</t>
        </is>
      </c>
      <c r="D72" s="36" t="n"/>
      <c r="E72" s="36">
        <f>E70*'Ввод данных'!G23*'Параметры'!C10*(1+'Параметры'!C14)^(E$4-1)/1000</f>
        <v/>
      </c>
      <c r="F72" s="36">
        <f>F70*'Ввод данных'!G23*'Параметры'!C10*(1+'Параметры'!C14)^(F$4-1)/1000</f>
        <v/>
      </c>
      <c r="G72" s="36">
        <f>G70*'Ввод данных'!G23*'Параметры'!C10*(1+'Параметры'!C14)^(G$4-1)/1000</f>
        <v/>
      </c>
      <c r="H72" s="36">
        <f>H70*'Ввод данных'!G23*'Параметры'!C10*(1+'Параметры'!C14)^(H$4-1)/1000</f>
        <v/>
      </c>
      <c r="I72" s="36">
        <f>I70*'Ввод данных'!G23*'Параметры'!C10*(1+'Параметры'!C14)^(I$4-1)/1000</f>
        <v/>
      </c>
      <c r="J72" s="36">
        <f>J70*'Ввод данных'!G23*'Параметры'!C10*(1+'Параметры'!C14)^(J$4-1)/1000</f>
        <v/>
      </c>
      <c r="K72" s="36">
        <f>K70*'Ввод данных'!G23*'Параметры'!C10*(1+'Параметры'!C14)^(K$4-1)/1000</f>
        <v/>
      </c>
      <c r="L72" s="36">
        <f>L70*'Ввод данных'!G23*'Параметры'!C10*(1+'Параметры'!C14)^(L$4-1)/1000</f>
        <v/>
      </c>
      <c r="M72" s="36">
        <f>M70*'Ввод данных'!G23*'Параметры'!C10*(1+'Параметры'!C14)^(M$4-1)/1000</f>
        <v/>
      </c>
      <c r="N72" s="36">
        <f>N70*'Ввод данных'!G23*'Параметры'!C10*(1+'Параметры'!C14)^(N$4-1)/1000</f>
        <v/>
      </c>
    </row>
    <row r="73">
      <c r="B73" s="22" t="inlineStr">
        <is>
          <t>ТОиР и сервис (плановое)</t>
        </is>
      </c>
      <c r="C73" s="24" t="inlineStr">
        <is>
          <t>тыс.руб</t>
        </is>
      </c>
      <c r="D73" s="36" t="n"/>
      <c r="E73" s="36">
        <f>'Ввод данных'!G25*(1+'Параметры'!C15)^(E$4-1)</f>
        <v/>
      </c>
      <c r="F73" s="36">
        <f>'Ввод данных'!G25*(1+'Параметры'!C15)^(F$4-1)</f>
        <v/>
      </c>
      <c r="G73" s="36">
        <f>'Ввод данных'!G25*(1+'Параметры'!C15)^(G$4-1)</f>
        <v/>
      </c>
      <c r="H73" s="36">
        <f>'Ввод данных'!G25*(1+'Параметры'!C15)^(H$4-1)</f>
        <v/>
      </c>
      <c r="I73" s="36">
        <f>'Ввод данных'!G25*(1+'Параметры'!C15)^(I$4-1)</f>
        <v/>
      </c>
      <c r="J73" s="36">
        <f>'Ввод данных'!G25*(1+'Параметры'!C15)^(J$4-1)</f>
        <v/>
      </c>
      <c r="K73" s="36">
        <f>'Ввод данных'!G25*(1+'Параметры'!C15)^(K$4-1)</f>
        <v/>
      </c>
      <c r="L73" s="36">
        <f>'Ввод данных'!G25*(1+'Параметры'!C15)^(L$4-1)</f>
        <v/>
      </c>
      <c r="M73" s="36">
        <f>'Ввод данных'!G25*(1+'Параметры'!C15)^(M$4-1)</f>
        <v/>
      </c>
      <c r="N73" s="36">
        <f>'Ввод данных'!G25*(1+'Параметры'!C15)^(N$4-1)</f>
        <v/>
      </c>
    </row>
    <row r="74">
      <c r="B74" s="22" t="inlineStr">
        <is>
          <t>Капитальные ремонты</t>
        </is>
      </c>
      <c r="C74" s="24" t="inlineStr">
        <is>
          <t>тыс.руб</t>
        </is>
      </c>
      <c r="D74" s="36" t="n"/>
      <c r="E74" s="36">
        <f>IF('Ввод данных'!G30&gt;0,IF(AND('Ввод данных'!G29&gt;0,E$4&gt;='Ввод данных'!G31,MOD(E$4-'Ввод данных'!G31,'Ввод данных'!G30)=0),'Ввод данных'!G29*(1+'Параметры'!C15)^(E$4-1),0),0)</f>
        <v/>
      </c>
      <c r="F74" s="36">
        <f>IF('Ввод данных'!G30&gt;0,IF(AND('Ввод данных'!G29&gt;0,F$4&gt;='Ввод данных'!G31,MOD(F$4-'Ввод данных'!G31,'Ввод данных'!G30)=0),'Ввод данных'!G29*(1+'Параметры'!C15)^(F$4-1),0),0)</f>
        <v/>
      </c>
      <c r="G74" s="36">
        <f>IF('Ввод данных'!G30&gt;0,IF(AND('Ввод данных'!G29&gt;0,G$4&gt;='Ввод данных'!G31,MOD(G$4-'Ввод данных'!G31,'Ввод данных'!G30)=0),'Ввод данных'!G29*(1+'Параметры'!C15)^(G$4-1),0),0)</f>
        <v/>
      </c>
      <c r="H74" s="36">
        <f>IF('Ввод данных'!G30&gt;0,IF(AND('Ввод данных'!G29&gt;0,H$4&gt;='Ввод данных'!G31,MOD(H$4-'Ввод данных'!G31,'Ввод данных'!G30)=0),'Ввод данных'!G29*(1+'Параметры'!C15)^(H$4-1),0),0)</f>
        <v/>
      </c>
      <c r="I74" s="36">
        <f>IF('Ввод данных'!G30&gt;0,IF(AND('Ввод данных'!G29&gt;0,I$4&gt;='Ввод данных'!G31,MOD(I$4-'Ввод данных'!G31,'Ввод данных'!G30)=0),'Ввод данных'!G29*(1+'Параметры'!C15)^(I$4-1),0),0)</f>
        <v/>
      </c>
      <c r="J74" s="36">
        <f>IF('Ввод данных'!G30&gt;0,IF(AND('Ввод данных'!G29&gt;0,J$4&gt;='Ввод данных'!G31,MOD(J$4-'Ввод данных'!G31,'Ввод данных'!G30)=0),'Ввод данных'!G29*(1+'Параметры'!C15)^(J$4-1),0),0)</f>
        <v/>
      </c>
      <c r="K74" s="36">
        <f>IF('Ввод данных'!G30&gt;0,IF(AND('Ввод данных'!G29&gt;0,K$4&gt;='Ввод данных'!G31,MOD(K$4-'Ввод данных'!G31,'Ввод данных'!G30)=0),'Ввод данных'!G29*(1+'Параметры'!C15)^(K$4-1),0),0)</f>
        <v/>
      </c>
      <c r="L74" s="36">
        <f>IF('Ввод данных'!G30&gt;0,IF(AND('Ввод данных'!G29&gt;0,L$4&gt;='Ввод данных'!G31,MOD(L$4-'Ввод данных'!G31,'Ввод данных'!G30)=0),'Ввод данных'!G29*(1+'Параметры'!C15)^(L$4-1),0),0)</f>
        <v/>
      </c>
      <c r="M74" s="36">
        <f>IF('Ввод данных'!G30&gt;0,IF(AND('Ввод данных'!G29&gt;0,M$4&gt;='Ввод данных'!G31,MOD(M$4-'Ввод данных'!G31,'Ввод данных'!G30)=0),'Ввод данных'!G29*(1+'Параметры'!C15)^(M$4-1),0),0)</f>
        <v/>
      </c>
      <c r="N74" s="36">
        <f>IF('Ввод данных'!G30&gt;0,IF(AND('Ввод данных'!G29&gt;0,N$4&gt;='Ввод данных'!G31,MOD(N$4-'Ввод данных'!G31,'Ввод данных'!G30)=0),'Ввод данных'!G29*(1+'Параметры'!C15)^(N$4-1),0),0)</f>
        <v/>
      </c>
    </row>
    <row r="75">
      <c r="B75" s="22" t="inlineStr">
        <is>
          <t>Расходники на ковш</t>
        </is>
      </c>
      <c r="C75" s="24" t="inlineStr">
        <is>
          <t>тыс.руб</t>
        </is>
      </c>
      <c r="D75" s="36" t="n"/>
      <c r="E75" s="36">
        <f>'Ввод данных'!G26*E71*(1+'Параметры'!C15)^(E$4-1)</f>
        <v/>
      </c>
      <c r="F75" s="36">
        <f>'Ввод данных'!G26*F71*(1+'Параметры'!C15)^(F$4-1)</f>
        <v/>
      </c>
      <c r="G75" s="36">
        <f>'Ввод данных'!G26*G71*(1+'Параметры'!C15)^(G$4-1)</f>
        <v/>
      </c>
      <c r="H75" s="36">
        <f>'Ввод данных'!G26*H71*(1+'Параметры'!C15)^(H$4-1)</f>
        <v/>
      </c>
      <c r="I75" s="36">
        <f>'Ввод данных'!G26*I71*(1+'Параметры'!C15)^(I$4-1)</f>
        <v/>
      </c>
      <c r="J75" s="36">
        <f>'Ввод данных'!G26*J71*(1+'Параметры'!C15)^(J$4-1)</f>
        <v/>
      </c>
      <c r="K75" s="36">
        <f>'Ввод данных'!G26*K71*(1+'Параметры'!C15)^(K$4-1)</f>
        <v/>
      </c>
      <c r="L75" s="36">
        <f>'Ввод данных'!G26*L71*(1+'Параметры'!C15)^(L$4-1)</f>
        <v/>
      </c>
      <c r="M75" s="36">
        <f>'Ввод данных'!G26*M71*(1+'Параметры'!C15)^(M$4-1)</f>
        <v/>
      </c>
      <c r="N75" s="36">
        <f>'Ввод данных'!G26*N71*(1+'Параметры'!C15)^(N$4-1)</f>
        <v/>
      </c>
    </row>
    <row r="76">
      <c r="B76" s="22" t="inlineStr">
        <is>
          <t>Персонал</t>
        </is>
      </c>
      <c r="C76" s="24" t="inlineStr">
        <is>
          <t>тыс.руб</t>
        </is>
      </c>
      <c r="D76" s="36" t="n"/>
      <c r="E76" s="36">
        <f>'Ввод данных'!G27*(1+'Параметры'!C16)^(E$4-1)</f>
        <v/>
      </c>
      <c r="F76" s="36">
        <f>'Ввод данных'!G27*(1+'Параметры'!C16)^(F$4-1)</f>
        <v/>
      </c>
      <c r="G76" s="36">
        <f>'Ввод данных'!G27*(1+'Параметры'!C16)^(G$4-1)</f>
        <v/>
      </c>
      <c r="H76" s="36">
        <f>'Ввод данных'!G27*(1+'Параметры'!C16)^(H$4-1)</f>
        <v/>
      </c>
      <c r="I76" s="36">
        <f>'Ввод данных'!G27*(1+'Параметры'!C16)^(I$4-1)</f>
        <v/>
      </c>
      <c r="J76" s="36">
        <f>'Ввод данных'!G27*(1+'Параметры'!C16)^(J$4-1)</f>
        <v/>
      </c>
      <c r="K76" s="36">
        <f>'Ввод данных'!G27*(1+'Параметры'!C16)^(K$4-1)</f>
        <v/>
      </c>
      <c r="L76" s="36">
        <f>'Ввод данных'!G27*(1+'Параметры'!C16)^(L$4-1)</f>
        <v/>
      </c>
      <c r="M76" s="36">
        <f>'Ввод данных'!G27*(1+'Параметры'!C16)^(M$4-1)</f>
        <v/>
      </c>
      <c r="N76" s="36">
        <f>'Ввод данных'!G27*(1+'Параметры'!C16)^(N$4-1)</f>
        <v/>
      </c>
    </row>
    <row r="77">
      <c r="B77" s="22" t="inlineStr">
        <is>
          <t>Итого денежные затраты</t>
        </is>
      </c>
      <c r="C77" s="24" t="inlineStr">
        <is>
          <t>тыс.руб</t>
        </is>
      </c>
      <c r="D77" s="36" t="n"/>
      <c r="E77" s="46">
        <f>E72+E73+E74+E75+E76</f>
        <v/>
      </c>
      <c r="F77" s="46">
        <f>F72+F73+F74+F75+F76</f>
        <v/>
      </c>
      <c r="G77" s="46">
        <f>G72+G73+G74+G75+G76</f>
        <v/>
      </c>
      <c r="H77" s="46">
        <f>H72+H73+H74+H75+H76</f>
        <v/>
      </c>
      <c r="I77" s="46">
        <f>I72+I73+I74+I75+I76</f>
        <v/>
      </c>
      <c r="J77" s="46">
        <f>J72+J73+J74+J75+J76</f>
        <v/>
      </c>
      <c r="K77" s="46">
        <f>K72+K73+K74+K75+K76</f>
        <v/>
      </c>
      <c r="L77" s="46">
        <f>L72+L73+L74+L75+L76</f>
        <v/>
      </c>
      <c r="M77" s="46">
        <f>M72+M73+M74+M75+M76</f>
        <v/>
      </c>
      <c r="N77" s="46">
        <f>N72+N73+N74+N75+N76</f>
        <v/>
      </c>
    </row>
    <row r="78">
      <c r="B78" s="22" t="inlineStr">
        <is>
          <t>Амортизация (НУ)</t>
        </is>
      </c>
      <c r="C78" s="24" t="inlineStr">
        <is>
          <t>тыс.руб</t>
        </is>
      </c>
      <c r="D78" s="36" t="n"/>
      <c r="E78" s="36">
        <f>IF(E$4&lt;=INT('Параметры'!C9),'Производительность'!G5/'Параметры'!C9,IF(E$4=INT('Параметры'!C9)+1,'Производительность'!G5*('Параметры'!C9-INT('Параметры'!C9))/'Параметры'!C9,0))</f>
        <v/>
      </c>
      <c r="F78" s="36">
        <f>IF(F$4&lt;=INT('Параметры'!C9),'Производительность'!G5/'Параметры'!C9,IF(F$4=INT('Параметры'!C9)+1,'Производительность'!G5*('Параметры'!C9-INT('Параметры'!C9))/'Параметры'!C9,0))</f>
        <v/>
      </c>
      <c r="G78" s="36">
        <f>IF(G$4&lt;=INT('Параметры'!C9),'Производительность'!G5/'Параметры'!C9,IF(G$4=INT('Параметры'!C9)+1,'Производительность'!G5*('Параметры'!C9-INT('Параметры'!C9))/'Параметры'!C9,0))</f>
        <v/>
      </c>
      <c r="H78" s="36">
        <f>IF(H$4&lt;=INT('Параметры'!C9),'Производительность'!G5/'Параметры'!C9,IF(H$4=INT('Параметры'!C9)+1,'Производительность'!G5*('Параметры'!C9-INT('Параметры'!C9))/'Параметры'!C9,0))</f>
        <v/>
      </c>
      <c r="I78" s="36">
        <f>IF(I$4&lt;=INT('Параметры'!C9),'Производительность'!G5/'Параметры'!C9,IF(I$4=INT('Параметры'!C9)+1,'Производительность'!G5*('Параметры'!C9-INT('Параметры'!C9))/'Параметры'!C9,0))</f>
        <v/>
      </c>
      <c r="J78" s="36">
        <f>IF(J$4&lt;=INT('Параметры'!C9),'Производительность'!G5/'Параметры'!C9,IF(J$4=INT('Параметры'!C9)+1,'Производительность'!G5*('Параметры'!C9-INT('Параметры'!C9))/'Параметры'!C9,0))</f>
        <v/>
      </c>
      <c r="K78" s="36">
        <f>IF(K$4&lt;=INT('Параметры'!C9),'Производительность'!G5/'Параметры'!C9,IF(K$4=INT('Параметры'!C9)+1,'Производительность'!G5*('Параметры'!C9-INT('Параметры'!C9))/'Параметры'!C9,0))</f>
        <v/>
      </c>
      <c r="L78" s="36">
        <f>IF(L$4&lt;=INT('Параметры'!C9),'Производительность'!G5/'Параметры'!C9,IF(L$4=INT('Параметры'!C9)+1,'Производительность'!G5*('Параметры'!C9-INT('Параметры'!C9))/'Параметры'!C9,0))</f>
        <v/>
      </c>
      <c r="M78" s="36">
        <f>IF(M$4&lt;=INT('Параметры'!C9),'Производительность'!G5/'Параметры'!C9,IF(M$4=INT('Параметры'!C9)+1,'Производительность'!G5*('Параметры'!C9-INT('Параметры'!C9))/'Параметры'!C9,0))</f>
        <v/>
      </c>
      <c r="N78" s="36">
        <f>IF(N$4&lt;=INT('Параметры'!C9),'Производительность'!G5/'Параметры'!C9,IF(N$4=INT('Параметры'!C9)+1,'Производительность'!G5*('Параметры'!C9-INT('Параметры'!C9))/'Параметры'!C9,0))</f>
        <v/>
      </c>
    </row>
    <row r="79">
      <c r="B79" s="22" t="inlineStr">
        <is>
          <t>Налогооблагаемая база</t>
        </is>
      </c>
      <c r="C79" s="24" t="inlineStr">
        <is>
          <t>тыс.руб</t>
        </is>
      </c>
      <c r="D79" s="36" t="n"/>
      <c r="E79" s="36">
        <f>E77+E78</f>
        <v/>
      </c>
      <c r="F79" s="36">
        <f>F77+F78</f>
        <v/>
      </c>
      <c r="G79" s="36">
        <f>G77+G78</f>
        <v/>
      </c>
      <c r="H79" s="36">
        <f>H77+H78</f>
        <v/>
      </c>
      <c r="I79" s="36">
        <f>I77+I78</f>
        <v/>
      </c>
      <c r="J79" s="36">
        <f>J77+J78</f>
        <v/>
      </c>
      <c r="K79" s="36">
        <f>K77+K78</f>
        <v/>
      </c>
      <c r="L79" s="36">
        <f>L77+L78</f>
        <v/>
      </c>
      <c r="M79" s="36">
        <f>M77+M78</f>
        <v/>
      </c>
      <c r="N79" s="36">
        <f>N77+N78</f>
        <v/>
      </c>
    </row>
    <row r="80">
      <c r="B80" s="22" t="inlineStr">
        <is>
          <t>Налог на прибыль (щит)</t>
        </is>
      </c>
      <c r="C80" s="24" t="inlineStr">
        <is>
          <t>тыс.руб</t>
        </is>
      </c>
      <c r="D80" s="36" t="n"/>
      <c r="E80" s="36">
        <f>-E79*'Параметры'!C7</f>
        <v/>
      </c>
      <c r="F80" s="36">
        <f>-F79*'Параметры'!C7</f>
        <v/>
      </c>
      <c r="G80" s="36">
        <f>-G79*'Параметры'!C7</f>
        <v/>
      </c>
      <c r="H80" s="36">
        <f>-H79*'Параметры'!C7</f>
        <v/>
      </c>
      <c r="I80" s="36">
        <f>-I79*'Параметры'!C7</f>
        <v/>
      </c>
      <c r="J80" s="36">
        <f>-J79*'Параметры'!C7</f>
        <v/>
      </c>
      <c r="K80" s="36">
        <f>-K79*'Параметры'!C7</f>
        <v/>
      </c>
      <c r="L80" s="36">
        <f>-L79*'Параметры'!C7</f>
        <v/>
      </c>
      <c r="M80" s="36">
        <f>-M79*'Параметры'!C7</f>
        <v/>
      </c>
      <c r="N80" s="36">
        <f>-N79*'Параметры'!C7</f>
        <v/>
      </c>
    </row>
    <row r="81">
      <c r="B81" s="22" t="inlineStr">
        <is>
          <t>Операц. денежный поток</t>
        </is>
      </c>
      <c r="C81" s="24" t="inlineStr">
        <is>
          <t>тыс.руб</t>
        </is>
      </c>
      <c r="D81" s="36" t="n"/>
      <c r="E81" s="46">
        <f>E79+E80-E78</f>
        <v/>
      </c>
      <c r="F81" s="46">
        <f>F79+F80-F78</f>
        <v/>
      </c>
      <c r="G81" s="46">
        <f>G79+G80-G78</f>
        <v/>
      </c>
      <c r="H81" s="46">
        <f>H79+H80-H78</f>
        <v/>
      </c>
      <c r="I81" s="46">
        <f>I79+I80-I78</f>
        <v/>
      </c>
      <c r="J81" s="46">
        <f>J79+J80-J78</f>
        <v/>
      </c>
      <c r="K81" s="46">
        <f>K79+K80-K78</f>
        <v/>
      </c>
      <c r="L81" s="46">
        <f>L79+L80-L78</f>
        <v/>
      </c>
      <c r="M81" s="46">
        <f>M79+M80-M78</f>
        <v/>
      </c>
      <c r="N81" s="46">
        <f>N79+N80-N78</f>
        <v/>
      </c>
    </row>
    <row r="82">
      <c r="B82" s="22" t="inlineStr">
        <is>
          <t>Инвестиции / остаточная ст-ть</t>
        </is>
      </c>
      <c r="C82" s="24" t="inlineStr">
        <is>
          <t>тыс.руб</t>
        </is>
      </c>
      <c r="D82" s="36">
        <f>IF(D$4=0,'Производительность'!G5,IF(D$4='Параметры'!C8,-'Ввод данных'!G14*'Производительность'!G5,0))</f>
        <v/>
      </c>
      <c r="E82" s="36">
        <f>IF(E$4=0,'Производительность'!G5,IF(E$4='Параметры'!C8,-'Ввод данных'!G14*'Производительность'!G5,0))</f>
        <v/>
      </c>
      <c r="F82" s="36">
        <f>IF(F$4=0,'Производительность'!G5,IF(F$4='Параметры'!C8,-'Ввод данных'!G14*'Производительность'!G5,0))</f>
        <v/>
      </c>
      <c r="G82" s="36">
        <f>IF(G$4=0,'Производительность'!G5,IF(G$4='Параметры'!C8,-'Ввод данных'!G14*'Производительность'!G5,0))</f>
        <v/>
      </c>
      <c r="H82" s="36">
        <f>IF(H$4=0,'Производительность'!G5,IF(H$4='Параметры'!C8,-'Ввод данных'!G14*'Производительность'!G5,0))</f>
        <v/>
      </c>
      <c r="I82" s="36">
        <f>IF(I$4=0,'Производительность'!G5,IF(I$4='Параметры'!C8,-'Ввод данных'!G14*'Производительность'!G5,0))</f>
        <v/>
      </c>
      <c r="J82" s="36">
        <f>IF(J$4=0,'Производительность'!G5,IF(J$4='Параметры'!C8,-'Ввод данных'!G14*'Производительность'!G5,0))</f>
        <v/>
      </c>
      <c r="K82" s="36">
        <f>IF(K$4=0,'Производительность'!G5,IF(K$4='Параметры'!C8,-'Ввод данных'!G14*'Производительность'!G5,0))</f>
        <v/>
      </c>
      <c r="L82" s="36">
        <f>IF(L$4=0,'Производительность'!G5,IF(L$4='Параметры'!C8,-'Ввод данных'!G14*'Производительность'!G5,0))</f>
        <v/>
      </c>
      <c r="M82" s="36">
        <f>IF(M$4=0,'Производительность'!G5,IF(M$4='Параметры'!C8,-'Ввод данных'!G14*'Производительность'!G5,0))</f>
        <v/>
      </c>
      <c r="N82" s="36">
        <f>IF(N$4=0,'Производительность'!G5,IF(N$4='Параметры'!C8,-'Ввод данных'!G14*'Производительность'!G5,0))</f>
        <v/>
      </c>
    </row>
    <row r="83">
      <c r="B83" s="22" t="inlineStr">
        <is>
          <t>Чистый денежный поток</t>
        </is>
      </c>
      <c r="C83" s="24" t="inlineStr">
        <is>
          <t>тыс.руб</t>
        </is>
      </c>
      <c r="D83" s="46">
        <f>0+D82</f>
        <v/>
      </c>
      <c r="E83" s="46">
        <f>E81+E82</f>
        <v/>
      </c>
      <c r="F83" s="46">
        <f>F81+F82</f>
        <v/>
      </c>
      <c r="G83" s="46">
        <f>G81+G82</f>
        <v/>
      </c>
      <c r="H83" s="46">
        <f>H81+H82</f>
        <v/>
      </c>
      <c r="I83" s="46">
        <f>I81+I82</f>
        <v/>
      </c>
      <c r="J83" s="46">
        <f>J81+J82</f>
        <v/>
      </c>
      <c r="K83" s="46">
        <f>K81+K82</f>
        <v/>
      </c>
      <c r="L83" s="46">
        <f>L81+L82</f>
        <v/>
      </c>
      <c r="M83" s="46">
        <f>M81+M82</f>
        <v/>
      </c>
      <c r="N83" s="46">
        <f>N81+N82</f>
        <v/>
      </c>
    </row>
    <row r="84">
      <c r="B84" s="22" t="inlineStr">
        <is>
          <t>Дисконтированный поток</t>
        </is>
      </c>
      <c r="C84" s="24" t="inlineStr">
        <is>
          <t>тыс.руб</t>
        </is>
      </c>
      <c r="D84" s="36">
        <f>D83*D$6</f>
        <v/>
      </c>
      <c r="E84" s="36">
        <f>E83*E$6</f>
        <v/>
      </c>
      <c r="F84" s="36">
        <f>F83*F$6</f>
        <v/>
      </c>
      <c r="G84" s="36">
        <f>G83*G$6</f>
        <v/>
      </c>
      <c r="H84" s="36">
        <f>H83*H$6</f>
        <v/>
      </c>
      <c r="I84" s="36">
        <f>I83*I$6</f>
        <v/>
      </c>
      <c r="J84" s="36">
        <f>J83*J$6</f>
        <v/>
      </c>
      <c r="K84" s="36">
        <f>K83*K$6</f>
        <v/>
      </c>
      <c r="L84" s="36">
        <f>L83*L$6</f>
        <v/>
      </c>
      <c r="M84" s="36">
        <f>M83*M$6</f>
        <v/>
      </c>
      <c r="N84" s="36">
        <f>N83*N$6</f>
        <v/>
      </c>
    </row>
    <row r="85">
      <c r="B85" s="22" t="inlineStr">
        <is>
          <t>Кумул. дисконт. поток</t>
        </is>
      </c>
      <c r="C85" s="24" t="inlineStr">
        <is>
          <t>тыс.руб</t>
        </is>
      </c>
      <c r="D85" s="36">
        <f>SUM($D84:D84)</f>
        <v/>
      </c>
      <c r="E85" s="36">
        <f>SUM($D84:E84)</f>
        <v/>
      </c>
      <c r="F85" s="36">
        <f>SUM($D84:F84)</f>
        <v/>
      </c>
      <c r="G85" s="36">
        <f>SUM($D84:G84)</f>
        <v/>
      </c>
      <c r="H85" s="36">
        <f>SUM($D84:H84)</f>
        <v/>
      </c>
      <c r="I85" s="36">
        <f>SUM($D84:I84)</f>
        <v/>
      </c>
      <c r="J85" s="36">
        <f>SUM($D84:J84)</f>
        <v/>
      </c>
      <c r="K85" s="36">
        <f>SUM($D84:K84)</f>
        <v/>
      </c>
      <c r="L85" s="36">
        <f>SUM($D84:L84)</f>
        <v/>
      </c>
      <c r="M85" s="36">
        <f>SUM($D84:M84)</f>
        <v/>
      </c>
      <c r="N85" s="36">
        <f>SUM($D84:N84)</f>
        <v/>
      </c>
    </row>
    <row r="86">
      <c r="B86" s="40" t="inlineStr">
        <is>
          <t>Аннуитет по году</t>
        </is>
      </c>
      <c r="C86" s="24" t="inlineStr">
        <is>
          <t>руб/м³</t>
        </is>
      </c>
      <c r="D86" s="47" t="n"/>
      <c r="E86" s="47">
        <f>SUM($D84:E84)/SUM($E$6:E$6)/(SUM($E71:E71)/E$4)</f>
        <v/>
      </c>
      <c r="F86" s="47">
        <f>SUM($D84:F84)/SUM($E$6:F$6)/(SUM($E71:F71)/F$4)</f>
        <v/>
      </c>
      <c r="G86" s="47">
        <f>SUM($D84:G84)/SUM($E$6:G$6)/(SUM($E71:G71)/G$4)</f>
        <v/>
      </c>
      <c r="H86" s="47">
        <f>SUM($D84:H84)/SUM($E$6:H$6)/(SUM($E71:H71)/H$4)</f>
        <v/>
      </c>
      <c r="I86" s="47">
        <f>SUM($D84:I84)/SUM($E$6:I$6)/(SUM($E71:I71)/I$4)</f>
        <v/>
      </c>
      <c r="J86" s="47">
        <f>SUM($D84:J84)/SUM($E$6:J$6)/(SUM($E71:J71)/J$4)</f>
        <v/>
      </c>
      <c r="K86" s="47">
        <f>SUM($D84:K84)/SUM($E$6:K$6)/(SUM($E71:K71)/K$4)</f>
        <v/>
      </c>
      <c r="L86" s="47">
        <f>SUM($D84:L84)/SUM($E$6:L$6)/(SUM($E71:L71)/L$4)</f>
        <v/>
      </c>
      <c r="M86" s="47">
        <f>SUM($D84:M84)/SUM($E$6:M$6)/(SUM($E71:M71)/M$4)</f>
        <v/>
      </c>
      <c r="N86" s="47">
        <f>SUM($D84:N84)/SUM($E$6:N$6)/(SUM($E71:N71)/N$4)</f>
        <v/>
      </c>
    </row>
    <row r="88">
      <c r="B88" s="5">
        <f>"Вариант 5:  "&amp;'Ввод данных'!H7</f>
        <v/>
      </c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B89" s="22" t="inlineStr">
        <is>
          <t>КТГ</t>
        </is>
      </c>
      <c r="C89" s="24" t="inlineStr">
        <is>
          <t>коэф.</t>
        </is>
      </c>
      <c r="D89" s="39" t="n"/>
      <c r="E89" s="39">
        <f>'Ввод данных'!H19*(1-'Ввод данных'!H20)^(E$4-1)</f>
        <v/>
      </c>
      <c r="F89" s="39">
        <f>'Ввод данных'!H19*(1-'Ввод данных'!H20)^(F$4-1)</f>
        <v/>
      </c>
      <c r="G89" s="39">
        <f>'Ввод данных'!H19*(1-'Ввод данных'!H20)^(G$4-1)</f>
        <v/>
      </c>
      <c r="H89" s="39">
        <f>'Ввод данных'!H19*(1-'Ввод данных'!H20)^(H$4-1)</f>
        <v/>
      </c>
      <c r="I89" s="39">
        <f>'Ввод данных'!H19*(1-'Ввод данных'!H20)^(I$4-1)</f>
        <v/>
      </c>
      <c r="J89" s="39">
        <f>'Ввод данных'!H19*(1-'Ввод данных'!H20)^(J$4-1)</f>
        <v/>
      </c>
      <c r="K89" s="39">
        <f>'Ввод данных'!H19*(1-'Ввод данных'!H20)^(K$4-1)</f>
        <v/>
      </c>
      <c r="L89" s="39">
        <f>'Ввод данных'!H19*(1-'Ввод данных'!H20)^(L$4-1)</f>
        <v/>
      </c>
      <c r="M89" s="39">
        <f>'Ввод данных'!H19*(1-'Ввод данных'!H20)^(M$4-1)</f>
        <v/>
      </c>
      <c r="N89" s="39">
        <f>'Ввод данных'!H19*(1-'Ввод данных'!H20)^(N$4-1)</f>
        <v/>
      </c>
    </row>
    <row r="90">
      <c r="B90" s="22" t="inlineStr">
        <is>
          <t>Эффективное время</t>
        </is>
      </c>
      <c r="C90" s="24" t="inlineStr">
        <is>
          <t>час/год</t>
        </is>
      </c>
      <c r="D90" s="36" t="n"/>
      <c r="E90" s="36">
        <f>'Параметры'!C26*E89*(1-'Ввод данных'!H21/(60*'Параметры'!C33))</f>
        <v/>
      </c>
      <c r="F90" s="36">
        <f>'Параметры'!C26*F89*(1-'Ввод данных'!H21/(60*'Параметры'!C33))</f>
        <v/>
      </c>
      <c r="G90" s="36">
        <f>'Параметры'!C26*G89*(1-'Ввод данных'!H21/(60*'Параметры'!C33))</f>
        <v/>
      </c>
      <c r="H90" s="36">
        <f>'Параметры'!C26*H89*(1-'Ввод данных'!H21/(60*'Параметры'!C33))</f>
        <v/>
      </c>
      <c r="I90" s="36">
        <f>'Параметры'!C26*I89*(1-'Ввод данных'!H21/(60*'Параметры'!C33))</f>
        <v/>
      </c>
      <c r="J90" s="36">
        <f>'Параметры'!C26*J89*(1-'Ввод данных'!H21/(60*'Параметры'!C33))</f>
        <v/>
      </c>
      <c r="K90" s="36">
        <f>'Параметры'!C26*K89*(1-'Ввод данных'!H21/(60*'Параметры'!C33))</f>
        <v/>
      </c>
      <c r="L90" s="36">
        <f>'Параметры'!C26*L89*(1-'Ввод данных'!H21/(60*'Параметры'!C33))</f>
        <v/>
      </c>
      <c r="M90" s="36">
        <f>'Параметры'!C26*M89*(1-'Ввод данных'!H21/(60*'Параметры'!C33))</f>
        <v/>
      </c>
      <c r="N90" s="36">
        <f>'Параметры'!C26*N89*(1-'Ввод данных'!H21/(60*'Параметры'!C33))</f>
        <v/>
      </c>
    </row>
    <row r="91">
      <c r="B91" s="22" t="inlineStr">
        <is>
          <t>Производительность</t>
        </is>
      </c>
      <c r="C91" s="24" t="inlineStr">
        <is>
          <t>тыс.м³</t>
        </is>
      </c>
      <c r="D91" s="36" t="n"/>
      <c r="E91" s="36">
        <f>'Производительность'!H10*E90/1000</f>
        <v/>
      </c>
      <c r="F91" s="36">
        <f>'Производительность'!H10*F90/1000</f>
        <v/>
      </c>
      <c r="G91" s="36">
        <f>'Производительность'!H10*G90/1000</f>
        <v/>
      </c>
      <c r="H91" s="36">
        <f>'Производительность'!H10*H90/1000</f>
        <v/>
      </c>
      <c r="I91" s="36">
        <f>'Производительность'!H10*I90/1000</f>
        <v/>
      </c>
      <c r="J91" s="36">
        <f>'Производительность'!H10*J90/1000</f>
        <v/>
      </c>
      <c r="K91" s="36">
        <f>'Производительность'!H10*K90/1000</f>
        <v/>
      </c>
      <c r="L91" s="36">
        <f>'Производительность'!H10*L90/1000</f>
        <v/>
      </c>
      <c r="M91" s="36">
        <f>'Производительность'!H10*M90/1000</f>
        <v/>
      </c>
      <c r="N91" s="36">
        <f>'Производительность'!H10*N90/1000</f>
        <v/>
      </c>
    </row>
    <row r="92">
      <c r="B92" s="22" t="inlineStr">
        <is>
          <t>Дизтопливо</t>
        </is>
      </c>
      <c r="C92" s="24" t="inlineStr">
        <is>
          <t>тыс.руб</t>
        </is>
      </c>
      <c r="D92" s="36" t="n"/>
      <c r="E92" s="36">
        <f>E90*'Ввод данных'!H23*'Параметры'!C10*(1+'Параметры'!C14)^(E$4-1)/1000</f>
        <v/>
      </c>
      <c r="F92" s="36">
        <f>F90*'Ввод данных'!H23*'Параметры'!C10*(1+'Параметры'!C14)^(F$4-1)/1000</f>
        <v/>
      </c>
      <c r="G92" s="36">
        <f>G90*'Ввод данных'!H23*'Параметры'!C10*(1+'Параметры'!C14)^(G$4-1)/1000</f>
        <v/>
      </c>
      <c r="H92" s="36">
        <f>H90*'Ввод данных'!H23*'Параметры'!C10*(1+'Параметры'!C14)^(H$4-1)/1000</f>
        <v/>
      </c>
      <c r="I92" s="36">
        <f>I90*'Ввод данных'!H23*'Параметры'!C10*(1+'Параметры'!C14)^(I$4-1)/1000</f>
        <v/>
      </c>
      <c r="J92" s="36">
        <f>J90*'Ввод данных'!H23*'Параметры'!C10*(1+'Параметры'!C14)^(J$4-1)/1000</f>
        <v/>
      </c>
      <c r="K92" s="36">
        <f>K90*'Ввод данных'!H23*'Параметры'!C10*(1+'Параметры'!C14)^(K$4-1)/1000</f>
        <v/>
      </c>
      <c r="L92" s="36">
        <f>L90*'Ввод данных'!H23*'Параметры'!C10*(1+'Параметры'!C14)^(L$4-1)/1000</f>
        <v/>
      </c>
      <c r="M92" s="36">
        <f>M90*'Ввод данных'!H23*'Параметры'!C10*(1+'Параметры'!C14)^(M$4-1)/1000</f>
        <v/>
      </c>
      <c r="N92" s="36">
        <f>N90*'Ввод данных'!H23*'Параметры'!C10*(1+'Параметры'!C14)^(N$4-1)/1000</f>
        <v/>
      </c>
    </row>
    <row r="93">
      <c r="B93" s="22" t="inlineStr">
        <is>
          <t>ТОиР и сервис (плановое)</t>
        </is>
      </c>
      <c r="C93" s="24" t="inlineStr">
        <is>
          <t>тыс.руб</t>
        </is>
      </c>
      <c r="D93" s="36" t="n"/>
      <c r="E93" s="36">
        <f>'Ввод данных'!H25*(1+'Параметры'!C15)^(E$4-1)</f>
        <v/>
      </c>
      <c r="F93" s="36">
        <f>'Ввод данных'!H25*(1+'Параметры'!C15)^(F$4-1)</f>
        <v/>
      </c>
      <c r="G93" s="36">
        <f>'Ввод данных'!H25*(1+'Параметры'!C15)^(G$4-1)</f>
        <v/>
      </c>
      <c r="H93" s="36">
        <f>'Ввод данных'!H25*(1+'Параметры'!C15)^(H$4-1)</f>
        <v/>
      </c>
      <c r="I93" s="36">
        <f>'Ввод данных'!H25*(1+'Параметры'!C15)^(I$4-1)</f>
        <v/>
      </c>
      <c r="J93" s="36">
        <f>'Ввод данных'!H25*(1+'Параметры'!C15)^(J$4-1)</f>
        <v/>
      </c>
      <c r="K93" s="36">
        <f>'Ввод данных'!H25*(1+'Параметры'!C15)^(K$4-1)</f>
        <v/>
      </c>
      <c r="L93" s="36">
        <f>'Ввод данных'!H25*(1+'Параметры'!C15)^(L$4-1)</f>
        <v/>
      </c>
      <c r="M93" s="36">
        <f>'Ввод данных'!H25*(1+'Параметры'!C15)^(M$4-1)</f>
        <v/>
      </c>
      <c r="N93" s="36">
        <f>'Ввод данных'!H25*(1+'Параметры'!C15)^(N$4-1)</f>
        <v/>
      </c>
    </row>
    <row r="94">
      <c r="B94" s="22" t="inlineStr">
        <is>
          <t>Капитальные ремонты</t>
        </is>
      </c>
      <c r="C94" s="24" t="inlineStr">
        <is>
          <t>тыс.руб</t>
        </is>
      </c>
      <c r="D94" s="36" t="n"/>
      <c r="E94" s="36">
        <f>IF('Ввод данных'!H30&gt;0,IF(AND('Ввод данных'!H29&gt;0,E$4&gt;='Ввод данных'!H31,MOD(E$4-'Ввод данных'!H31,'Ввод данных'!H30)=0),'Ввод данных'!H29*(1+'Параметры'!C15)^(E$4-1),0),0)</f>
        <v/>
      </c>
      <c r="F94" s="36">
        <f>IF('Ввод данных'!H30&gt;0,IF(AND('Ввод данных'!H29&gt;0,F$4&gt;='Ввод данных'!H31,MOD(F$4-'Ввод данных'!H31,'Ввод данных'!H30)=0),'Ввод данных'!H29*(1+'Параметры'!C15)^(F$4-1),0),0)</f>
        <v/>
      </c>
      <c r="G94" s="36">
        <f>IF('Ввод данных'!H30&gt;0,IF(AND('Ввод данных'!H29&gt;0,G$4&gt;='Ввод данных'!H31,MOD(G$4-'Ввод данных'!H31,'Ввод данных'!H30)=0),'Ввод данных'!H29*(1+'Параметры'!C15)^(G$4-1),0),0)</f>
        <v/>
      </c>
      <c r="H94" s="36">
        <f>IF('Ввод данных'!H30&gt;0,IF(AND('Ввод данных'!H29&gt;0,H$4&gt;='Ввод данных'!H31,MOD(H$4-'Ввод данных'!H31,'Ввод данных'!H30)=0),'Ввод данных'!H29*(1+'Параметры'!C15)^(H$4-1),0),0)</f>
        <v/>
      </c>
      <c r="I94" s="36">
        <f>IF('Ввод данных'!H30&gt;0,IF(AND('Ввод данных'!H29&gt;0,I$4&gt;='Ввод данных'!H31,MOD(I$4-'Ввод данных'!H31,'Ввод данных'!H30)=0),'Ввод данных'!H29*(1+'Параметры'!C15)^(I$4-1),0),0)</f>
        <v/>
      </c>
      <c r="J94" s="36">
        <f>IF('Ввод данных'!H30&gt;0,IF(AND('Ввод данных'!H29&gt;0,J$4&gt;='Ввод данных'!H31,MOD(J$4-'Ввод данных'!H31,'Ввод данных'!H30)=0),'Ввод данных'!H29*(1+'Параметры'!C15)^(J$4-1),0),0)</f>
        <v/>
      </c>
      <c r="K94" s="36">
        <f>IF('Ввод данных'!H30&gt;0,IF(AND('Ввод данных'!H29&gt;0,K$4&gt;='Ввод данных'!H31,MOD(K$4-'Ввод данных'!H31,'Ввод данных'!H30)=0),'Ввод данных'!H29*(1+'Параметры'!C15)^(K$4-1),0),0)</f>
        <v/>
      </c>
      <c r="L94" s="36">
        <f>IF('Ввод данных'!H30&gt;0,IF(AND('Ввод данных'!H29&gt;0,L$4&gt;='Ввод данных'!H31,MOD(L$4-'Ввод данных'!H31,'Ввод данных'!H30)=0),'Ввод данных'!H29*(1+'Параметры'!C15)^(L$4-1),0),0)</f>
        <v/>
      </c>
      <c r="M94" s="36">
        <f>IF('Ввод данных'!H30&gt;0,IF(AND('Ввод данных'!H29&gt;0,M$4&gt;='Ввод данных'!H31,MOD(M$4-'Ввод данных'!H31,'Ввод данных'!H30)=0),'Ввод данных'!H29*(1+'Параметры'!C15)^(M$4-1),0),0)</f>
        <v/>
      </c>
      <c r="N94" s="36">
        <f>IF('Ввод данных'!H30&gt;0,IF(AND('Ввод данных'!H29&gt;0,N$4&gt;='Ввод данных'!H31,MOD(N$4-'Ввод данных'!H31,'Ввод данных'!H30)=0),'Ввод данных'!H29*(1+'Параметры'!C15)^(N$4-1),0),0)</f>
        <v/>
      </c>
    </row>
    <row r="95">
      <c r="B95" s="22" t="inlineStr">
        <is>
          <t>Расходники на ковш</t>
        </is>
      </c>
      <c r="C95" s="24" t="inlineStr">
        <is>
          <t>тыс.руб</t>
        </is>
      </c>
      <c r="D95" s="36" t="n"/>
      <c r="E95" s="36">
        <f>'Ввод данных'!H26*E91*(1+'Параметры'!C15)^(E$4-1)</f>
        <v/>
      </c>
      <c r="F95" s="36">
        <f>'Ввод данных'!H26*F91*(1+'Параметры'!C15)^(F$4-1)</f>
        <v/>
      </c>
      <c r="G95" s="36">
        <f>'Ввод данных'!H26*G91*(1+'Параметры'!C15)^(G$4-1)</f>
        <v/>
      </c>
      <c r="H95" s="36">
        <f>'Ввод данных'!H26*H91*(1+'Параметры'!C15)^(H$4-1)</f>
        <v/>
      </c>
      <c r="I95" s="36">
        <f>'Ввод данных'!H26*I91*(1+'Параметры'!C15)^(I$4-1)</f>
        <v/>
      </c>
      <c r="J95" s="36">
        <f>'Ввод данных'!H26*J91*(1+'Параметры'!C15)^(J$4-1)</f>
        <v/>
      </c>
      <c r="K95" s="36">
        <f>'Ввод данных'!H26*K91*(1+'Параметры'!C15)^(K$4-1)</f>
        <v/>
      </c>
      <c r="L95" s="36">
        <f>'Ввод данных'!H26*L91*(1+'Параметры'!C15)^(L$4-1)</f>
        <v/>
      </c>
      <c r="M95" s="36">
        <f>'Ввод данных'!H26*M91*(1+'Параметры'!C15)^(M$4-1)</f>
        <v/>
      </c>
      <c r="N95" s="36">
        <f>'Ввод данных'!H26*N91*(1+'Параметры'!C15)^(N$4-1)</f>
        <v/>
      </c>
    </row>
    <row r="96">
      <c r="B96" s="22" t="inlineStr">
        <is>
          <t>Персонал</t>
        </is>
      </c>
      <c r="C96" s="24" t="inlineStr">
        <is>
          <t>тыс.руб</t>
        </is>
      </c>
      <c r="D96" s="36" t="n"/>
      <c r="E96" s="36">
        <f>'Ввод данных'!H27*(1+'Параметры'!C16)^(E$4-1)</f>
        <v/>
      </c>
      <c r="F96" s="36">
        <f>'Ввод данных'!H27*(1+'Параметры'!C16)^(F$4-1)</f>
        <v/>
      </c>
      <c r="G96" s="36">
        <f>'Ввод данных'!H27*(1+'Параметры'!C16)^(G$4-1)</f>
        <v/>
      </c>
      <c r="H96" s="36">
        <f>'Ввод данных'!H27*(1+'Параметры'!C16)^(H$4-1)</f>
        <v/>
      </c>
      <c r="I96" s="36">
        <f>'Ввод данных'!H27*(1+'Параметры'!C16)^(I$4-1)</f>
        <v/>
      </c>
      <c r="J96" s="36">
        <f>'Ввод данных'!H27*(1+'Параметры'!C16)^(J$4-1)</f>
        <v/>
      </c>
      <c r="K96" s="36">
        <f>'Ввод данных'!H27*(1+'Параметры'!C16)^(K$4-1)</f>
        <v/>
      </c>
      <c r="L96" s="36">
        <f>'Ввод данных'!H27*(1+'Параметры'!C16)^(L$4-1)</f>
        <v/>
      </c>
      <c r="M96" s="36">
        <f>'Ввод данных'!H27*(1+'Параметры'!C16)^(M$4-1)</f>
        <v/>
      </c>
      <c r="N96" s="36">
        <f>'Ввод данных'!H27*(1+'Параметры'!C16)^(N$4-1)</f>
        <v/>
      </c>
    </row>
    <row r="97">
      <c r="B97" s="22" t="inlineStr">
        <is>
          <t>Итого денежные затраты</t>
        </is>
      </c>
      <c r="C97" s="24" t="inlineStr">
        <is>
          <t>тыс.руб</t>
        </is>
      </c>
      <c r="D97" s="36" t="n"/>
      <c r="E97" s="46">
        <f>E92+E93+E94+E95+E96</f>
        <v/>
      </c>
      <c r="F97" s="46">
        <f>F92+F93+F94+F95+F96</f>
        <v/>
      </c>
      <c r="G97" s="46">
        <f>G92+G93+G94+G95+G96</f>
        <v/>
      </c>
      <c r="H97" s="46">
        <f>H92+H93+H94+H95+H96</f>
        <v/>
      </c>
      <c r="I97" s="46">
        <f>I92+I93+I94+I95+I96</f>
        <v/>
      </c>
      <c r="J97" s="46">
        <f>J92+J93+J94+J95+J96</f>
        <v/>
      </c>
      <c r="K97" s="46">
        <f>K92+K93+K94+K95+K96</f>
        <v/>
      </c>
      <c r="L97" s="46">
        <f>L92+L93+L94+L95+L96</f>
        <v/>
      </c>
      <c r="M97" s="46">
        <f>M92+M93+M94+M95+M96</f>
        <v/>
      </c>
      <c r="N97" s="46">
        <f>N92+N93+N94+N95+N96</f>
        <v/>
      </c>
    </row>
    <row r="98">
      <c r="B98" s="22" t="inlineStr">
        <is>
          <t>Амортизация (НУ)</t>
        </is>
      </c>
      <c r="C98" s="24" t="inlineStr">
        <is>
          <t>тыс.руб</t>
        </is>
      </c>
      <c r="D98" s="36" t="n"/>
      <c r="E98" s="36">
        <f>IF(E$4&lt;=INT('Параметры'!C9),'Производительность'!H5/'Параметры'!C9,IF(E$4=INT('Параметры'!C9)+1,'Производительность'!H5*('Параметры'!C9-INT('Параметры'!C9))/'Параметры'!C9,0))</f>
        <v/>
      </c>
      <c r="F98" s="36">
        <f>IF(F$4&lt;=INT('Параметры'!C9),'Производительность'!H5/'Параметры'!C9,IF(F$4=INT('Параметры'!C9)+1,'Производительность'!H5*('Параметры'!C9-INT('Параметры'!C9))/'Параметры'!C9,0))</f>
        <v/>
      </c>
      <c r="G98" s="36">
        <f>IF(G$4&lt;=INT('Параметры'!C9),'Производительность'!H5/'Параметры'!C9,IF(G$4=INT('Параметры'!C9)+1,'Производительность'!H5*('Параметры'!C9-INT('Параметры'!C9))/'Параметры'!C9,0))</f>
        <v/>
      </c>
      <c r="H98" s="36">
        <f>IF(H$4&lt;=INT('Параметры'!C9),'Производительность'!H5/'Параметры'!C9,IF(H$4=INT('Параметры'!C9)+1,'Производительность'!H5*('Параметры'!C9-INT('Параметры'!C9))/'Параметры'!C9,0))</f>
        <v/>
      </c>
      <c r="I98" s="36">
        <f>IF(I$4&lt;=INT('Параметры'!C9),'Производительность'!H5/'Параметры'!C9,IF(I$4=INT('Параметры'!C9)+1,'Производительность'!H5*('Параметры'!C9-INT('Параметры'!C9))/'Параметры'!C9,0))</f>
        <v/>
      </c>
      <c r="J98" s="36">
        <f>IF(J$4&lt;=INT('Параметры'!C9),'Производительность'!H5/'Параметры'!C9,IF(J$4=INT('Параметры'!C9)+1,'Производительность'!H5*('Параметры'!C9-INT('Параметры'!C9))/'Параметры'!C9,0))</f>
        <v/>
      </c>
      <c r="K98" s="36">
        <f>IF(K$4&lt;=INT('Параметры'!C9),'Производительность'!H5/'Параметры'!C9,IF(K$4=INT('Параметры'!C9)+1,'Производительность'!H5*('Параметры'!C9-INT('Параметры'!C9))/'Параметры'!C9,0))</f>
        <v/>
      </c>
      <c r="L98" s="36">
        <f>IF(L$4&lt;=INT('Параметры'!C9),'Производительность'!H5/'Параметры'!C9,IF(L$4=INT('Параметры'!C9)+1,'Производительность'!H5*('Параметры'!C9-INT('Параметры'!C9))/'Параметры'!C9,0))</f>
        <v/>
      </c>
      <c r="M98" s="36">
        <f>IF(M$4&lt;=INT('Параметры'!C9),'Производительность'!H5/'Параметры'!C9,IF(M$4=INT('Параметры'!C9)+1,'Производительность'!H5*('Параметры'!C9-INT('Параметры'!C9))/'Параметры'!C9,0))</f>
        <v/>
      </c>
      <c r="N98" s="36">
        <f>IF(N$4&lt;=INT('Параметры'!C9),'Производительность'!H5/'Параметры'!C9,IF(N$4=INT('Параметры'!C9)+1,'Производительность'!H5*('Параметры'!C9-INT('Параметры'!C9))/'Параметры'!C9,0))</f>
        <v/>
      </c>
    </row>
    <row r="99">
      <c r="B99" s="22" t="inlineStr">
        <is>
          <t>Налогооблагаемая база</t>
        </is>
      </c>
      <c r="C99" s="24" t="inlineStr">
        <is>
          <t>тыс.руб</t>
        </is>
      </c>
      <c r="D99" s="36" t="n"/>
      <c r="E99" s="36">
        <f>E97+E98</f>
        <v/>
      </c>
      <c r="F99" s="36">
        <f>F97+F98</f>
        <v/>
      </c>
      <c r="G99" s="36">
        <f>G97+G98</f>
        <v/>
      </c>
      <c r="H99" s="36">
        <f>H97+H98</f>
        <v/>
      </c>
      <c r="I99" s="36">
        <f>I97+I98</f>
        <v/>
      </c>
      <c r="J99" s="36">
        <f>J97+J98</f>
        <v/>
      </c>
      <c r="K99" s="36">
        <f>K97+K98</f>
        <v/>
      </c>
      <c r="L99" s="36">
        <f>L97+L98</f>
        <v/>
      </c>
      <c r="M99" s="36">
        <f>M97+M98</f>
        <v/>
      </c>
      <c r="N99" s="36">
        <f>N97+N98</f>
        <v/>
      </c>
    </row>
    <row r="100">
      <c r="B100" s="22" t="inlineStr">
        <is>
          <t>Налог на прибыль (щит)</t>
        </is>
      </c>
      <c r="C100" s="24" t="inlineStr">
        <is>
          <t>тыс.руб</t>
        </is>
      </c>
      <c r="D100" s="36" t="n"/>
      <c r="E100" s="36">
        <f>-E99*'Параметры'!C7</f>
        <v/>
      </c>
      <c r="F100" s="36">
        <f>-F99*'Параметры'!C7</f>
        <v/>
      </c>
      <c r="G100" s="36">
        <f>-G99*'Параметры'!C7</f>
        <v/>
      </c>
      <c r="H100" s="36">
        <f>-H99*'Параметры'!C7</f>
        <v/>
      </c>
      <c r="I100" s="36">
        <f>-I99*'Параметры'!C7</f>
        <v/>
      </c>
      <c r="J100" s="36">
        <f>-J99*'Параметры'!C7</f>
        <v/>
      </c>
      <c r="K100" s="36">
        <f>-K99*'Параметры'!C7</f>
        <v/>
      </c>
      <c r="L100" s="36">
        <f>-L99*'Параметры'!C7</f>
        <v/>
      </c>
      <c r="M100" s="36">
        <f>-M99*'Параметры'!C7</f>
        <v/>
      </c>
      <c r="N100" s="36">
        <f>-N99*'Параметры'!C7</f>
        <v/>
      </c>
    </row>
    <row r="101">
      <c r="B101" s="22" t="inlineStr">
        <is>
          <t>Операц. денежный поток</t>
        </is>
      </c>
      <c r="C101" s="24" t="inlineStr">
        <is>
          <t>тыс.руб</t>
        </is>
      </c>
      <c r="D101" s="36" t="n"/>
      <c r="E101" s="46">
        <f>E99+E100-E98</f>
        <v/>
      </c>
      <c r="F101" s="46">
        <f>F99+F100-F98</f>
        <v/>
      </c>
      <c r="G101" s="46">
        <f>G99+G100-G98</f>
        <v/>
      </c>
      <c r="H101" s="46">
        <f>H99+H100-H98</f>
        <v/>
      </c>
      <c r="I101" s="46">
        <f>I99+I100-I98</f>
        <v/>
      </c>
      <c r="J101" s="46">
        <f>J99+J100-J98</f>
        <v/>
      </c>
      <c r="K101" s="46">
        <f>K99+K100-K98</f>
        <v/>
      </c>
      <c r="L101" s="46">
        <f>L99+L100-L98</f>
        <v/>
      </c>
      <c r="M101" s="46">
        <f>M99+M100-M98</f>
        <v/>
      </c>
      <c r="N101" s="46">
        <f>N99+N100-N98</f>
        <v/>
      </c>
    </row>
    <row r="102">
      <c r="B102" s="22" t="inlineStr">
        <is>
          <t>Инвестиции / остаточная ст-ть</t>
        </is>
      </c>
      <c r="C102" s="24" t="inlineStr">
        <is>
          <t>тыс.руб</t>
        </is>
      </c>
      <c r="D102" s="36">
        <f>IF(D$4=0,'Производительность'!H5,IF(D$4='Параметры'!C8,-'Ввод данных'!H14*'Производительность'!H5,0))</f>
        <v/>
      </c>
      <c r="E102" s="36">
        <f>IF(E$4=0,'Производительность'!H5,IF(E$4='Параметры'!C8,-'Ввод данных'!H14*'Производительность'!H5,0))</f>
        <v/>
      </c>
      <c r="F102" s="36">
        <f>IF(F$4=0,'Производительность'!H5,IF(F$4='Параметры'!C8,-'Ввод данных'!H14*'Производительность'!H5,0))</f>
        <v/>
      </c>
      <c r="G102" s="36">
        <f>IF(G$4=0,'Производительность'!H5,IF(G$4='Параметры'!C8,-'Ввод данных'!H14*'Производительность'!H5,0))</f>
        <v/>
      </c>
      <c r="H102" s="36">
        <f>IF(H$4=0,'Производительность'!H5,IF(H$4='Параметры'!C8,-'Ввод данных'!H14*'Производительность'!H5,0))</f>
        <v/>
      </c>
      <c r="I102" s="36">
        <f>IF(I$4=0,'Производительность'!H5,IF(I$4='Параметры'!C8,-'Ввод данных'!H14*'Производительность'!H5,0))</f>
        <v/>
      </c>
      <c r="J102" s="36">
        <f>IF(J$4=0,'Производительность'!H5,IF(J$4='Параметры'!C8,-'Ввод данных'!H14*'Производительность'!H5,0))</f>
        <v/>
      </c>
      <c r="K102" s="36">
        <f>IF(K$4=0,'Производительность'!H5,IF(K$4='Параметры'!C8,-'Ввод данных'!H14*'Производительность'!H5,0))</f>
        <v/>
      </c>
      <c r="L102" s="36">
        <f>IF(L$4=0,'Производительность'!H5,IF(L$4='Параметры'!C8,-'Ввод данных'!H14*'Производительность'!H5,0))</f>
        <v/>
      </c>
      <c r="M102" s="36">
        <f>IF(M$4=0,'Производительность'!H5,IF(M$4='Параметры'!C8,-'Ввод данных'!H14*'Производительность'!H5,0))</f>
        <v/>
      </c>
      <c r="N102" s="36">
        <f>IF(N$4=0,'Производительность'!H5,IF(N$4='Параметры'!C8,-'Ввод данных'!H14*'Производительность'!H5,0))</f>
        <v/>
      </c>
    </row>
    <row r="103">
      <c r="B103" s="22" t="inlineStr">
        <is>
          <t>Чистый денежный поток</t>
        </is>
      </c>
      <c r="C103" s="24" t="inlineStr">
        <is>
          <t>тыс.руб</t>
        </is>
      </c>
      <c r="D103" s="46">
        <f>0+D102</f>
        <v/>
      </c>
      <c r="E103" s="46">
        <f>E101+E102</f>
        <v/>
      </c>
      <c r="F103" s="46">
        <f>F101+F102</f>
        <v/>
      </c>
      <c r="G103" s="46">
        <f>G101+G102</f>
        <v/>
      </c>
      <c r="H103" s="46">
        <f>H101+H102</f>
        <v/>
      </c>
      <c r="I103" s="46">
        <f>I101+I102</f>
        <v/>
      </c>
      <c r="J103" s="46">
        <f>J101+J102</f>
        <v/>
      </c>
      <c r="K103" s="46">
        <f>K101+K102</f>
        <v/>
      </c>
      <c r="L103" s="46">
        <f>L101+L102</f>
        <v/>
      </c>
      <c r="M103" s="46">
        <f>M101+M102</f>
        <v/>
      </c>
      <c r="N103" s="46">
        <f>N101+N102</f>
        <v/>
      </c>
    </row>
    <row r="104">
      <c r="B104" s="22" t="inlineStr">
        <is>
          <t>Дисконтированный поток</t>
        </is>
      </c>
      <c r="C104" s="24" t="inlineStr">
        <is>
          <t>тыс.руб</t>
        </is>
      </c>
      <c r="D104" s="36">
        <f>D103*D$6</f>
        <v/>
      </c>
      <c r="E104" s="36">
        <f>E103*E$6</f>
        <v/>
      </c>
      <c r="F104" s="36">
        <f>F103*F$6</f>
        <v/>
      </c>
      <c r="G104" s="36">
        <f>G103*G$6</f>
        <v/>
      </c>
      <c r="H104" s="36">
        <f>H103*H$6</f>
        <v/>
      </c>
      <c r="I104" s="36">
        <f>I103*I$6</f>
        <v/>
      </c>
      <c r="J104" s="36">
        <f>J103*J$6</f>
        <v/>
      </c>
      <c r="K104" s="36">
        <f>K103*K$6</f>
        <v/>
      </c>
      <c r="L104" s="36">
        <f>L103*L$6</f>
        <v/>
      </c>
      <c r="M104" s="36">
        <f>M103*M$6</f>
        <v/>
      </c>
      <c r="N104" s="36">
        <f>N103*N$6</f>
        <v/>
      </c>
    </row>
    <row r="105">
      <c r="B105" s="22" t="inlineStr">
        <is>
          <t>Кумул. дисконт. поток</t>
        </is>
      </c>
      <c r="C105" s="24" t="inlineStr">
        <is>
          <t>тыс.руб</t>
        </is>
      </c>
      <c r="D105" s="36">
        <f>SUM($D104:D104)</f>
        <v/>
      </c>
      <c r="E105" s="36">
        <f>SUM($D104:E104)</f>
        <v/>
      </c>
      <c r="F105" s="36">
        <f>SUM($D104:F104)</f>
        <v/>
      </c>
      <c r="G105" s="36">
        <f>SUM($D104:G104)</f>
        <v/>
      </c>
      <c r="H105" s="36">
        <f>SUM($D104:H104)</f>
        <v/>
      </c>
      <c r="I105" s="36">
        <f>SUM($D104:I104)</f>
        <v/>
      </c>
      <c r="J105" s="36">
        <f>SUM($D104:J104)</f>
        <v/>
      </c>
      <c r="K105" s="36">
        <f>SUM($D104:K104)</f>
        <v/>
      </c>
      <c r="L105" s="36">
        <f>SUM($D104:L104)</f>
        <v/>
      </c>
      <c r="M105" s="36">
        <f>SUM($D104:M104)</f>
        <v/>
      </c>
      <c r="N105" s="36">
        <f>SUM($D104:N104)</f>
        <v/>
      </c>
    </row>
    <row r="106">
      <c r="B106" s="40" t="inlineStr">
        <is>
          <t>Аннуитет по году</t>
        </is>
      </c>
      <c r="C106" s="24" t="inlineStr">
        <is>
          <t>руб/м³</t>
        </is>
      </c>
      <c r="D106" s="47" t="n"/>
      <c r="E106" s="47">
        <f>SUM($D104:E104)/SUM($E$6:E$6)/(SUM($E91:E91)/E$4)</f>
        <v/>
      </c>
      <c r="F106" s="47">
        <f>SUM($D104:F104)/SUM($E$6:F$6)/(SUM($E91:F91)/F$4)</f>
        <v/>
      </c>
      <c r="G106" s="47">
        <f>SUM($D104:G104)/SUM($E$6:G$6)/(SUM($E91:G91)/G$4)</f>
        <v/>
      </c>
      <c r="H106" s="47">
        <f>SUM($D104:H104)/SUM($E$6:H$6)/(SUM($E91:H91)/H$4)</f>
        <v/>
      </c>
      <c r="I106" s="47">
        <f>SUM($D104:I104)/SUM($E$6:I$6)/(SUM($E91:I91)/I$4)</f>
        <v/>
      </c>
      <c r="J106" s="47">
        <f>SUM($D104:J104)/SUM($E$6:J$6)/(SUM($E91:J91)/J$4)</f>
        <v/>
      </c>
      <c r="K106" s="47">
        <f>SUM($D104:K104)/SUM($E$6:K$6)/(SUM($E91:K91)/K$4)</f>
        <v/>
      </c>
      <c r="L106" s="47">
        <f>SUM($D104:L104)/SUM($E$6:L$6)/(SUM($E91:L91)/L$4)</f>
        <v/>
      </c>
      <c r="M106" s="47">
        <f>SUM($D104:M104)/SUM($E$6:M$6)/(SUM($E91:M91)/M$4)</f>
        <v/>
      </c>
      <c r="N106" s="47">
        <f>SUM($D104:N104)/SUM($E$6:N$6)/(SUM($E91:N91)/N$4)</f>
        <v/>
      </c>
    </row>
    <row r="108">
      <c r="B108" s="5">
        <f>"Вариант 6:  "&amp;'Ввод данных'!I7</f>
        <v/>
      </c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B109" s="22" t="inlineStr">
        <is>
          <t>КТГ</t>
        </is>
      </c>
      <c r="C109" s="24" t="inlineStr">
        <is>
          <t>коэф.</t>
        </is>
      </c>
      <c r="D109" s="39" t="n"/>
      <c r="E109" s="39">
        <f>'Ввод данных'!I19*(1-'Ввод данных'!I20)^(E$4-1)</f>
        <v/>
      </c>
      <c r="F109" s="39">
        <f>'Ввод данных'!I19*(1-'Ввод данных'!I20)^(F$4-1)</f>
        <v/>
      </c>
      <c r="G109" s="39">
        <f>'Ввод данных'!I19*(1-'Ввод данных'!I20)^(G$4-1)</f>
        <v/>
      </c>
      <c r="H109" s="39">
        <f>'Ввод данных'!I19*(1-'Ввод данных'!I20)^(H$4-1)</f>
        <v/>
      </c>
      <c r="I109" s="39">
        <f>'Ввод данных'!I19*(1-'Ввод данных'!I20)^(I$4-1)</f>
        <v/>
      </c>
      <c r="J109" s="39">
        <f>'Ввод данных'!I19*(1-'Ввод данных'!I20)^(J$4-1)</f>
        <v/>
      </c>
      <c r="K109" s="39">
        <f>'Ввод данных'!I19*(1-'Ввод данных'!I20)^(K$4-1)</f>
        <v/>
      </c>
      <c r="L109" s="39">
        <f>'Ввод данных'!I19*(1-'Ввод данных'!I20)^(L$4-1)</f>
        <v/>
      </c>
      <c r="M109" s="39">
        <f>'Ввод данных'!I19*(1-'Ввод данных'!I20)^(M$4-1)</f>
        <v/>
      </c>
      <c r="N109" s="39">
        <f>'Ввод данных'!I19*(1-'Ввод данных'!I20)^(N$4-1)</f>
        <v/>
      </c>
    </row>
    <row r="110">
      <c r="B110" s="22" t="inlineStr">
        <is>
          <t>Эффективное время</t>
        </is>
      </c>
      <c r="C110" s="24" t="inlineStr">
        <is>
          <t>час/год</t>
        </is>
      </c>
      <c r="D110" s="36" t="n"/>
      <c r="E110" s="36">
        <f>'Параметры'!C26*E109*(1-'Ввод данных'!I21/(60*'Параметры'!C33))</f>
        <v/>
      </c>
      <c r="F110" s="36">
        <f>'Параметры'!C26*F109*(1-'Ввод данных'!I21/(60*'Параметры'!C33))</f>
        <v/>
      </c>
      <c r="G110" s="36">
        <f>'Параметры'!C26*G109*(1-'Ввод данных'!I21/(60*'Параметры'!C33))</f>
        <v/>
      </c>
      <c r="H110" s="36">
        <f>'Параметры'!C26*H109*(1-'Ввод данных'!I21/(60*'Параметры'!C33))</f>
        <v/>
      </c>
      <c r="I110" s="36">
        <f>'Параметры'!C26*I109*(1-'Ввод данных'!I21/(60*'Параметры'!C33))</f>
        <v/>
      </c>
      <c r="J110" s="36">
        <f>'Параметры'!C26*J109*(1-'Ввод данных'!I21/(60*'Параметры'!C33))</f>
        <v/>
      </c>
      <c r="K110" s="36">
        <f>'Параметры'!C26*K109*(1-'Ввод данных'!I21/(60*'Параметры'!C33))</f>
        <v/>
      </c>
      <c r="L110" s="36">
        <f>'Параметры'!C26*L109*(1-'Ввод данных'!I21/(60*'Параметры'!C33))</f>
        <v/>
      </c>
      <c r="M110" s="36">
        <f>'Параметры'!C26*M109*(1-'Ввод данных'!I21/(60*'Параметры'!C33))</f>
        <v/>
      </c>
      <c r="N110" s="36">
        <f>'Параметры'!C26*N109*(1-'Ввод данных'!I21/(60*'Параметры'!C33))</f>
        <v/>
      </c>
    </row>
    <row r="111">
      <c r="B111" s="22" t="inlineStr">
        <is>
          <t>Производительность</t>
        </is>
      </c>
      <c r="C111" s="24" t="inlineStr">
        <is>
          <t>тыс.м³</t>
        </is>
      </c>
      <c r="D111" s="36" t="n"/>
      <c r="E111" s="36">
        <f>'Производительность'!I10*E110/1000</f>
        <v/>
      </c>
      <c r="F111" s="36">
        <f>'Производительность'!I10*F110/1000</f>
        <v/>
      </c>
      <c r="G111" s="36">
        <f>'Производительность'!I10*G110/1000</f>
        <v/>
      </c>
      <c r="H111" s="36">
        <f>'Производительность'!I10*H110/1000</f>
        <v/>
      </c>
      <c r="I111" s="36">
        <f>'Производительность'!I10*I110/1000</f>
        <v/>
      </c>
      <c r="J111" s="36">
        <f>'Производительность'!I10*J110/1000</f>
        <v/>
      </c>
      <c r="K111" s="36">
        <f>'Производительность'!I10*K110/1000</f>
        <v/>
      </c>
      <c r="L111" s="36">
        <f>'Производительность'!I10*L110/1000</f>
        <v/>
      </c>
      <c r="M111" s="36">
        <f>'Производительность'!I10*M110/1000</f>
        <v/>
      </c>
      <c r="N111" s="36">
        <f>'Производительность'!I10*N110/1000</f>
        <v/>
      </c>
    </row>
    <row r="112">
      <c r="B112" s="22" t="inlineStr">
        <is>
          <t>Дизтопливо</t>
        </is>
      </c>
      <c r="C112" s="24" t="inlineStr">
        <is>
          <t>тыс.руб</t>
        </is>
      </c>
      <c r="D112" s="36" t="n"/>
      <c r="E112" s="36">
        <f>E110*'Ввод данных'!I23*'Параметры'!C10*(1+'Параметры'!C14)^(E$4-1)/1000</f>
        <v/>
      </c>
      <c r="F112" s="36">
        <f>F110*'Ввод данных'!I23*'Параметры'!C10*(1+'Параметры'!C14)^(F$4-1)/1000</f>
        <v/>
      </c>
      <c r="G112" s="36">
        <f>G110*'Ввод данных'!I23*'Параметры'!C10*(1+'Параметры'!C14)^(G$4-1)/1000</f>
        <v/>
      </c>
      <c r="H112" s="36">
        <f>H110*'Ввод данных'!I23*'Параметры'!C10*(1+'Параметры'!C14)^(H$4-1)/1000</f>
        <v/>
      </c>
      <c r="I112" s="36">
        <f>I110*'Ввод данных'!I23*'Параметры'!C10*(1+'Параметры'!C14)^(I$4-1)/1000</f>
        <v/>
      </c>
      <c r="J112" s="36">
        <f>J110*'Ввод данных'!I23*'Параметры'!C10*(1+'Параметры'!C14)^(J$4-1)/1000</f>
        <v/>
      </c>
      <c r="K112" s="36">
        <f>K110*'Ввод данных'!I23*'Параметры'!C10*(1+'Параметры'!C14)^(K$4-1)/1000</f>
        <v/>
      </c>
      <c r="L112" s="36">
        <f>L110*'Ввод данных'!I23*'Параметры'!C10*(1+'Параметры'!C14)^(L$4-1)/1000</f>
        <v/>
      </c>
      <c r="M112" s="36">
        <f>M110*'Ввод данных'!I23*'Параметры'!C10*(1+'Параметры'!C14)^(M$4-1)/1000</f>
        <v/>
      </c>
      <c r="N112" s="36">
        <f>N110*'Ввод данных'!I23*'Параметры'!C10*(1+'Параметры'!C14)^(N$4-1)/1000</f>
        <v/>
      </c>
    </row>
    <row r="113">
      <c r="B113" s="22" t="inlineStr">
        <is>
          <t>ТОиР и сервис (плановое)</t>
        </is>
      </c>
      <c r="C113" s="24" t="inlineStr">
        <is>
          <t>тыс.руб</t>
        </is>
      </c>
      <c r="D113" s="36" t="n"/>
      <c r="E113" s="36">
        <f>'Ввод данных'!I25*(1+'Параметры'!C15)^(E$4-1)</f>
        <v/>
      </c>
      <c r="F113" s="36">
        <f>'Ввод данных'!I25*(1+'Параметры'!C15)^(F$4-1)</f>
        <v/>
      </c>
      <c r="G113" s="36">
        <f>'Ввод данных'!I25*(1+'Параметры'!C15)^(G$4-1)</f>
        <v/>
      </c>
      <c r="H113" s="36">
        <f>'Ввод данных'!I25*(1+'Параметры'!C15)^(H$4-1)</f>
        <v/>
      </c>
      <c r="I113" s="36">
        <f>'Ввод данных'!I25*(1+'Параметры'!C15)^(I$4-1)</f>
        <v/>
      </c>
      <c r="J113" s="36">
        <f>'Ввод данных'!I25*(1+'Параметры'!C15)^(J$4-1)</f>
        <v/>
      </c>
      <c r="K113" s="36">
        <f>'Ввод данных'!I25*(1+'Параметры'!C15)^(K$4-1)</f>
        <v/>
      </c>
      <c r="L113" s="36">
        <f>'Ввод данных'!I25*(1+'Параметры'!C15)^(L$4-1)</f>
        <v/>
      </c>
      <c r="M113" s="36">
        <f>'Ввод данных'!I25*(1+'Параметры'!C15)^(M$4-1)</f>
        <v/>
      </c>
      <c r="N113" s="36">
        <f>'Ввод данных'!I25*(1+'Параметры'!C15)^(N$4-1)</f>
        <v/>
      </c>
    </row>
    <row r="114">
      <c r="B114" s="22" t="inlineStr">
        <is>
          <t>Капитальные ремонты</t>
        </is>
      </c>
      <c r="C114" s="24" t="inlineStr">
        <is>
          <t>тыс.руб</t>
        </is>
      </c>
      <c r="D114" s="36" t="n"/>
      <c r="E114" s="36">
        <f>IF('Ввод данных'!I30&gt;0,IF(AND('Ввод данных'!I29&gt;0,E$4&gt;='Ввод данных'!I31,MOD(E$4-'Ввод данных'!I31,'Ввод данных'!I30)=0),'Ввод данных'!I29*(1+'Параметры'!C15)^(E$4-1),0),0)</f>
        <v/>
      </c>
      <c r="F114" s="36">
        <f>IF('Ввод данных'!I30&gt;0,IF(AND('Ввод данных'!I29&gt;0,F$4&gt;='Ввод данных'!I31,MOD(F$4-'Ввод данных'!I31,'Ввод данных'!I30)=0),'Ввод данных'!I29*(1+'Параметры'!C15)^(F$4-1),0),0)</f>
        <v/>
      </c>
      <c r="G114" s="36">
        <f>IF('Ввод данных'!I30&gt;0,IF(AND('Ввод данных'!I29&gt;0,G$4&gt;='Ввод данных'!I31,MOD(G$4-'Ввод данных'!I31,'Ввод данных'!I30)=0),'Ввод данных'!I29*(1+'Параметры'!C15)^(G$4-1),0),0)</f>
        <v/>
      </c>
      <c r="H114" s="36">
        <f>IF('Ввод данных'!I30&gt;0,IF(AND('Ввод данных'!I29&gt;0,H$4&gt;='Ввод данных'!I31,MOD(H$4-'Ввод данных'!I31,'Ввод данных'!I30)=0),'Ввод данных'!I29*(1+'Параметры'!C15)^(H$4-1),0),0)</f>
        <v/>
      </c>
      <c r="I114" s="36">
        <f>IF('Ввод данных'!I30&gt;0,IF(AND('Ввод данных'!I29&gt;0,I$4&gt;='Ввод данных'!I31,MOD(I$4-'Ввод данных'!I31,'Ввод данных'!I30)=0),'Ввод данных'!I29*(1+'Параметры'!C15)^(I$4-1),0),0)</f>
        <v/>
      </c>
      <c r="J114" s="36">
        <f>IF('Ввод данных'!I30&gt;0,IF(AND('Ввод данных'!I29&gt;0,J$4&gt;='Ввод данных'!I31,MOD(J$4-'Ввод данных'!I31,'Ввод данных'!I30)=0),'Ввод данных'!I29*(1+'Параметры'!C15)^(J$4-1),0),0)</f>
        <v/>
      </c>
      <c r="K114" s="36">
        <f>IF('Ввод данных'!I30&gt;0,IF(AND('Ввод данных'!I29&gt;0,K$4&gt;='Ввод данных'!I31,MOD(K$4-'Ввод данных'!I31,'Ввод данных'!I30)=0),'Ввод данных'!I29*(1+'Параметры'!C15)^(K$4-1),0),0)</f>
        <v/>
      </c>
      <c r="L114" s="36">
        <f>IF('Ввод данных'!I30&gt;0,IF(AND('Ввод данных'!I29&gt;0,L$4&gt;='Ввод данных'!I31,MOD(L$4-'Ввод данных'!I31,'Ввод данных'!I30)=0),'Ввод данных'!I29*(1+'Параметры'!C15)^(L$4-1),0),0)</f>
        <v/>
      </c>
      <c r="M114" s="36">
        <f>IF('Ввод данных'!I30&gt;0,IF(AND('Ввод данных'!I29&gt;0,M$4&gt;='Ввод данных'!I31,MOD(M$4-'Ввод данных'!I31,'Ввод данных'!I30)=0),'Ввод данных'!I29*(1+'Параметры'!C15)^(M$4-1),0),0)</f>
        <v/>
      </c>
      <c r="N114" s="36">
        <f>IF('Ввод данных'!I30&gt;0,IF(AND('Ввод данных'!I29&gt;0,N$4&gt;='Ввод данных'!I31,MOD(N$4-'Ввод данных'!I31,'Ввод данных'!I30)=0),'Ввод данных'!I29*(1+'Параметры'!C15)^(N$4-1),0),0)</f>
        <v/>
      </c>
    </row>
    <row r="115">
      <c r="B115" s="22" t="inlineStr">
        <is>
          <t>Расходники на ковш</t>
        </is>
      </c>
      <c r="C115" s="24" t="inlineStr">
        <is>
          <t>тыс.руб</t>
        </is>
      </c>
      <c r="D115" s="36" t="n"/>
      <c r="E115" s="36">
        <f>'Ввод данных'!I26*E111*(1+'Параметры'!C15)^(E$4-1)</f>
        <v/>
      </c>
      <c r="F115" s="36">
        <f>'Ввод данных'!I26*F111*(1+'Параметры'!C15)^(F$4-1)</f>
        <v/>
      </c>
      <c r="G115" s="36">
        <f>'Ввод данных'!I26*G111*(1+'Параметры'!C15)^(G$4-1)</f>
        <v/>
      </c>
      <c r="H115" s="36">
        <f>'Ввод данных'!I26*H111*(1+'Параметры'!C15)^(H$4-1)</f>
        <v/>
      </c>
      <c r="I115" s="36">
        <f>'Ввод данных'!I26*I111*(1+'Параметры'!C15)^(I$4-1)</f>
        <v/>
      </c>
      <c r="J115" s="36">
        <f>'Ввод данных'!I26*J111*(1+'Параметры'!C15)^(J$4-1)</f>
        <v/>
      </c>
      <c r="K115" s="36">
        <f>'Ввод данных'!I26*K111*(1+'Параметры'!C15)^(K$4-1)</f>
        <v/>
      </c>
      <c r="L115" s="36">
        <f>'Ввод данных'!I26*L111*(1+'Параметры'!C15)^(L$4-1)</f>
        <v/>
      </c>
      <c r="M115" s="36">
        <f>'Ввод данных'!I26*M111*(1+'Параметры'!C15)^(M$4-1)</f>
        <v/>
      </c>
      <c r="N115" s="36">
        <f>'Ввод данных'!I26*N111*(1+'Параметры'!C15)^(N$4-1)</f>
        <v/>
      </c>
    </row>
    <row r="116">
      <c r="B116" s="22" t="inlineStr">
        <is>
          <t>Персонал</t>
        </is>
      </c>
      <c r="C116" s="24" t="inlineStr">
        <is>
          <t>тыс.руб</t>
        </is>
      </c>
      <c r="D116" s="36" t="n"/>
      <c r="E116" s="36">
        <f>'Ввод данных'!I27*(1+'Параметры'!C16)^(E$4-1)</f>
        <v/>
      </c>
      <c r="F116" s="36">
        <f>'Ввод данных'!I27*(1+'Параметры'!C16)^(F$4-1)</f>
        <v/>
      </c>
      <c r="G116" s="36">
        <f>'Ввод данных'!I27*(1+'Параметры'!C16)^(G$4-1)</f>
        <v/>
      </c>
      <c r="H116" s="36">
        <f>'Ввод данных'!I27*(1+'Параметры'!C16)^(H$4-1)</f>
        <v/>
      </c>
      <c r="I116" s="36">
        <f>'Ввод данных'!I27*(1+'Параметры'!C16)^(I$4-1)</f>
        <v/>
      </c>
      <c r="J116" s="36">
        <f>'Ввод данных'!I27*(1+'Параметры'!C16)^(J$4-1)</f>
        <v/>
      </c>
      <c r="K116" s="36">
        <f>'Ввод данных'!I27*(1+'Параметры'!C16)^(K$4-1)</f>
        <v/>
      </c>
      <c r="L116" s="36">
        <f>'Ввод данных'!I27*(1+'Параметры'!C16)^(L$4-1)</f>
        <v/>
      </c>
      <c r="M116" s="36">
        <f>'Ввод данных'!I27*(1+'Параметры'!C16)^(M$4-1)</f>
        <v/>
      </c>
      <c r="N116" s="36">
        <f>'Ввод данных'!I27*(1+'Параметры'!C16)^(N$4-1)</f>
        <v/>
      </c>
    </row>
    <row r="117">
      <c r="B117" s="22" t="inlineStr">
        <is>
          <t>Итого денежные затраты</t>
        </is>
      </c>
      <c r="C117" s="24" t="inlineStr">
        <is>
          <t>тыс.руб</t>
        </is>
      </c>
      <c r="D117" s="36" t="n"/>
      <c r="E117" s="46">
        <f>E112+E113+E114+E115+E116</f>
        <v/>
      </c>
      <c r="F117" s="46">
        <f>F112+F113+F114+F115+F116</f>
        <v/>
      </c>
      <c r="G117" s="46">
        <f>G112+G113+G114+G115+G116</f>
        <v/>
      </c>
      <c r="H117" s="46">
        <f>H112+H113+H114+H115+H116</f>
        <v/>
      </c>
      <c r="I117" s="46">
        <f>I112+I113+I114+I115+I116</f>
        <v/>
      </c>
      <c r="J117" s="46">
        <f>J112+J113+J114+J115+J116</f>
        <v/>
      </c>
      <c r="K117" s="46">
        <f>K112+K113+K114+K115+K116</f>
        <v/>
      </c>
      <c r="L117" s="46">
        <f>L112+L113+L114+L115+L116</f>
        <v/>
      </c>
      <c r="M117" s="46">
        <f>M112+M113+M114+M115+M116</f>
        <v/>
      </c>
      <c r="N117" s="46">
        <f>N112+N113+N114+N115+N116</f>
        <v/>
      </c>
    </row>
    <row r="118">
      <c r="B118" s="22" t="inlineStr">
        <is>
          <t>Амортизация (НУ)</t>
        </is>
      </c>
      <c r="C118" s="24" t="inlineStr">
        <is>
          <t>тыс.руб</t>
        </is>
      </c>
      <c r="D118" s="36" t="n"/>
      <c r="E118" s="36">
        <f>IF(E$4&lt;=INT('Параметры'!C9),'Производительность'!I5/'Параметры'!C9,IF(E$4=INT('Параметры'!C9)+1,'Производительность'!I5*('Параметры'!C9-INT('Параметры'!C9))/'Параметры'!C9,0))</f>
        <v/>
      </c>
      <c r="F118" s="36">
        <f>IF(F$4&lt;=INT('Параметры'!C9),'Производительность'!I5/'Параметры'!C9,IF(F$4=INT('Параметры'!C9)+1,'Производительность'!I5*('Параметры'!C9-INT('Параметры'!C9))/'Параметры'!C9,0))</f>
        <v/>
      </c>
      <c r="G118" s="36">
        <f>IF(G$4&lt;=INT('Параметры'!C9),'Производительность'!I5/'Параметры'!C9,IF(G$4=INT('Параметры'!C9)+1,'Производительность'!I5*('Параметры'!C9-INT('Параметры'!C9))/'Параметры'!C9,0))</f>
        <v/>
      </c>
      <c r="H118" s="36">
        <f>IF(H$4&lt;=INT('Параметры'!C9),'Производительность'!I5/'Параметры'!C9,IF(H$4=INT('Параметры'!C9)+1,'Производительность'!I5*('Параметры'!C9-INT('Параметры'!C9))/'Параметры'!C9,0))</f>
        <v/>
      </c>
      <c r="I118" s="36">
        <f>IF(I$4&lt;=INT('Параметры'!C9),'Производительность'!I5/'Параметры'!C9,IF(I$4=INT('Параметры'!C9)+1,'Производительность'!I5*('Параметры'!C9-INT('Параметры'!C9))/'Параметры'!C9,0))</f>
        <v/>
      </c>
      <c r="J118" s="36">
        <f>IF(J$4&lt;=INT('Параметры'!C9),'Производительность'!I5/'Параметры'!C9,IF(J$4=INT('Параметры'!C9)+1,'Производительность'!I5*('Параметры'!C9-INT('Параметры'!C9))/'Параметры'!C9,0))</f>
        <v/>
      </c>
      <c r="K118" s="36">
        <f>IF(K$4&lt;=INT('Параметры'!C9),'Производительность'!I5/'Параметры'!C9,IF(K$4=INT('Параметры'!C9)+1,'Производительность'!I5*('Параметры'!C9-INT('Параметры'!C9))/'Параметры'!C9,0))</f>
        <v/>
      </c>
      <c r="L118" s="36">
        <f>IF(L$4&lt;=INT('Параметры'!C9),'Производительность'!I5/'Параметры'!C9,IF(L$4=INT('Параметры'!C9)+1,'Производительность'!I5*('Параметры'!C9-INT('Параметры'!C9))/'Параметры'!C9,0))</f>
        <v/>
      </c>
      <c r="M118" s="36">
        <f>IF(M$4&lt;=INT('Параметры'!C9),'Производительность'!I5/'Параметры'!C9,IF(M$4=INT('Параметры'!C9)+1,'Производительность'!I5*('Параметры'!C9-INT('Параметры'!C9))/'Параметры'!C9,0))</f>
        <v/>
      </c>
      <c r="N118" s="36">
        <f>IF(N$4&lt;=INT('Параметры'!C9),'Производительность'!I5/'Параметры'!C9,IF(N$4=INT('Параметры'!C9)+1,'Производительность'!I5*('Параметры'!C9-INT('Параметры'!C9))/'Параметры'!C9,0))</f>
        <v/>
      </c>
    </row>
    <row r="119">
      <c r="B119" s="22" t="inlineStr">
        <is>
          <t>Налогооблагаемая база</t>
        </is>
      </c>
      <c r="C119" s="24" t="inlineStr">
        <is>
          <t>тыс.руб</t>
        </is>
      </c>
      <c r="D119" s="36" t="n"/>
      <c r="E119" s="36">
        <f>E117+E118</f>
        <v/>
      </c>
      <c r="F119" s="36">
        <f>F117+F118</f>
        <v/>
      </c>
      <c r="G119" s="36">
        <f>G117+G118</f>
        <v/>
      </c>
      <c r="H119" s="36">
        <f>H117+H118</f>
        <v/>
      </c>
      <c r="I119" s="36">
        <f>I117+I118</f>
        <v/>
      </c>
      <c r="J119" s="36">
        <f>J117+J118</f>
        <v/>
      </c>
      <c r="K119" s="36">
        <f>K117+K118</f>
        <v/>
      </c>
      <c r="L119" s="36">
        <f>L117+L118</f>
        <v/>
      </c>
      <c r="M119" s="36">
        <f>M117+M118</f>
        <v/>
      </c>
      <c r="N119" s="36">
        <f>N117+N118</f>
        <v/>
      </c>
    </row>
    <row r="120">
      <c r="B120" s="22" t="inlineStr">
        <is>
          <t>Налог на прибыль (щит)</t>
        </is>
      </c>
      <c r="C120" s="24" t="inlineStr">
        <is>
          <t>тыс.руб</t>
        </is>
      </c>
      <c r="D120" s="36" t="n"/>
      <c r="E120" s="36">
        <f>-E119*'Параметры'!C7</f>
        <v/>
      </c>
      <c r="F120" s="36">
        <f>-F119*'Параметры'!C7</f>
        <v/>
      </c>
      <c r="G120" s="36">
        <f>-G119*'Параметры'!C7</f>
        <v/>
      </c>
      <c r="H120" s="36">
        <f>-H119*'Параметры'!C7</f>
        <v/>
      </c>
      <c r="I120" s="36">
        <f>-I119*'Параметры'!C7</f>
        <v/>
      </c>
      <c r="J120" s="36">
        <f>-J119*'Параметры'!C7</f>
        <v/>
      </c>
      <c r="K120" s="36">
        <f>-K119*'Параметры'!C7</f>
        <v/>
      </c>
      <c r="L120" s="36">
        <f>-L119*'Параметры'!C7</f>
        <v/>
      </c>
      <c r="M120" s="36">
        <f>-M119*'Параметры'!C7</f>
        <v/>
      </c>
      <c r="N120" s="36">
        <f>-N119*'Параметры'!C7</f>
        <v/>
      </c>
    </row>
    <row r="121">
      <c r="B121" s="22" t="inlineStr">
        <is>
          <t>Операц. денежный поток</t>
        </is>
      </c>
      <c r="C121" s="24" t="inlineStr">
        <is>
          <t>тыс.руб</t>
        </is>
      </c>
      <c r="D121" s="36" t="n"/>
      <c r="E121" s="46">
        <f>E119+E120-E118</f>
        <v/>
      </c>
      <c r="F121" s="46">
        <f>F119+F120-F118</f>
        <v/>
      </c>
      <c r="G121" s="46">
        <f>G119+G120-G118</f>
        <v/>
      </c>
      <c r="H121" s="46">
        <f>H119+H120-H118</f>
        <v/>
      </c>
      <c r="I121" s="46">
        <f>I119+I120-I118</f>
        <v/>
      </c>
      <c r="J121" s="46">
        <f>J119+J120-J118</f>
        <v/>
      </c>
      <c r="K121" s="46">
        <f>K119+K120-K118</f>
        <v/>
      </c>
      <c r="L121" s="46">
        <f>L119+L120-L118</f>
        <v/>
      </c>
      <c r="M121" s="46">
        <f>M119+M120-M118</f>
        <v/>
      </c>
      <c r="N121" s="46">
        <f>N119+N120-N118</f>
        <v/>
      </c>
    </row>
    <row r="122">
      <c r="B122" s="22" t="inlineStr">
        <is>
          <t>Инвестиции / остаточная ст-ть</t>
        </is>
      </c>
      <c r="C122" s="24" t="inlineStr">
        <is>
          <t>тыс.руб</t>
        </is>
      </c>
      <c r="D122" s="36">
        <f>IF(D$4=0,'Производительность'!I5,IF(D$4='Параметры'!C8,-'Ввод данных'!I14*'Производительность'!I5,0))</f>
        <v/>
      </c>
      <c r="E122" s="36">
        <f>IF(E$4=0,'Производительность'!I5,IF(E$4='Параметры'!C8,-'Ввод данных'!I14*'Производительность'!I5,0))</f>
        <v/>
      </c>
      <c r="F122" s="36">
        <f>IF(F$4=0,'Производительность'!I5,IF(F$4='Параметры'!C8,-'Ввод данных'!I14*'Производительность'!I5,0))</f>
        <v/>
      </c>
      <c r="G122" s="36">
        <f>IF(G$4=0,'Производительность'!I5,IF(G$4='Параметры'!C8,-'Ввод данных'!I14*'Производительность'!I5,0))</f>
        <v/>
      </c>
      <c r="H122" s="36">
        <f>IF(H$4=0,'Производительность'!I5,IF(H$4='Параметры'!C8,-'Ввод данных'!I14*'Производительность'!I5,0))</f>
        <v/>
      </c>
      <c r="I122" s="36">
        <f>IF(I$4=0,'Производительность'!I5,IF(I$4='Параметры'!C8,-'Ввод данных'!I14*'Производительность'!I5,0))</f>
        <v/>
      </c>
      <c r="J122" s="36">
        <f>IF(J$4=0,'Производительность'!I5,IF(J$4='Параметры'!C8,-'Ввод данных'!I14*'Производительность'!I5,0))</f>
        <v/>
      </c>
      <c r="K122" s="36">
        <f>IF(K$4=0,'Производительность'!I5,IF(K$4='Параметры'!C8,-'Ввод данных'!I14*'Производительность'!I5,0))</f>
        <v/>
      </c>
      <c r="L122" s="36">
        <f>IF(L$4=0,'Производительность'!I5,IF(L$4='Параметры'!C8,-'Ввод данных'!I14*'Производительность'!I5,0))</f>
        <v/>
      </c>
      <c r="M122" s="36">
        <f>IF(M$4=0,'Производительность'!I5,IF(M$4='Параметры'!C8,-'Ввод данных'!I14*'Производительность'!I5,0))</f>
        <v/>
      </c>
      <c r="N122" s="36">
        <f>IF(N$4=0,'Производительность'!I5,IF(N$4='Параметры'!C8,-'Ввод данных'!I14*'Производительность'!I5,0))</f>
        <v/>
      </c>
    </row>
    <row r="123">
      <c r="B123" s="22" t="inlineStr">
        <is>
          <t>Чистый денежный поток</t>
        </is>
      </c>
      <c r="C123" s="24" t="inlineStr">
        <is>
          <t>тыс.руб</t>
        </is>
      </c>
      <c r="D123" s="46">
        <f>0+D122</f>
        <v/>
      </c>
      <c r="E123" s="46">
        <f>E121+E122</f>
        <v/>
      </c>
      <c r="F123" s="46">
        <f>F121+F122</f>
        <v/>
      </c>
      <c r="G123" s="46">
        <f>G121+G122</f>
        <v/>
      </c>
      <c r="H123" s="46">
        <f>H121+H122</f>
        <v/>
      </c>
      <c r="I123" s="46">
        <f>I121+I122</f>
        <v/>
      </c>
      <c r="J123" s="46">
        <f>J121+J122</f>
        <v/>
      </c>
      <c r="K123" s="46">
        <f>K121+K122</f>
        <v/>
      </c>
      <c r="L123" s="46">
        <f>L121+L122</f>
        <v/>
      </c>
      <c r="M123" s="46">
        <f>M121+M122</f>
        <v/>
      </c>
      <c r="N123" s="46">
        <f>N121+N122</f>
        <v/>
      </c>
    </row>
    <row r="124">
      <c r="B124" s="22" t="inlineStr">
        <is>
          <t>Дисконтированный поток</t>
        </is>
      </c>
      <c r="C124" s="24" t="inlineStr">
        <is>
          <t>тыс.руб</t>
        </is>
      </c>
      <c r="D124" s="36">
        <f>D123*D$6</f>
        <v/>
      </c>
      <c r="E124" s="36">
        <f>E123*E$6</f>
        <v/>
      </c>
      <c r="F124" s="36">
        <f>F123*F$6</f>
        <v/>
      </c>
      <c r="G124" s="36">
        <f>G123*G$6</f>
        <v/>
      </c>
      <c r="H124" s="36">
        <f>H123*H$6</f>
        <v/>
      </c>
      <c r="I124" s="36">
        <f>I123*I$6</f>
        <v/>
      </c>
      <c r="J124" s="36">
        <f>J123*J$6</f>
        <v/>
      </c>
      <c r="K124" s="36">
        <f>K123*K$6</f>
        <v/>
      </c>
      <c r="L124" s="36">
        <f>L123*L$6</f>
        <v/>
      </c>
      <c r="M124" s="36">
        <f>M123*M$6</f>
        <v/>
      </c>
      <c r="N124" s="36">
        <f>N123*N$6</f>
        <v/>
      </c>
    </row>
    <row r="125">
      <c r="B125" s="22" t="inlineStr">
        <is>
          <t>Кумул. дисконт. поток</t>
        </is>
      </c>
      <c r="C125" s="24" t="inlineStr">
        <is>
          <t>тыс.руб</t>
        </is>
      </c>
      <c r="D125" s="36">
        <f>SUM($D124:D124)</f>
        <v/>
      </c>
      <c r="E125" s="36">
        <f>SUM($D124:E124)</f>
        <v/>
      </c>
      <c r="F125" s="36">
        <f>SUM($D124:F124)</f>
        <v/>
      </c>
      <c r="G125" s="36">
        <f>SUM($D124:G124)</f>
        <v/>
      </c>
      <c r="H125" s="36">
        <f>SUM($D124:H124)</f>
        <v/>
      </c>
      <c r="I125" s="36">
        <f>SUM($D124:I124)</f>
        <v/>
      </c>
      <c r="J125" s="36">
        <f>SUM($D124:J124)</f>
        <v/>
      </c>
      <c r="K125" s="36">
        <f>SUM($D124:K124)</f>
        <v/>
      </c>
      <c r="L125" s="36">
        <f>SUM($D124:L124)</f>
        <v/>
      </c>
      <c r="M125" s="36">
        <f>SUM($D124:M124)</f>
        <v/>
      </c>
      <c r="N125" s="36">
        <f>SUM($D124:N124)</f>
        <v/>
      </c>
    </row>
    <row r="126">
      <c r="B126" s="40" t="inlineStr">
        <is>
          <t>Аннуитет по году</t>
        </is>
      </c>
      <c r="C126" s="24" t="inlineStr">
        <is>
          <t>руб/м³</t>
        </is>
      </c>
      <c r="D126" s="47" t="n"/>
      <c r="E126" s="47">
        <f>SUM($D124:E124)/SUM($E$6:E$6)/(SUM($E111:E111)/E$4)</f>
        <v/>
      </c>
      <c r="F126" s="47">
        <f>SUM($D124:F124)/SUM($E$6:F$6)/(SUM($E111:F111)/F$4)</f>
        <v/>
      </c>
      <c r="G126" s="47">
        <f>SUM($D124:G124)/SUM($E$6:G$6)/(SUM($E111:G111)/G$4)</f>
        <v/>
      </c>
      <c r="H126" s="47">
        <f>SUM($D124:H124)/SUM($E$6:H$6)/(SUM($E111:H111)/H$4)</f>
        <v/>
      </c>
      <c r="I126" s="47">
        <f>SUM($D124:I124)/SUM($E$6:I$6)/(SUM($E111:I111)/I$4)</f>
        <v/>
      </c>
      <c r="J126" s="47">
        <f>SUM($D124:J124)/SUM($E$6:J$6)/(SUM($E111:J111)/J$4)</f>
        <v/>
      </c>
      <c r="K126" s="47">
        <f>SUM($D124:K124)/SUM($E$6:K$6)/(SUM($E111:K111)/K$4)</f>
        <v/>
      </c>
      <c r="L126" s="47">
        <f>SUM($D124:L124)/SUM($E$6:L$6)/(SUM($E111:L111)/L$4)</f>
        <v/>
      </c>
      <c r="M126" s="47">
        <f>SUM($D124:M124)/SUM($E$6:M$6)/(SUM($E111:M111)/M$4)</f>
        <v/>
      </c>
      <c r="N126" s="47">
        <f>SUM($D124:N124)/SUM($E$6:N$6)/(SUM($E111:N111)/N$4)</f>
        <v/>
      </c>
    </row>
  </sheetData>
  <mergeCells count="8">
    <mergeCell ref="B108:N108"/>
    <mergeCell ref="B1:N1"/>
    <mergeCell ref="B8:N8"/>
    <mergeCell ref="B88:N88"/>
    <mergeCell ref="B68:N68"/>
    <mergeCell ref="B48:N48"/>
    <mergeCell ref="B2:N2"/>
    <mergeCell ref="B28:N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РАСЧЁТ АННУИТЕТА (СВОД)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Приведённые NPV затрат из погодового движка → аннуитет руб/м³ и руб/т.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Статья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5" t="inlineStr">
        <is>
          <t>ПРИВЕДЁННЫЕ ЗАТРАТЫ ЗА ЖИЗНЕННЫЙ ЦИКЛ (NPV, тыс.руб)</t>
        </is>
      </c>
      <c r="C5" s="4" t="n"/>
      <c r="D5" s="4" t="n"/>
      <c r="E5" s="4" t="n"/>
      <c r="F5" s="4" t="n"/>
      <c r="G5" s="4" t="n"/>
      <c r="H5" s="4" t="n"/>
      <c r="I5" s="4" t="n"/>
    </row>
    <row r="6">
      <c r="B6" s="22" t="inlineStr">
        <is>
          <t>NPV дизтоплива</t>
        </is>
      </c>
      <c r="C6" s="24" t="inlineStr">
        <is>
          <t>тыс.руб</t>
        </is>
      </c>
      <c r="D6" s="36">
        <f>SUMPRODUCT('Денежный поток'!E12:N12,'Денежный поток'!$E$6:$N$6)</f>
        <v/>
      </c>
      <c r="E6" s="36">
        <f>SUMPRODUCT('Денежный поток'!E32:N32,'Денежный поток'!$E$6:$N$6)</f>
        <v/>
      </c>
      <c r="F6" s="36">
        <f>SUMPRODUCT('Денежный поток'!E52:N52,'Денежный поток'!$E$6:$N$6)</f>
        <v/>
      </c>
      <c r="G6" s="36">
        <f>SUMPRODUCT('Денежный поток'!E72:N72,'Денежный поток'!$E$6:$N$6)</f>
        <v/>
      </c>
      <c r="H6" s="36">
        <f>SUMPRODUCT('Денежный поток'!E92:N92,'Денежный поток'!$E$6:$N$6)</f>
        <v/>
      </c>
      <c r="I6" s="36">
        <f>SUMPRODUCT('Денежный поток'!E112:N112,'Денежный поток'!$E$6:$N$6)</f>
        <v/>
      </c>
    </row>
    <row r="7">
      <c r="B7" s="22" t="inlineStr">
        <is>
          <t>NPV ТОиР + капремонты</t>
        </is>
      </c>
      <c r="C7" s="24" t="inlineStr">
        <is>
          <t>тыс.руб</t>
        </is>
      </c>
      <c r="D7" s="36">
        <f>SUMPRODUCT('Денежный поток'!E13:N13,'Денежный поток'!$E$6:$N$6)+SUMPRODUCT('Денежный поток'!E14:N14,'Денежный поток'!$E$6:$N$6)</f>
        <v/>
      </c>
      <c r="E7" s="36">
        <f>SUMPRODUCT('Денежный поток'!E33:N33,'Денежный поток'!$E$6:$N$6)+SUMPRODUCT('Денежный поток'!E34:N34,'Денежный поток'!$E$6:$N$6)</f>
        <v/>
      </c>
      <c r="F7" s="36">
        <f>SUMPRODUCT('Денежный поток'!E53:N53,'Денежный поток'!$E$6:$N$6)+SUMPRODUCT('Денежный поток'!E54:N54,'Денежный поток'!$E$6:$N$6)</f>
        <v/>
      </c>
      <c r="G7" s="36">
        <f>SUMPRODUCT('Денежный поток'!E73:N73,'Денежный поток'!$E$6:$N$6)+SUMPRODUCT('Денежный поток'!E74:N74,'Денежный поток'!$E$6:$N$6)</f>
        <v/>
      </c>
      <c r="H7" s="36">
        <f>SUMPRODUCT('Денежный поток'!E93:N93,'Денежный поток'!$E$6:$N$6)+SUMPRODUCT('Денежный поток'!E94:N94,'Денежный поток'!$E$6:$N$6)</f>
        <v/>
      </c>
      <c r="I7" s="36">
        <f>SUMPRODUCT('Денежный поток'!E113:N113,'Денежный поток'!$E$6:$N$6)+SUMPRODUCT('Денежный поток'!E114:N114,'Денежный поток'!$E$6:$N$6)</f>
        <v/>
      </c>
    </row>
    <row r="8">
      <c r="B8" s="22" t="inlineStr">
        <is>
          <t>NPV расходников на ковш</t>
        </is>
      </c>
      <c r="C8" s="24" t="inlineStr">
        <is>
          <t>тыс.руб</t>
        </is>
      </c>
      <c r="D8" s="36">
        <f>SUMPRODUCT('Денежный поток'!E15:N15,'Денежный поток'!$E$6:$N$6)</f>
        <v/>
      </c>
      <c r="E8" s="36">
        <f>SUMPRODUCT('Денежный поток'!E35:N35,'Денежный поток'!$E$6:$N$6)</f>
        <v/>
      </c>
      <c r="F8" s="36">
        <f>SUMPRODUCT('Денежный поток'!E55:N55,'Денежный поток'!$E$6:$N$6)</f>
        <v/>
      </c>
      <c r="G8" s="36">
        <f>SUMPRODUCT('Денежный поток'!E75:N75,'Денежный поток'!$E$6:$N$6)</f>
        <v/>
      </c>
      <c r="H8" s="36">
        <f>SUMPRODUCT('Денежный поток'!E95:N95,'Денежный поток'!$E$6:$N$6)</f>
        <v/>
      </c>
      <c r="I8" s="36">
        <f>SUMPRODUCT('Денежный поток'!E115:N115,'Денежный поток'!$E$6:$N$6)</f>
        <v/>
      </c>
    </row>
    <row r="9">
      <c r="B9" s="22" t="inlineStr">
        <is>
          <t>NPV персонала</t>
        </is>
      </c>
      <c r="C9" s="24" t="inlineStr">
        <is>
          <t>тыс.руб</t>
        </is>
      </c>
      <c r="D9" s="36">
        <f>SUMPRODUCT('Денежный поток'!E16:N16,'Денежный поток'!$E$6:$N$6)</f>
        <v/>
      </c>
      <c r="E9" s="36">
        <f>SUMPRODUCT('Денежный поток'!E36:N36,'Денежный поток'!$E$6:$N$6)</f>
        <v/>
      </c>
      <c r="F9" s="36">
        <f>SUMPRODUCT('Денежный поток'!E56:N56,'Денежный поток'!$E$6:$N$6)</f>
        <v/>
      </c>
      <c r="G9" s="36">
        <f>SUMPRODUCT('Денежный поток'!E76:N76,'Денежный поток'!$E$6:$N$6)</f>
        <v/>
      </c>
      <c r="H9" s="36">
        <f>SUMPRODUCT('Денежный поток'!E96:N96,'Денежный поток'!$E$6:$N$6)</f>
        <v/>
      </c>
      <c r="I9" s="36">
        <f>SUMPRODUCT('Денежный поток'!E116:N116,'Денежный поток'!$E$6:$N$6)</f>
        <v/>
      </c>
    </row>
    <row r="10">
      <c r="B10" s="22" t="inlineStr">
        <is>
          <t>NPV налога (щит)</t>
        </is>
      </c>
      <c r="C10" s="24" t="inlineStr">
        <is>
          <t>тыс.руб</t>
        </is>
      </c>
      <c r="D10" s="36">
        <f>SUMPRODUCT('Денежный поток'!E20:N20,'Денежный поток'!$E$6:$N$6)</f>
        <v/>
      </c>
      <c r="E10" s="36">
        <f>SUMPRODUCT('Денежный поток'!E40:N40,'Денежный поток'!$E$6:$N$6)</f>
        <v/>
      </c>
      <c r="F10" s="36">
        <f>SUMPRODUCT('Денежный поток'!E60:N60,'Денежный поток'!$E$6:$N$6)</f>
        <v/>
      </c>
      <c r="G10" s="36">
        <f>SUMPRODUCT('Денежный поток'!E80:N80,'Денежный поток'!$E$6:$N$6)</f>
        <v/>
      </c>
      <c r="H10" s="36">
        <f>SUMPRODUCT('Денежный поток'!E100:N100,'Денежный поток'!$E$6:$N$6)</f>
        <v/>
      </c>
      <c r="I10" s="36">
        <f>SUMPRODUCT('Денежный поток'!E120:N120,'Денежный поток'!$E$6:$N$6)</f>
        <v/>
      </c>
    </row>
    <row r="11">
      <c r="B11" s="22" t="inlineStr">
        <is>
          <t>NPV инвестиций (за вычетом остат.)</t>
        </is>
      </c>
      <c r="C11" s="24" t="inlineStr">
        <is>
          <t>тыс.руб</t>
        </is>
      </c>
      <c r="D11" s="36">
        <f>'Производительность'!D5*(1-'Ввод данных'!D14*'Денежный поток'!$N$6)</f>
        <v/>
      </c>
      <c r="E11" s="36">
        <f>'Производительность'!E5*(1-'Ввод данных'!E14*'Денежный поток'!$N$6)</f>
        <v/>
      </c>
      <c r="F11" s="36">
        <f>'Производительность'!F5*(1-'Ввод данных'!F14*'Денежный поток'!$N$6)</f>
        <v/>
      </c>
      <c r="G11" s="36">
        <f>'Производительность'!G5*(1-'Ввод данных'!G14*'Денежный поток'!$N$6)</f>
        <v/>
      </c>
      <c r="H11" s="36">
        <f>'Производительность'!H5*(1-'Ввод данных'!H14*'Денежный поток'!$N$6)</f>
        <v/>
      </c>
      <c r="I11" s="36">
        <f>'Производительность'!I5*(1-'Ввод данных'!I14*'Денежный поток'!$N$6)</f>
        <v/>
      </c>
    </row>
    <row r="12">
      <c r="B12" s="35" t="inlineStr">
        <is>
          <t>NPV операционных затрат</t>
        </is>
      </c>
      <c r="C12" s="24" t="inlineStr">
        <is>
          <t>тыс.руб</t>
        </is>
      </c>
      <c r="D12" s="46">
        <f>D6+D7+D8+D9+D10</f>
        <v/>
      </c>
      <c r="E12" s="46">
        <f>E6+E7+E8+E9+E10</f>
        <v/>
      </c>
      <c r="F12" s="46">
        <f>F6+F7+F8+F9+F10</f>
        <v/>
      </c>
      <c r="G12" s="46">
        <f>G6+G7+G8+G9+G10</f>
        <v/>
      </c>
      <c r="H12" s="46">
        <f>H6+H7+H8+H9+H10</f>
        <v/>
      </c>
      <c r="I12" s="46">
        <f>I6+I7+I8+I9+I10</f>
        <v/>
      </c>
    </row>
    <row r="13">
      <c r="B13" s="40" t="inlineStr">
        <is>
          <t>NPV полной стоимости владения</t>
        </is>
      </c>
      <c r="C13" s="24" t="inlineStr">
        <is>
          <t>тыс.руб</t>
        </is>
      </c>
      <c r="D13" s="41">
        <f>D11+D12</f>
        <v/>
      </c>
      <c r="E13" s="41">
        <f>E11+E12</f>
        <v/>
      </c>
      <c r="F13" s="41">
        <f>F11+F12</f>
        <v/>
      </c>
      <c r="G13" s="41">
        <f>G11+G12</f>
        <v/>
      </c>
      <c r="H13" s="41">
        <f>H11+H12</f>
        <v/>
      </c>
      <c r="I13" s="41">
        <f>I11+I12</f>
        <v/>
      </c>
    </row>
    <row r="14">
      <c r="B14" s="22" t="inlineStr">
        <is>
          <t>Средний годовой объём</t>
        </is>
      </c>
      <c r="C14" s="24" t="inlineStr">
        <is>
          <t>тыс.м³/год</t>
        </is>
      </c>
      <c r="D14" s="36">
        <f>AVERAGE('Денежный поток'!E11:N11)</f>
        <v/>
      </c>
      <c r="E14" s="36">
        <f>AVERAGE('Денежный поток'!E31:N31)</f>
        <v/>
      </c>
      <c r="F14" s="36">
        <f>AVERAGE('Денежный поток'!E51:N51)</f>
        <v/>
      </c>
      <c r="G14" s="36">
        <f>AVERAGE('Денежный поток'!E71:N71)</f>
        <v/>
      </c>
      <c r="H14" s="36">
        <f>AVERAGE('Денежный поток'!E91:N91)</f>
        <v/>
      </c>
      <c r="I14" s="36">
        <f>AVERAGE('Денежный поток'!E111:N111)</f>
        <v/>
      </c>
    </row>
    <row r="15">
      <c r="B15" s="5" t="inlineStr">
        <is>
          <t>УДЕЛЬНЫЙ АННУИТЕТ (руб/м³) — ГЛАВНЫЙ КРИТЕРИЙ</t>
        </is>
      </c>
      <c r="C15" s="4" t="n"/>
      <c r="D15" s="4" t="n"/>
      <c r="E15" s="4" t="n"/>
      <c r="F15" s="4" t="n"/>
      <c r="G15" s="4" t="n"/>
      <c r="H15" s="4" t="n"/>
      <c r="I15" s="4" t="n"/>
    </row>
    <row r="16">
      <c r="B16" s="22" t="inlineStr">
        <is>
          <t>Инвестиционный</t>
        </is>
      </c>
      <c r="C16" s="24" t="inlineStr">
        <is>
          <t>руб/м³</t>
        </is>
      </c>
      <c r="D16" s="37">
        <f>D11/'Параметры'!C37/D14</f>
        <v/>
      </c>
      <c r="E16" s="37">
        <f>E11/'Параметры'!C37/E14</f>
        <v/>
      </c>
      <c r="F16" s="37">
        <f>F11/'Параметры'!C37/F14</f>
        <v/>
      </c>
      <c r="G16" s="37">
        <f>G11/'Параметры'!C37/G14</f>
        <v/>
      </c>
      <c r="H16" s="37">
        <f>H11/'Параметры'!C37/H14</f>
        <v/>
      </c>
      <c r="I16" s="37">
        <f>I11/'Параметры'!C37/I14</f>
        <v/>
      </c>
    </row>
    <row r="17">
      <c r="B17" s="22" t="inlineStr">
        <is>
          <t>Дизтопливо</t>
        </is>
      </c>
      <c r="C17" s="24" t="inlineStr">
        <is>
          <t>руб/м³</t>
        </is>
      </c>
      <c r="D17" s="37">
        <f>D6/'Параметры'!C37/D14</f>
        <v/>
      </c>
      <c r="E17" s="37">
        <f>E6/'Параметры'!C37/E14</f>
        <v/>
      </c>
      <c r="F17" s="37">
        <f>F6/'Параметры'!C37/F14</f>
        <v/>
      </c>
      <c r="G17" s="37">
        <f>G6/'Параметры'!C37/G14</f>
        <v/>
      </c>
      <c r="H17" s="37">
        <f>H6/'Параметры'!C37/H14</f>
        <v/>
      </c>
      <c r="I17" s="37">
        <f>I6/'Параметры'!C37/I14</f>
        <v/>
      </c>
    </row>
    <row r="18">
      <c r="B18" s="22" t="inlineStr">
        <is>
          <t>ТОиР + капремонты</t>
        </is>
      </c>
      <c r="C18" s="24" t="inlineStr">
        <is>
          <t>руб/м³</t>
        </is>
      </c>
      <c r="D18" s="37">
        <f>D7/'Параметры'!C37/D14</f>
        <v/>
      </c>
      <c r="E18" s="37">
        <f>E7/'Параметры'!C37/E14</f>
        <v/>
      </c>
      <c r="F18" s="37">
        <f>F7/'Параметры'!C37/F14</f>
        <v/>
      </c>
      <c r="G18" s="37">
        <f>G7/'Параметры'!C37/G14</f>
        <v/>
      </c>
      <c r="H18" s="37">
        <f>H7/'Параметры'!C37/H14</f>
        <v/>
      </c>
      <c r="I18" s="37">
        <f>I7/'Параметры'!C37/I14</f>
        <v/>
      </c>
    </row>
    <row r="19">
      <c r="B19" s="22" t="inlineStr">
        <is>
          <t>Расходники на ковш</t>
        </is>
      </c>
      <c r="C19" s="24" t="inlineStr">
        <is>
          <t>руб/м³</t>
        </is>
      </c>
      <c r="D19" s="37">
        <f>D8/'Параметры'!C37/D14</f>
        <v/>
      </c>
      <c r="E19" s="37">
        <f>E8/'Параметры'!C37/E14</f>
        <v/>
      </c>
      <c r="F19" s="37">
        <f>F8/'Параметры'!C37/F14</f>
        <v/>
      </c>
      <c r="G19" s="37">
        <f>G8/'Параметры'!C37/G14</f>
        <v/>
      </c>
      <c r="H19" s="37">
        <f>H8/'Параметры'!C37/H14</f>
        <v/>
      </c>
      <c r="I19" s="37">
        <f>I8/'Параметры'!C37/I14</f>
        <v/>
      </c>
    </row>
    <row r="20">
      <c r="B20" s="22" t="inlineStr">
        <is>
          <t>Персонал</t>
        </is>
      </c>
      <c r="C20" s="24" t="inlineStr">
        <is>
          <t>руб/м³</t>
        </is>
      </c>
      <c r="D20" s="37">
        <f>D9/'Параметры'!C37/D14</f>
        <v/>
      </c>
      <c r="E20" s="37">
        <f>E9/'Параметры'!C37/E14</f>
        <v/>
      </c>
      <c r="F20" s="37">
        <f>F9/'Параметры'!C37/F14</f>
        <v/>
      </c>
      <c r="G20" s="37">
        <f>G9/'Параметры'!C37/G14</f>
        <v/>
      </c>
      <c r="H20" s="37">
        <f>H9/'Параметры'!C37/H14</f>
        <v/>
      </c>
      <c r="I20" s="37">
        <f>I9/'Параметры'!C37/I14</f>
        <v/>
      </c>
    </row>
    <row r="21">
      <c r="B21" s="22" t="inlineStr">
        <is>
          <t>Налог на прибыль (щит)</t>
        </is>
      </c>
      <c r="C21" s="24" t="inlineStr">
        <is>
          <t>руб/м³</t>
        </is>
      </c>
      <c r="D21" s="37">
        <f>D10/'Параметры'!C37/D14</f>
        <v/>
      </c>
      <c r="E21" s="37">
        <f>E10/'Параметры'!C37/E14</f>
        <v/>
      </c>
      <c r="F21" s="37">
        <f>F10/'Параметры'!C37/F14</f>
        <v/>
      </c>
      <c r="G21" s="37">
        <f>G10/'Параметры'!C37/G14</f>
        <v/>
      </c>
      <c r="H21" s="37">
        <f>H10/'Параметры'!C37/H14</f>
        <v/>
      </c>
      <c r="I21" s="37">
        <f>I10/'Параметры'!C37/I14</f>
        <v/>
      </c>
    </row>
    <row r="22">
      <c r="B22" s="35" t="inlineStr">
        <is>
          <t>Операционный аннуитет</t>
        </is>
      </c>
      <c r="C22" s="24" t="inlineStr">
        <is>
          <t>руб/м³</t>
        </is>
      </c>
      <c r="D22" s="48">
        <f>D12/'Параметры'!C37/D14</f>
        <v/>
      </c>
      <c r="E22" s="48">
        <f>E12/'Параметры'!C37/E14</f>
        <v/>
      </c>
      <c r="F22" s="48">
        <f>F12/'Параметры'!C37/F14</f>
        <v/>
      </c>
      <c r="G22" s="48">
        <f>G12/'Параметры'!C37/G14</f>
        <v/>
      </c>
      <c r="H22" s="48">
        <f>H12/'Параметры'!C37/H14</f>
        <v/>
      </c>
      <c r="I22" s="48">
        <f>I12/'Параметры'!C37/I14</f>
        <v/>
      </c>
    </row>
    <row r="23">
      <c r="B23" s="40" t="inlineStr">
        <is>
          <t>ОБЩИЙ АННУИТЕТ</t>
        </is>
      </c>
      <c r="C23" s="24" t="inlineStr">
        <is>
          <t>руб/м³</t>
        </is>
      </c>
      <c r="D23" s="49">
        <f>D13/'Параметры'!C37/D14</f>
        <v/>
      </c>
      <c r="E23" s="49">
        <f>E13/'Параметры'!C37/E14</f>
        <v/>
      </c>
      <c r="F23" s="49">
        <f>F13/'Параметры'!C37/F14</f>
        <v/>
      </c>
      <c r="G23" s="49">
        <f>G13/'Параметры'!C37/G14</f>
        <v/>
      </c>
      <c r="H23" s="49">
        <f>H13/'Параметры'!C37/H14</f>
        <v/>
      </c>
      <c r="I23" s="49">
        <f>I13/'Параметры'!C37/I14</f>
        <v/>
      </c>
    </row>
    <row r="24">
      <c r="B24" s="5" t="inlineStr">
        <is>
          <t>ДОПОЛНИТЕЛЬНЫЕ ПОКАЗАТЕЛИ</t>
        </is>
      </c>
      <c r="C24" s="4" t="n"/>
      <c r="D24" s="4" t="n"/>
      <c r="E24" s="4" t="n"/>
      <c r="F24" s="4" t="n"/>
      <c r="G24" s="4" t="n"/>
      <c r="H24" s="4" t="n"/>
      <c r="I24" s="4" t="n"/>
    </row>
    <row r="25">
      <c r="B25" s="35" t="inlineStr">
        <is>
          <t>Удельный аннуитет на тонну</t>
        </is>
      </c>
      <c r="C25" s="24" t="inlineStr">
        <is>
          <t>руб/т</t>
        </is>
      </c>
      <c r="D25" s="48">
        <f>D23/'Параметры'!C27</f>
        <v/>
      </c>
      <c r="E25" s="48">
        <f>E23/'Параметры'!C27</f>
        <v/>
      </c>
      <c r="F25" s="48">
        <f>F23/'Параметры'!C27</f>
        <v/>
      </c>
      <c r="G25" s="48">
        <f>G23/'Параметры'!C27</f>
        <v/>
      </c>
      <c r="H25" s="48">
        <f>H23/'Параметры'!C27</f>
        <v/>
      </c>
      <c r="I25" s="48">
        <f>I23/'Параметры'!C27</f>
        <v/>
      </c>
    </row>
    <row r="26">
      <c r="B26" s="22" t="inlineStr">
        <is>
          <t>Себестоимость (без дисконта)</t>
        </is>
      </c>
      <c r="C26" s="24" t="inlineStr">
        <is>
          <t>руб/м³</t>
        </is>
      </c>
      <c r="D26" s="37">
        <f>AVERAGE('Денежный поток'!E17:N17)/D14</f>
        <v/>
      </c>
      <c r="E26" s="37">
        <f>AVERAGE('Денежный поток'!E37:N37)/E14</f>
        <v/>
      </c>
      <c r="F26" s="37">
        <f>AVERAGE('Денежный поток'!E57:N57)/F14</f>
        <v/>
      </c>
      <c r="G26" s="37">
        <f>AVERAGE('Денежный поток'!E77:N77)/G14</f>
        <v/>
      </c>
      <c r="H26" s="37">
        <f>AVERAGE('Денежный поток'!E97:N97)/H14</f>
        <v/>
      </c>
      <c r="I26" s="37">
        <f>AVERAGE('Денежный поток'!E117:N117)/I14</f>
        <v/>
      </c>
    </row>
    <row r="27">
      <c r="B27" s="22" t="inlineStr">
        <is>
          <t>Доля инвестиций в аннуитете</t>
        </is>
      </c>
      <c r="C27" s="24" t="inlineStr">
        <is>
          <t>%</t>
        </is>
      </c>
      <c r="D27" s="39">
        <f>D16/D23</f>
        <v/>
      </c>
      <c r="E27" s="39">
        <f>E16/E23</f>
        <v/>
      </c>
      <c r="F27" s="39">
        <f>F16/F23</f>
        <v/>
      </c>
      <c r="G27" s="39">
        <f>G16/G23</f>
        <v/>
      </c>
      <c r="H27" s="39">
        <f>H16/H23</f>
        <v/>
      </c>
      <c r="I27" s="39">
        <f>I16/I23</f>
        <v/>
      </c>
    </row>
  </sheetData>
  <mergeCells count="5">
    <mergeCell ref="B1:K1"/>
    <mergeCell ref="B15:I15"/>
    <mergeCell ref="B24:I24"/>
    <mergeCell ref="B5:I5"/>
    <mergeCell ref="B2:K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K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B1" s="1" t="inlineStr">
        <is>
          <t>СРАВНИТЕЛЬНЫЙ АНАЛИЗ ЭКСКАВАТОРОВ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Ранжирование по удельному аннуитету (руб/м³). Зелёным — лучший вариант.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15" t="inlineStr">
        <is>
          <t>Показатель</t>
        </is>
      </c>
      <c r="C4" s="15" t="inlineStr">
        <is>
          <t>Ед.</t>
        </is>
      </c>
      <c r="D4" s="15">
        <f>'Ввод данных'!D7</f>
        <v/>
      </c>
      <c r="E4" s="15">
        <f>'Ввод данных'!E7</f>
        <v/>
      </c>
      <c r="F4" s="15">
        <f>'Ввод данных'!F7</f>
        <v/>
      </c>
      <c r="G4" s="15">
        <f>'Ввод данных'!G7</f>
        <v/>
      </c>
      <c r="H4" s="15">
        <f>'Ввод данных'!H7</f>
        <v/>
      </c>
      <c r="I4" s="15">
        <f>'Ввод данных'!I7</f>
        <v/>
      </c>
    </row>
    <row r="5">
      <c r="B5" s="22" t="inlineStr">
        <is>
          <t>Стоимость (в рублях)</t>
        </is>
      </c>
      <c r="C5" s="24" t="inlineStr">
        <is>
          <t>тыс.руб</t>
        </is>
      </c>
      <c r="D5" s="36">
        <f>'Производительность'!D5</f>
        <v/>
      </c>
      <c r="E5" s="36">
        <f>'Производительность'!E5</f>
        <v/>
      </c>
      <c r="F5" s="36">
        <f>'Производительность'!F5</f>
        <v/>
      </c>
      <c r="G5" s="36">
        <f>'Производительность'!G5</f>
        <v/>
      </c>
      <c r="H5" s="36">
        <f>'Производительность'!H5</f>
        <v/>
      </c>
      <c r="I5" s="36">
        <f>'Производительность'!I5</f>
        <v/>
      </c>
    </row>
    <row r="6">
      <c r="B6" s="22" t="inlineStr">
        <is>
          <t>Средний годовой объём</t>
        </is>
      </c>
      <c r="C6" s="24" t="inlineStr">
        <is>
          <t>тыс.м³</t>
        </is>
      </c>
      <c r="D6" s="36">
        <f>'Расчёт аннуитета'!D14</f>
        <v/>
      </c>
      <c r="E6" s="36">
        <f>'Расчёт аннуитета'!E14</f>
        <v/>
      </c>
      <c r="F6" s="36">
        <f>'Расчёт аннуитета'!F14</f>
        <v/>
      </c>
      <c r="G6" s="36">
        <f>'Расчёт аннуитета'!G14</f>
        <v/>
      </c>
      <c r="H6" s="36">
        <f>'Расчёт аннуитета'!H14</f>
        <v/>
      </c>
      <c r="I6" s="36">
        <f>'Расчёт аннуитета'!I14</f>
        <v/>
      </c>
    </row>
    <row r="7">
      <c r="B7" s="22" t="inlineStr">
        <is>
          <t>КИО (1-й год)</t>
        </is>
      </c>
      <c r="C7" s="24" t="inlineStr">
        <is>
          <t>коэф.</t>
        </is>
      </c>
      <c r="D7" s="39">
        <f>'Производительность'!D13</f>
        <v/>
      </c>
      <c r="E7" s="39">
        <f>'Производительность'!E13</f>
        <v/>
      </c>
      <c r="F7" s="39">
        <f>'Производительность'!F13</f>
        <v/>
      </c>
      <c r="G7" s="39">
        <f>'Производительность'!G13</f>
        <v/>
      </c>
      <c r="H7" s="39">
        <f>'Производительность'!H13</f>
        <v/>
      </c>
      <c r="I7" s="39">
        <f>'Производительность'!I13</f>
        <v/>
      </c>
    </row>
    <row r="8">
      <c r="B8" s="22" t="inlineStr">
        <is>
          <t>NPV стоимости владения</t>
        </is>
      </c>
      <c r="C8" s="24" t="inlineStr">
        <is>
          <t>тыс.руб</t>
        </is>
      </c>
      <c r="D8" s="36">
        <f>'Расчёт аннуитета'!D13</f>
        <v/>
      </c>
      <c r="E8" s="36">
        <f>'Расчёт аннуитета'!E13</f>
        <v/>
      </c>
      <c r="F8" s="36">
        <f>'Расчёт аннуитета'!F13</f>
        <v/>
      </c>
      <c r="G8" s="36">
        <f>'Расчёт аннуитета'!G13</f>
        <v/>
      </c>
      <c r="H8" s="36">
        <f>'Расчёт аннуитета'!H13</f>
        <v/>
      </c>
      <c r="I8" s="36">
        <f>'Расчёт аннуитета'!I13</f>
        <v/>
      </c>
    </row>
    <row r="9">
      <c r="B9" s="22" t="inlineStr">
        <is>
          <t>Себестоимость (без дисконта)</t>
        </is>
      </c>
      <c r="C9" s="24" t="inlineStr">
        <is>
          <t>руб/м³</t>
        </is>
      </c>
      <c r="D9" s="37">
        <f>'Расчёт аннуитета'!D26</f>
        <v/>
      </c>
      <c r="E9" s="37">
        <f>'Расчёт аннуитета'!E26</f>
        <v/>
      </c>
      <c r="F9" s="37">
        <f>'Расчёт аннуитета'!F26</f>
        <v/>
      </c>
      <c r="G9" s="37">
        <f>'Расчёт аннуитета'!G26</f>
        <v/>
      </c>
      <c r="H9" s="37">
        <f>'Расчёт аннуитета'!H26</f>
        <v/>
      </c>
      <c r="I9" s="37">
        <f>'Расчёт аннуитета'!I26</f>
        <v/>
      </c>
    </row>
    <row r="10">
      <c r="B10" s="22" t="inlineStr">
        <is>
          <t>Инвестиционный аннуитет</t>
        </is>
      </c>
      <c r="C10" s="24" t="inlineStr">
        <is>
          <t>руб/м³</t>
        </is>
      </c>
      <c r="D10" s="37">
        <f>'Расчёт аннуитета'!D16</f>
        <v/>
      </c>
      <c r="E10" s="37">
        <f>'Расчёт аннуитета'!E16</f>
        <v/>
      </c>
      <c r="F10" s="37">
        <f>'Расчёт аннуитета'!F16</f>
        <v/>
      </c>
      <c r="G10" s="37">
        <f>'Расчёт аннуитета'!G16</f>
        <v/>
      </c>
      <c r="H10" s="37">
        <f>'Расчёт аннуитета'!H16</f>
        <v/>
      </c>
      <c r="I10" s="37">
        <f>'Расчёт аннуитета'!I16</f>
        <v/>
      </c>
    </row>
    <row r="11">
      <c r="B11" s="22" t="inlineStr">
        <is>
          <t>Операционный аннуитет</t>
        </is>
      </c>
      <c r="C11" s="24" t="inlineStr">
        <is>
          <t>руб/м³</t>
        </is>
      </c>
      <c r="D11" s="37">
        <f>'Расчёт аннуитета'!D22</f>
        <v/>
      </c>
      <c r="E11" s="37">
        <f>'Расчёт аннуитета'!E22</f>
        <v/>
      </c>
      <c r="F11" s="37">
        <f>'Расчёт аннуитета'!F22</f>
        <v/>
      </c>
      <c r="G11" s="37">
        <f>'Расчёт аннуитета'!G22</f>
        <v/>
      </c>
      <c r="H11" s="37">
        <f>'Расчёт аннуитета'!H22</f>
        <v/>
      </c>
      <c r="I11" s="37">
        <f>'Расчёт аннуитета'!I22</f>
        <v/>
      </c>
    </row>
    <row r="12">
      <c r="B12" s="35" t="inlineStr">
        <is>
          <t>ОБЩИЙ АННУИТЕТ</t>
        </is>
      </c>
      <c r="C12" s="24" t="inlineStr">
        <is>
          <t>руб/м³</t>
        </is>
      </c>
      <c r="D12" s="50">
        <f>'Расчёт аннуитета'!D23</f>
        <v/>
      </c>
      <c r="E12" s="50">
        <f>'Расчёт аннуитета'!E23</f>
        <v/>
      </c>
      <c r="F12" s="50">
        <f>'Расчёт аннуитета'!F23</f>
        <v/>
      </c>
      <c r="G12" s="50">
        <f>'Расчёт аннуитета'!G23</f>
        <v/>
      </c>
      <c r="H12" s="50">
        <f>'Расчёт аннуитета'!H23</f>
        <v/>
      </c>
      <c r="I12" s="50">
        <f>'Расчёт аннуитета'!I23</f>
        <v/>
      </c>
    </row>
    <row r="13">
      <c r="B13" s="22" t="inlineStr">
        <is>
          <t>Аннуитет на тонну</t>
        </is>
      </c>
      <c r="C13" s="24" t="inlineStr">
        <is>
          <t>руб/т</t>
        </is>
      </c>
      <c r="D13" s="37">
        <f>'Расчёт аннуитета'!D25</f>
        <v/>
      </c>
      <c r="E13" s="37">
        <f>'Расчёт аннуитета'!E25</f>
        <v/>
      </c>
      <c r="F13" s="37">
        <f>'Расчёт аннуитета'!F25</f>
        <v/>
      </c>
      <c r="G13" s="37">
        <f>'Расчёт аннуитета'!G25</f>
        <v/>
      </c>
      <c r="H13" s="37">
        <f>'Расчёт аннуитета'!H25</f>
        <v/>
      </c>
      <c r="I13" s="37">
        <f>'Расчёт аннуитета'!I25</f>
        <v/>
      </c>
    </row>
    <row r="14">
      <c r="B14" s="5" t="inlineStr">
        <is>
          <t>РАНЖИРОВАНИЕ (критерий: минимум аннуитета руб/м³)</t>
        </is>
      </c>
      <c r="C14" s="4" t="n"/>
      <c r="D14" s="4" t="n"/>
      <c r="E14" s="4" t="n"/>
      <c r="F14" s="4" t="n"/>
      <c r="G14" s="4" t="n"/>
      <c r="H14" s="4" t="n"/>
      <c r="I14" s="4" t="n"/>
    </row>
    <row r="15">
      <c r="B15" s="51" t="inlineStr">
        <is>
          <t>Место в рейтинге</t>
        </is>
      </c>
      <c r="D15" s="18">
        <f>RANK(D12,D12:I12,1)</f>
        <v/>
      </c>
      <c r="E15" s="18">
        <f>RANK(E12,D12:I12,1)</f>
        <v/>
      </c>
      <c r="F15" s="18">
        <f>RANK(F12,D12:I12,1)</f>
        <v/>
      </c>
      <c r="G15" s="18">
        <f>RANK(G12,D12:I12,1)</f>
        <v/>
      </c>
      <c r="H15" s="18">
        <f>RANK(H12,D12:I12,1)</f>
        <v/>
      </c>
      <c r="I15" s="18">
        <f>RANK(I12,D12:I12,1)</f>
        <v/>
      </c>
    </row>
    <row r="16">
      <c r="B16" s="52" t="inlineStr">
        <is>
          <t>Отклонение от лучшего</t>
        </is>
      </c>
      <c r="D16" s="53">
        <f>D12/MIN(D12:I12)-1</f>
        <v/>
      </c>
      <c r="E16" s="53">
        <f>E12/MIN(D12:I12)-1</f>
        <v/>
      </c>
      <c r="F16" s="53">
        <f>F12/MIN(D12:I12)-1</f>
        <v/>
      </c>
      <c r="G16" s="53">
        <f>G12/MIN(D12:I12)-1</f>
        <v/>
      </c>
      <c r="H16" s="53">
        <f>H12/MIN(D12:I12)-1</f>
        <v/>
      </c>
      <c r="I16" s="53">
        <f>I12/MIN(D12:I12)-1</f>
        <v/>
      </c>
    </row>
    <row r="18">
      <c r="B18" s="54" t="inlineStr">
        <is>
          <t>РЕКОМЕНДУЕМЫЙ ВАРИАНТ:</t>
        </is>
      </c>
      <c r="C18" s="55">
        <f>INDEX(D4:I4,MATCH(MIN(D12:I12),D12:I12,0))&amp;"  ("&amp;TEXT(MIN(D12:I12),"0.00")&amp;" руб/м³)"</f>
        <v/>
      </c>
      <c r="D18" s="56" t="n"/>
      <c r="E18" s="56" t="n"/>
      <c r="F18" s="56" t="n"/>
      <c r="G18" s="56" t="n"/>
      <c r="H18" s="56" t="n"/>
      <c r="I18" s="56" t="n"/>
    </row>
    <row r="20">
      <c r="B20" s="5" t="inlineStr">
        <is>
          <t>СТРУКТУРА УДЕЛЬНОГО АННУИТЕТА (руб/м³)</t>
        </is>
      </c>
      <c r="C20" s="4" t="n"/>
      <c r="D20" s="4" t="n"/>
      <c r="E20" s="4" t="n"/>
      <c r="F20" s="4" t="n"/>
      <c r="G20" s="4" t="n"/>
      <c r="H20" s="4" t="n"/>
      <c r="I20" s="4" t="n"/>
    </row>
    <row r="21">
      <c r="B21" s="57" t="inlineStr">
        <is>
          <t>Статья</t>
        </is>
      </c>
      <c r="D21" s="15">
        <f>'Ввод данных'!D7</f>
        <v/>
      </c>
      <c r="E21" s="15">
        <f>'Ввод данных'!E7</f>
        <v/>
      </c>
      <c r="F21" s="15">
        <f>'Ввод данных'!F7</f>
        <v/>
      </c>
      <c r="G21" s="15">
        <f>'Ввод данных'!G7</f>
        <v/>
      </c>
      <c r="H21" s="15">
        <f>'Ввод данных'!H7</f>
        <v/>
      </c>
      <c r="I21" s="15">
        <f>'Ввод данных'!I7</f>
        <v/>
      </c>
    </row>
    <row r="22">
      <c r="B22" s="22" t="inlineStr">
        <is>
          <t>Инвестиционный</t>
        </is>
      </c>
      <c r="D22" s="37">
        <f>'Расчёт аннуитета'!D16</f>
        <v/>
      </c>
      <c r="E22" s="37">
        <f>'Расчёт аннуитета'!E16</f>
        <v/>
      </c>
      <c r="F22" s="37">
        <f>'Расчёт аннуитета'!F16</f>
        <v/>
      </c>
      <c r="G22" s="37">
        <f>'Расчёт аннуитета'!G16</f>
        <v/>
      </c>
      <c r="H22" s="37">
        <f>'Расчёт аннуитета'!H16</f>
        <v/>
      </c>
      <c r="I22" s="37">
        <f>'Расчёт аннуитета'!I16</f>
        <v/>
      </c>
    </row>
    <row r="23">
      <c r="B23" s="22" t="inlineStr">
        <is>
          <t>Дизтопливо</t>
        </is>
      </c>
      <c r="D23" s="37">
        <f>'Расчёт аннуитета'!D17</f>
        <v/>
      </c>
      <c r="E23" s="37">
        <f>'Расчёт аннуитета'!E17</f>
        <v/>
      </c>
      <c r="F23" s="37">
        <f>'Расчёт аннуитета'!F17</f>
        <v/>
      </c>
      <c r="G23" s="37">
        <f>'Расчёт аннуитета'!G17</f>
        <v/>
      </c>
      <c r="H23" s="37">
        <f>'Расчёт аннуитета'!H17</f>
        <v/>
      </c>
      <c r="I23" s="37">
        <f>'Расчёт аннуитета'!I17</f>
        <v/>
      </c>
    </row>
    <row r="24">
      <c r="B24" s="22" t="inlineStr">
        <is>
          <t>ТОиР + капремонты</t>
        </is>
      </c>
      <c r="D24" s="37">
        <f>'Расчёт аннуитета'!D18</f>
        <v/>
      </c>
      <c r="E24" s="37">
        <f>'Расчёт аннуитета'!E18</f>
        <v/>
      </c>
      <c r="F24" s="37">
        <f>'Расчёт аннуитета'!F18</f>
        <v/>
      </c>
      <c r="G24" s="37">
        <f>'Расчёт аннуитета'!G18</f>
        <v/>
      </c>
      <c r="H24" s="37">
        <f>'Расчёт аннуитета'!H18</f>
        <v/>
      </c>
      <c r="I24" s="37">
        <f>'Расчёт аннуитета'!I18</f>
        <v/>
      </c>
    </row>
    <row r="25">
      <c r="B25" s="22" t="inlineStr">
        <is>
          <t>Расходники на ковш</t>
        </is>
      </c>
      <c r="D25" s="37">
        <f>'Расчёт аннуитета'!D19</f>
        <v/>
      </c>
      <c r="E25" s="37">
        <f>'Расчёт аннуитета'!E19</f>
        <v/>
      </c>
      <c r="F25" s="37">
        <f>'Расчёт аннуитета'!F19</f>
        <v/>
      </c>
      <c r="G25" s="37">
        <f>'Расчёт аннуитета'!G19</f>
        <v/>
      </c>
      <c r="H25" s="37">
        <f>'Расчёт аннуитета'!H19</f>
        <v/>
      </c>
      <c r="I25" s="37">
        <f>'Расчёт аннуитета'!I19</f>
        <v/>
      </c>
    </row>
    <row r="26">
      <c r="B26" s="22" t="inlineStr">
        <is>
          <t>Персонал</t>
        </is>
      </c>
      <c r="D26" s="37">
        <f>'Расчёт аннуитета'!D20</f>
        <v/>
      </c>
      <c r="E26" s="37">
        <f>'Расчёт аннуитета'!E20</f>
        <v/>
      </c>
      <c r="F26" s="37">
        <f>'Расчёт аннуитета'!F20</f>
        <v/>
      </c>
      <c r="G26" s="37">
        <f>'Расчёт аннуитета'!G20</f>
        <v/>
      </c>
      <c r="H26" s="37">
        <f>'Расчёт аннуитета'!H20</f>
        <v/>
      </c>
      <c r="I26" s="37">
        <f>'Расчёт аннуитета'!I20</f>
        <v/>
      </c>
    </row>
    <row r="27">
      <c r="B27" s="22" t="inlineStr">
        <is>
          <t>Налог (щит)</t>
        </is>
      </c>
      <c r="D27" s="37">
        <f>'Расчёт аннуитета'!D21</f>
        <v/>
      </c>
      <c r="E27" s="37">
        <f>'Расчёт аннуитета'!E21</f>
        <v/>
      </c>
      <c r="F27" s="37">
        <f>'Расчёт аннуитета'!F21</f>
        <v/>
      </c>
      <c r="G27" s="37">
        <f>'Расчёт аннуитета'!G21</f>
        <v/>
      </c>
      <c r="H27" s="37">
        <f>'Расчёт аннуитета'!H21</f>
        <v/>
      </c>
      <c r="I27" s="37">
        <f>'Расчёт аннуитета'!I21</f>
        <v/>
      </c>
    </row>
  </sheetData>
  <mergeCells count="5">
    <mergeCell ref="B1:K1"/>
    <mergeCell ref="C18:I18"/>
    <mergeCell ref="B20:I20"/>
    <mergeCell ref="B14:I14"/>
    <mergeCell ref="B2:K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K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B1" s="1" t="inlineStr">
        <is>
          <t>АНАЛИЗ ЧУВСТВИТЕЛЬНОСТИ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B2" s="3" t="inlineStr">
        <is>
          <t>Торнадо драйверов, влияние КТГ и ставки дисконтирования на аннуитет.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B4" s="7" t="inlineStr">
        <is>
          <t>Анализируемый экскаватор (1–6):</t>
        </is>
      </c>
      <c r="C4" s="58" t="n">
        <v>1</v>
      </c>
      <c r="D4" s="59">
        <f>INDEX('Ввод данных'!D7:I7,$C$4)</f>
        <v/>
      </c>
    </row>
    <row r="6">
      <c r="B6" s="5" t="inlineStr">
        <is>
          <t>БАЗОВЫЕ ВЕЛИЧИНЫ ВЫБРАННОГО ВАРИАНТА</t>
        </is>
      </c>
      <c r="C6" s="4" t="n"/>
      <c r="D6" s="4" t="n"/>
      <c r="E6" s="4" t="n"/>
      <c r="F6" s="4" t="n"/>
      <c r="G6" s="4" t="n"/>
      <c r="H6" s="4" t="n"/>
    </row>
    <row r="7">
      <c r="B7" s="22" t="inlineStr">
        <is>
          <t>Общий аннуитет</t>
        </is>
      </c>
      <c r="C7" s="24" t="inlineStr">
        <is>
          <t>руб/м³</t>
        </is>
      </c>
      <c r="D7" s="37">
        <f>INDEX('Расчёт аннуитета'!D23:I23,$C$4)</f>
        <v/>
      </c>
    </row>
    <row r="8">
      <c r="B8" s="22" t="inlineStr">
        <is>
          <t>— инвестиционный</t>
        </is>
      </c>
      <c r="C8" s="24" t="inlineStr">
        <is>
          <t>руб/м³</t>
        </is>
      </c>
      <c r="D8" s="37">
        <f>INDEX('Расчёт аннуитета'!D16:I16,$C$4)</f>
        <v/>
      </c>
    </row>
    <row r="9">
      <c r="B9" s="22" t="inlineStr">
        <is>
          <t>— дизтопливо</t>
        </is>
      </c>
      <c r="C9" s="24" t="inlineStr">
        <is>
          <t>руб/м³</t>
        </is>
      </c>
      <c r="D9" s="37">
        <f>INDEX('Расчёт аннуитета'!D17:I17,$C$4)</f>
        <v/>
      </c>
    </row>
    <row r="10">
      <c r="B10" s="22" t="inlineStr">
        <is>
          <t>— ТОиР + капремонты</t>
        </is>
      </c>
      <c r="C10" s="24" t="inlineStr">
        <is>
          <t>руб/м³</t>
        </is>
      </c>
      <c r="D10" s="37">
        <f>INDEX('Расчёт аннуитета'!D18:I18,$C$4)</f>
        <v/>
      </c>
    </row>
    <row r="11">
      <c r="B11" s="22" t="inlineStr">
        <is>
          <t>— персонал</t>
        </is>
      </c>
      <c r="C11" s="24" t="inlineStr">
        <is>
          <t>руб/м³</t>
        </is>
      </c>
      <c r="D11" s="37">
        <f>INDEX('Расчёт аннуитета'!D20:I20,$C$4)</f>
        <v/>
      </c>
    </row>
    <row r="12">
      <c r="B12" s="22" t="inlineStr">
        <is>
          <t>Средний годовой объём</t>
        </is>
      </c>
      <c r="C12" s="24" t="inlineStr">
        <is>
          <t>тыс.м³</t>
        </is>
      </c>
      <c r="D12" s="36">
        <f>INDEX('Расчёт аннуитета'!D14:I14,$C$4)</f>
        <v/>
      </c>
    </row>
    <row r="13">
      <c r="B13" s="22" t="inlineStr">
        <is>
          <t>Стоимость (руб)</t>
        </is>
      </c>
      <c r="C13" s="24" t="inlineStr">
        <is>
          <t>тыс.руб</t>
        </is>
      </c>
      <c r="D13" s="36">
        <f>INDEX('Производительность'!D5:I5,$C$4)</f>
        <v/>
      </c>
    </row>
    <row r="14">
      <c r="B14" s="22" t="inlineStr">
        <is>
          <t>Постоянные (инв+ТОиР+перс+щит)</t>
        </is>
      </c>
      <c r="C14" s="24" t="inlineStr">
        <is>
          <t>руб/м³</t>
        </is>
      </c>
      <c r="D14" s="37">
        <f>INDEX('Расчёт аннуитета'!D16:I16,$C$4)+INDEX('Расчёт аннуитета'!D18:I18,$C$4)+INDEX('Расчёт аннуитета'!D20:I20,$C$4)+INDEX('Расчёт аннуитета'!D21:I21,$C$4)</f>
        <v/>
      </c>
    </row>
    <row r="15">
      <c r="B15" s="22" t="inlineStr">
        <is>
          <t>Переменные (топливо+ковш)</t>
        </is>
      </c>
      <c r="C15" s="24" t="inlineStr">
        <is>
          <t>руб/м³</t>
        </is>
      </c>
      <c r="D15" s="37">
        <f>INDEX('Расчёт аннуитета'!D17:I17,$C$4)+INDEX('Расчёт аннуитета'!D19:I19,$C$4)</f>
        <v/>
      </c>
    </row>
    <row r="17">
      <c r="B17" s="5" t="inlineStr">
        <is>
          <t>ТОРНАДО: ВЛИЯНИЕ ДРАЙВЕРОВ НА ОБЩИЙ АННУИТЕТ (руб/м³)</t>
        </is>
      </c>
      <c r="C17" s="4" t="n"/>
      <c r="D17" s="4" t="n"/>
      <c r="E17" s="4" t="n"/>
      <c r="F17" s="4" t="n"/>
      <c r="G17" s="4" t="n"/>
      <c r="H17" s="4" t="n"/>
    </row>
    <row r="18">
      <c r="B18" s="15" t="inlineStr">
        <is>
          <t>Драйвер</t>
        </is>
      </c>
      <c r="C18" s="15" t="inlineStr">
        <is>
          <t>Диапазон</t>
        </is>
      </c>
      <c r="D18" s="15" t="inlineStr">
        <is>
          <t>При снижении</t>
        </is>
      </c>
      <c r="E18" s="15" t="inlineStr">
        <is>
          <t>При росте</t>
        </is>
      </c>
      <c r="F18" s="15" t="inlineStr">
        <is>
          <t>Размах</t>
        </is>
      </c>
      <c r="I18" s="60" t="inlineStr">
        <is>
          <t>низкое</t>
        </is>
      </c>
      <c r="J18" s="60" t="inlineStr">
        <is>
          <t>высокое</t>
        </is>
      </c>
    </row>
    <row r="19">
      <c r="B19" s="22" t="inlineStr">
        <is>
          <t>Расход / цена ДТ</t>
        </is>
      </c>
      <c r="C19" s="61" t="inlineStr">
        <is>
          <t>±20%</t>
        </is>
      </c>
      <c r="D19" s="37">
        <f>$D$7-0.2*($D$9*(1-'Параметры'!C7))</f>
        <v/>
      </c>
      <c r="E19" s="37">
        <f>$D$7+0.2*($D$9*(1-'Параметры'!C7))</f>
        <v/>
      </c>
      <c r="F19" s="37">
        <f>E19-D19</f>
        <v/>
      </c>
      <c r="I19" s="62">
        <f>D19-$D$7</f>
        <v/>
      </c>
      <c r="J19" s="62">
        <f>E19-$D$7</f>
        <v/>
      </c>
    </row>
    <row r="20">
      <c r="B20" s="22" t="inlineStr">
        <is>
          <t>Затраты на ТОиР/ремонты</t>
        </is>
      </c>
      <c r="C20" s="61" t="inlineStr">
        <is>
          <t>±25%</t>
        </is>
      </c>
      <c r="D20" s="37">
        <f>$D$7-0.25*($D$10*(1-'Параметры'!C7))</f>
        <v/>
      </c>
      <c r="E20" s="37">
        <f>$D$7+0.25*($D$10*(1-'Параметры'!C7))</f>
        <v/>
      </c>
      <c r="F20" s="37">
        <f>E20-D20</f>
        <v/>
      </c>
      <c r="I20" s="62">
        <f>D20-$D$7</f>
        <v/>
      </c>
      <c r="J20" s="62">
        <f>E20-$D$7</f>
        <v/>
      </c>
    </row>
    <row r="21">
      <c r="B21" s="22" t="inlineStr">
        <is>
          <t>Цена приобретения</t>
        </is>
      </c>
      <c r="C21" s="61" t="inlineStr">
        <is>
          <t>±15%</t>
        </is>
      </c>
      <c r="D21" s="37">
        <f>$D$7-0.15*($D$8*(1-'Параметры'!C7*'Параметры'!C38))</f>
        <v/>
      </c>
      <c r="E21" s="37">
        <f>$D$7+0.15*($D$8*(1-'Параметры'!C7*'Параметры'!C38))</f>
        <v/>
      </c>
      <c r="F21" s="37">
        <f>E21-D21</f>
        <v/>
      </c>
      <c r="I21" s="62">
        <f>D21-$D$7</f>
        <v/>
      </c>
      <c r="J21" s="62">
        <f>E21-$D$7</f>
        <v/>
      </c>
    </row>
    <row r="22">
      <c r="B22" s="22" t="inlineStr">
        <is>
          <t>Расходы на персонал</t>
        </is>
      </c>
      <c r="C22" s="61" t="inlineStr">
        <is>
          <t>±15%</t>
        </is>
      </c>
      <c r="D22" s="37">
        <f>$D$7-0.15*($D$11*(1-'Параметры'!C7))</f>
        <v/>
      </c>
      <c r="E22" s="37">
        <f>$D$7+0.15*($D$11*(1-'Параметры'!C7))</f>
        <v/>
      </c>
      <c r="F22" s="37">
        <f>E22-D22</f>
        <v/>
      </c>
      <c r="I22" s="62">
        <f>D22-$D$7</f>
        <v/>
      </c>
      <c r="J22" s="62">
        <f>E22-$D$7</f>
        <v/>
      </c>
    </row>
    <row r="25">
      <c r="B25" s="5" t="inlineStr">
        <is>
          <t>ВЛИЯНИЕ ПРОИЗВОДИТЕЛЬНОСТИ (КТГ / УТИЛИЗАЦИИ)</t>
        </is>
      </c>
      <c r="C25" s="4" t="n"/>
      <c r="D25" s="4" t="n"/>
      <c r="E25" s="4" t="n"/>
      <c r="F25" s="4" t="n"/>
      <c r="G25" s="4" t="n"/>
      <c r="H25" s="4" t="n"/>
    </row>
    <row r="26">
      <c r="B26" s="15" t="inlineStr">
        <is>
          <t>Изменение производительности</t>
        </is>
      </c>
      <c r="C26" s="15" t="inlineStr">
        <is>
          <t>-15%</t>
        </is>
      </c>
      <c r="D26" s="15" t="inlineStr">
        <is>
          <t>-10%</t>
        </is>
      </c>
      <c r="E26" s="15" t="inlineStr">
        <is>
          <t>0%</t>
        </is>
      </c>
      <c r="F26" s="15" t="inlineStr">
        <is>
          <t>+10%</t>
        </is>
      </c>
      <c r="G26" s="15" t="inlineStr">
        <is>
          <t>+15%</t>
        </is>
      </c>
    </row>
    <row r="27">
      <c r="B27" s="35" t="inlineStr">
        <is>
          <t>Общий аннуитет, руб/м³</t>
        </is>
      </c>
      <c r="C27" s="48">
        <f>$D$14/(1+-0.15)+$D$15</f>
        <v/>
      </c>
      <c r="D27" s="48">
        <f>$D$14/(1+-0.1)+$D$15</f>
        <v/>
      </c>
      <c r="E27" s="50">
        <f>$D$14/(1+0.0)+$D$15</f>
        <v/>
      </c>
      <c r="F27" s="48">
        <f>$D$14/(1+0.1)+$D$15</f>
        <v/>
      </c>
      <c r="G27" s="48">
        <f>$D$14/(1+0.15)+$D$15</f>
        <v/>
      </c>
    </row>
    <row r="29">
      <c r="B29" s="5" t="inlineStr">
        <is>
          <t>ВЛИЯНИЕ СТАВКИ ДИСКОНТИРОВАНИЯ</t>
        </is>
      </c>
      <c r="C29" s="4" t="n"/>
      <c r="D29" s="4" t="n"/>
      <c r="E29" s="4" t="n"/>
      <c r="F29" s="4" t="n"/>
      <c r="G29" s="4" t="n"/>
      <c r="H29" s="4" t="n"/>
    </row>
    <row r="30">
      <c r="B30" s="15" t="inlineStr">
        <is>
          <t>Ставка дисконтирования</t>
        </is>
      </c>
      <c r="C30" s="63" t="n">
        <v>0.08</v>
      </c>
      <c r="D30" s="63" t="n">
        <v>0.1</v>
      </c>
      <c r="E30" s="63" t="n">
        <v>0.12</v>
      </c>
      <c r="F30" s="63" t="n">
        <v>0.14</v>
      </c>
      <c r="G30" s="63" t="n">
        <v>0.16</v>
      </c>
    </row>
    <row r="31">
      <c r="B31" s="35" t="inlineStr">
        <is>
          <t>Общий аннуитет, руб/м³ (оценка)</t>
        </is>
      </c>
      <c r="C31" s="48">
        <f>$D$13*(1-INDEX('Ввод данных'!D14:I14,$C$4)/(1+C30)^'Параметры'!C8)/((1-(1+C30)^-'Параметры'!C8)/C30)/$D$12+$D$7-$D$8</f>
        <v/>
      </c>
      <c r="D31" s="48">
        <f>$D$13*(1-INDEX('Ввод данных'!D14:I14,$C$4)/(1+D30)^'Параметры'!C8)/((1-(1+D30)^-'Параметры'!C8)/D30)/$D$12+$D$7-$D$8</f>
        <v/>
      </c>
      <c r="E31" s="50">
        <f>$D$13*(1-INDEX('Ввод данных'!D14:I14,$C$4)/(1+E30)^'Параметры'!C8)/((1-(1+E30)^-'Параметры'!C8)/E30)/$D$12+$D$7-$D$8</f>
        <v/>
      </c>
      <c r="F31" s="48">
        <f>$D$13*(1-INDEX('Ввод данных'!D14:I14,$C$4)/(1+F30)^'Параметры'!C8)/((1-(1+F30)^-'Параметры'!C8)/F30)/$D$12+$D$7-$D$8</f>
        <v/>
      </c>
      <c r="G31" s="48">
        <f>$D$13*(1-INDEX('Ввод данных'!D14:I14,$C$4)/(1+G30)^'Параметры'!C8)/((1-(1+G30)^-'Параметры'!C8)/G30)/$D$12+$D$7-$D$8</f>
        <v/>
      </c>
    </row>
    <row r="33">
      <c r="B33" s="44" t="inlineStr">
        <is>
          <t>Оценка по ставке: инвестиционный аннуитет пересчитан точно, операционный принят постоянным (аннуитет равномерного потока ≈ инвариантен к ставке).</t>
        </is>
      </c>
    </row>
  </sheetData>
  <mergeCells count="8">
    <mergeCell ref="B1:K1"/>
    <mergeCell ref="B17:H17"/>
    <mergeCell ref="B6:H6"/>
    <mergeCell ref="B25:H25"/>
    <mergeCell ref="B29:H29"/>
    <mergeCell ref="B2:K2"/>
    <mergeCell ref="D4:H4"/>
    <mergeCell ref="B33:H33"/>
  </mergeCells>
  <dataValidations count="1">
    <dataValidation sqref="C4" showDropDown="0" showInputMessage="0" showErrorMessage="0" allowBlank="0" type="whole" operator="between">
      <formula1>1</formula1>
      <formula2>6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I1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B1" s="1" t="inlineStr">
        <is>
          <t>СПРАВОЧНИК ОРИЕНТИРОВОЧНЫХ ЗНАЧЕНИЙ</t>
        </is>
      </c>
      <c r="C1" s="2" t="n"/>
      <c r="D1" s="2" t="n"/>
      <c r="E1" s="2" t="n"/>
      <c r="F1" s="2" t="n"/>
      <c r="G1" s="2" t="n"/>
      <c r="H1" s="2" t="n"/>
      <c r="I1" s="2" t="n"/>
    </row>
    <row r="2">
      <c r="B2" s="3" t="inlineStr">
        <is>
          <t>Диапазоны для проверки исходных данных. Требуют уточнения по данным поставщика.</t>
        </is>
      </c>
      <c r="C2" s="2" t="n"/>
      <c r="D2" s="2" t="n"/>
      <c r="E2" s="2" t="n"/>
      <c r="F2" s="2" t="n"/>
      <c r="G2" s="2" t="n"/>
      <c r="H2" s="2" t="n"/>
      <c r="I2" s="2" t="n"/>
    </row>
    <row r="4">
      <c r="B4" s="15" t="inlineStr">
        <is>
          <t>Показатель</t>
        </is>
      </c>
      <c r="C4" s="15" t="inlineStr">
        <is>
          <t>Класс 2000 (~12 м³)</t>
        </is>
      </c>
      <c r="D4" s="15" t="inlineStr">
        <is>
          <t>Диапазон</t>
        </is>
      </c>
      <c r="E4" s="15" t="inlineStr">
        <is>
          <t>Комментарий</t>
        </is>
      </c>
    </row>
    <row r="5">
      <c r="B5" s="22" t="inlineStr">
        <is>
          <t>Ставка дисконтирования (WACC)</t>
        </is>
      </c>
      <c r="C5" s="61" t="inlineStr">
        <is>
          <t>12%</t>
        </is>
      </c>
      <c r="D5" s="61" t="inlineStr">
        <is>
          <t>8–16%</t>
        </is>
      </c>
      <c r="E5" s="22" t="inlineStr">
        <is>
          <t>Согласуется с эскалацией (реальн./номин.)</t>
        </is>
      </c>
    </row>
    <row r="6">
      <c r="B6" s="64" t="inlineStr">
        <is>
          <t>Налог на прибыль</t>
        </is>
      </c>
      <c r="C6" s="65" t="inlineStr">
        <is>
          <t>25%</t>
        </is>
      </c>
      <c r="D6" s="65" t="inlineStr">
        <is>
          <t>20–25%</t>
        </is>
      </c>
      <c r="E6" s="64" t="inlineStr">
        <is>
          <t>Действующая ставка РФ</t>
        </is>
      </c>
    </row>
    <row r="7">
      <c r="B7" s="22" t="inlineStr">
        <is>
          <t>КТГ (техготовность)</t>
        </is>
      </c>
      <c r="C7" s="61" t="inlineStr">
        <is>
          <t>0,74–0,84</t>
        </is>
      </c>
      <c r="D7" s="61" t="inlineStr">
        <is>
          <t>0,70–0,90</t>
        </is>
      </c>
      <c r="E7" s="22" t="inlineStr">
        <is>
          <t>Зависит от бренда и сервиса</t>
        </is>
      </c>
    </row>
    <row r="8">
      <c r="B8" s="64" t="inlineStr">
        <is>
          <t>КИО (использование)</t>
        </is>
      </c>
      <c r="C8" s="65" t="inlineStr">
        <is>
          <t>0,47–0,58</t>
        </is>
      </c>
      <c r="D8" s="65" t="inlineStr">
        <is>
          <t>0,40–0,65</t>
        </is>
      </c>
      <c r="E8" s="64" t="inlineStr">
        <is>
          <t>Доля рабочего времени в КФВ</t>
        </is>
      </c>
    </row>
    <row r="9">
      <c r="B9" s="22" t="inlineStr">
        <is>
          <t>Удельный расход ДТ</t>
        </is>
      </c>
      <c r="C9" s="61" t="inlineStr">
        <is>
          <t>85–120</t>
        </is>
      </c>
      <c r="D9" s="61" t="inlineStr">
        <is>
          <t>70–140 кг/ч</t>
        </is>
      </c>
      <c r="E9" s="22" t="inlineStr">
        <is>
          <t>Двигатель и режим</t>
        </is>
      </c>
    </row>
    <row r="10">
      <c r="B10" s="64" t="inlineStr">
        <is>
          <t>Срок амортизации (НУ)</t>
        </is>
      </c>
      <c r="C10" s="65" t="inlineStr">
        <is>
          <t>62 мес</t>
        </is>
      </c>
      <c r="D10" s="65" t="inlineStr">
        <is>
          <t>5–7 лет</t>
        </is>
      </c>
      <c r="E10" s="64" t="inlineStr">
        <is>
          <t>Линейная амортизация</t>
        </is>
      </c>
    </row>
    <row r="11">
      <c r="B11" s="22" t="inlineStr">
        <is>
          <t>Остаточная стоимость</t>
        </is>
      </c>
      <c r="C11" s="61" t="inlineStr">
        <is>
          <t>10%</t>
        </is>
      </c>
      <c r="D11" s="61" t="inlineStr">
        <is>
          <t>8–20%</t>
        </is>
      </c>
      <c r="E11" s="22" t="inlineStr">
        <is>
          <t>Реализация в конце срока</t>
        </is>
      </c>
    </row>
    <row r="12">
      <c r="B12" s="64" t="inlineStr">
        <is>
          <t>Время цикла экскавации</t>
        </is>
      </c>
      <c r="C12" s="65" t="inlineStr">
        <is>
          <t>37 сек</t>
        </is>
      </c>
      <c r="D12" s="65" t="inlineStr">
        <is>
          <t>28–45 сек</t>
        </is>
      </c>
      <c r="E12" s="64" t="inlineStr">
        <is>
          <t>Черпание–поворот–разгрузка</t>
        </is>
      </c>
    </row>
    <row r="13">
      <c r="B13" s="22" t="inlineStr">
        <is>
          <t>Расходники на ковш</t>
        </is>
      </c>
      <c r="C13" s="61" t="inlineStr">
        <is>
          <t>0,87</t>
        </is>
      </c>
      <c r="D13" s="61" t="inlineStr">
        <is>
          <t>0,5–1,5 руб/м³</t>
        </is>
      </c>
      <c r="E13" s="22" t="inlineStr">
        <is>
          <t>Зубья, коронки, фиксаторы</t>
        </is>
      </c>
    </row>
    <row r="14">
      <c r="B14" s="64" t="inlineStr">
        <is>
          <t>Эскалация ДТ / ТОиР / ФОТ</t>
        </is>
      </c>
      <c r="C14" s="65" t="inlineStr">
        <is>
          <t>4 / 5 / 6%</t>
        </is>
      </c>
      <c r="D14" s="65" t="inlineStr">
        <is>
          <t>3–8%/год</t>
        </is>
      </c>
      <c r="E14" s="64" t="inlineStr">
        <is>
          <t>Обычно выше общей инфляции</t>
        </is>
      </c>
    </row>
    <row r="16">
      <c r="B16" s="7" t="inlineStr">
        <is>
          <t>Методические примечания:</t>
        </is>
      </c>
    </row>
    <row r="17">
      <c r="B17" s="66" t="inlineStr">
        <is>
          <t>•  Годовые затраты можно задавать усреднённо (в ТОиР) либо разнести капремонты по графику (раздел G ввода).</t>
        </is>
      </c>
    </row>
    <row r="18">
      <c r="B18" s="66" t="inlineStr">
        <is>
          <t>•  Расход ДТ — ключевой драйвер OPEX; уточняйте по факту двигателя, а не по паспорту.</t>
        </is>
      </c>
    </row>
    <row r="19">
      <c r="B19" s="66" t="inlineStr">
        <is>
          <t>•  Значения таблицы — ориентир порядка величин, а не норматив.</t>
        </is>
      </c>
    </row>
  </sheetData>
  <mergeCells count="5">
    <mergeCell ref="B18:I18"/>
    <mergeCell ref="B2:I2"/>
    <mergeCell ref="B19:I19"/>
    <mergeCell ref="B1:I1"/>
    <mergeCell ref="B17:I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2026-07-16T15:53:14Z</dcterms:created>
  <dcterms:modified xsi:type="dcterms:W3CDTF">2026-07-16T15:53:14Z</dcterms:modified>
</cp:coreProperties>
</file>