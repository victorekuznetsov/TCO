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оставщик 1" sheetId="5" state="visible" r:id="rId5"/>
    <sheet name="Поставщик 2" sheetId="6" state="visible" r:id="rId6"/>
    <sheet name="Поставщик 3" sheetId="7" state="visible" r:id="rId7"/>
    <sheet name="Поставщик 4" sheetId="8" state="visible" r:id="rId8"/>
    <sheet name="Поставщик 5" sheetId="9" state="visible" r:id="rId9"/>
    <sheet name="Поставщик 6" sheetId="10" state="visible" r:id="rId10"/>
    <sheet name="Данные по годам" sheetId="11" state="visible" r:id="rId11"/>
    <sheet name="Производительность" sheetId="12" state="visible" r:id="rId12"/>
    <sheet name="Денежный поток" sheetId="13" state="visible" r:id="rId13"/>
    <sheet name="Расчёт аннуитета" sheetId="14" state="visible" r:id="rId14"/>
    <sheet name="Сравнение" sheetId="15" state="visible" r:id="rId15"/>
    <sheet name="Аналитика" sheetId="16" state="visible" r:id="rId16"/>
    <sheet name="Чувствительность" sheetId="17" state="visible" r:id="rId17"/>
    <sheet name="Справочник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20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C55A11"/>
      <sz val="9"/>
    </font>
    <font>
      <b val="1"/>
      <color rgb="001F3864"/>
    </font>
    <font>
      <i val="1"/>
      <color rgb="00808080"/>
      <sz val="9"/>
    </font>
    <font>
      <i val="1"/>
      <color rgb="00C55A11"/>
      <sz val="9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  <font>
      <b val="1"/>
      <color rgb="00006100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center" vertical="center" wrapText="1"/>
    </xf>
    <xf numFmtId="3" fontId="16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left" vertical="center" wrapText="1"/>
    </xf>
    <xf numFmtId="4" fontId="6" fillId="8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8" fillId="0" borderId="1" pivotButton="0" quotePrefix="0" xfId="0"/>
    <xf numFmtId="166" fontId="8" fillId="6" borderId="1" pivotButton="0" quotePrefix="0" xfId="0"/>
    <xf numFmtId="4" fontId="0" fillId="5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4" fillId="4" borderId="1" pivotButton="0" quotePrefix="0" xfId="0"/>
    <xf numFmtId="0" fontId="19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8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поток'!$E$25:$N$25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поток'!$E$44:$N$44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поток'!$E$63:$N$63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поток'!$E$82:$N$82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поток'!$E$101:$N$101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поток'!$E$120:$N$120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Аннуитет vs производительность</a:t>
            </a:r>
          </a:p>
        </rich>
      </tx>
    </title>
    <plotArea>
      <scatterChart>
        <ser>
          <idx val="0"/>
          <order val="0"/>
          <tx>
            <v>варианты</v>
          </tx>
          <spPr>
            <a:ln>
              <a:noFill/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'Аналитика'!$D$7:$I$7</f>
            </numRef>
          </xVal>
          <yVal>
            <numRef>
              <f>'Аналитика'!$D$9:$I$9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Годовой объём, тыс.м³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Аннуитет, 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Диапазон риска аннуитета, руб/м³</a:t>
            </a:r>
          </a:p>
        </rich>
      </tx>
    </title>
    <plotArea>
      <barChart>
        <barDir val="col"/>
        <grouping val="clustered"/>
        <ser>
          <idx val="0"/>
          <order val="0"/>
          <tx>
            <v>оптимистичный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'Аналитика'!$D$24:$I$24</f>
            </numRef>
          </val>
        </ser>
        <ser>
          <idx val="1"/>
          <order val="1"/>
          <tx>
            <v>базовый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'Аналитика'!$D$25:$I$25</f>
            </numRef>
          </val>
        </ser>
        <ser>
          <idx val="2"/>
          <order val="2"/>
          <tx>
            <v>пессимистичный</v>
          </tx>
          <spPr>
            <a:ln>
              <a:prstDash val="solid"/>
            </a:ln>
          </spPr>
          <cat>
            <numRef>
              <f>'Аналитика'!$D$4:$I$4</f>
            </numRef>
          </cat>
          <val>
            <numRef>
              <f>'Аналитика'!$D$26:$I$26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5" customHeight="1">
      <c r="C9" s="6" t="inlineStr">
        <is>
          <t>Для каждого года считаются: дизтопливо (эфф.время × кг/ч × цена), ТОиР и сервис (задаются ПО ГОДАМ на листе «Данные по годам» — включают плановое ТО, текущие и капитальные ремонты; годы капремонтов дают всплеск затрат), расходники на ковш, персонал.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 КТГ также задаётся по годам.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70" customHeight="1">
      <c r="C13" s="6" t="inlineStr">
        <is>
          <t>«Параметры» → «Ввод данных» (цена, ковш, персонал) → листы «Поставщик 1…6»: по каждой машине встроены модели ТО (интервалы обслуживания → простои, запчасти, сервис) и Ремонтов (простои, текущие и капитальные ремонты, сервис по годам) — КТГ и ИТОГО ТОиР считаются автоматически снизу вверх. Сводка «Данные по годам» тянет итоги сама → авторасчёт «Производительность», «Денежный поток», «Расчёт аннуитета» → «Дашборд», «Сравнение», «Аналитика» (многокритериальная оценка, разложение над лучшим, диапазон риска, ценность готовности), «Чувствительность». Правки — только в листах «Поставщик N».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</v>
      </c>
      <c r="D14" s="24" t="inlineStr">
        <is>
          <t>%/год</t>
        </is>
      </c>
      <c r="E14" s="25" t="inlineStr">
        <is>
          <t>Рост цены ДТ (0 = данные уже с учётом инфляции)</t>
        </is>
      </c>
    </row>
    <row r="15">
      <c r="B15" s="22" t="inlineStr">
        <is>
          <t>Эскалация расходников и персонала</t>
        </is>
      </c>
      <c r="C15" s="23" t="n">
        <v>0</v>
      </c>
      <c r="D15" s="24" t="inlineStr">
        <is>
          <t>%/год</t>
        </is>
      </c>
      <c r="E15" s="25" t="inlineStr">
        <is>
          <t>ТОиР задаётся по годам напрямую (см. «Данные по годам»)</t>
        </is>
      </c>
    </row>
    <row r="16">
      <c r="B16" s="22" t="inlineStr">
        <is>
          <t>Эскалация оплаты труда</t>
        </is>
      </c>
      <c r="C16" s="23" t="n">
        <v>0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</v>
      </c>
      <c r="E14" s="32" t="n">
        <v>0</v>
      </c>
      <c r="F14" s="32" t="n">
        <v>0</v>
      </c>
      <c r="G14" s="32" t="n">
        <v>0</v>
      </c>
      <c r="H14" s="32" t="n">
        <v>0</v>
      </c>
      <c r="I14" s="32" t="n">
        <v>0</v>
      </c>
      <c r="K14" s="25" t="inlineStr">
        <is>
          <t>Стоимость реализации в конце срока (0 = не учитывать)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22" t="inlineStr">
        <is>
          <t>Ежесменные простои</t>
        </is>
      </c>
      <c r="C18" s="24" t="inlineStr">
        <is>
          <t>мин/см</t>
        </is>
      </c>
      <c r="D18" s="33" t="n">
        <v>266.1</v>
      </c>
      <c r="E18" s="33" t="n">
        <v>266.1</v>
      </c>
      <c r="F18" s="33" t="n">
        <v>266.1</v>
      </c>
      <c r="G18" s="33" t="n">
        <v>266.1</v>
      </c>
      <c r="H18" s="33" t="n">
        <v>266.1</v>
      </c>
      <c r="I18" s="33" t="n">
        <v>266.1</v>
      </c>
      <c r="K18" s="25" t="inlineStr">
        <is>
          <t>ОТМ, ожидание а/с, прочие организационные</t>
        </is>
      </c>
    </row>
    <row r="19">
      <c r="B19" s="5" t="inlineStr">
        <is>
          <t>D. ПРОЧИЕ ГОДОВЫЕ ЗАТРАТЫ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22" t="inlineStr">
        <is>
          <t>Расходы на персонал (экипаж)</t>
        </is>
      </c>
      <c r="C20" s="24" t="inlineStr">
        <is>
          <t>тыс.руб/год</t>
        </is>
      </c>
      <c r="D20" s="31" t="n">
        <v>10015</v>
      </c>
      <c r="E20" s="31" t="n">
        <v>10015</v>
      </c>
      <c r="F20" s="31" t="n">
        <v>10015</v>
      </c>
      <c r="G20" s="31" t="n">
        <v>10015</v>
      </c>
      <c r="H20" s="31" t="n">
        <v>10015</v>
      </c>
      <c r="I20" s="31" t="n">
        <v>10015</v>
      </c>
      <c r="K20" s="25" t="inlineStr">
        <is>
          <t>ФОТ с отчислениями на 1 машину</t>
        </is>
      </c>
    </row>
    <row r="21">
      <c r="B21" s="34" t="inlineStr">
        <is>
          <t>ℹ  КТГ, расход ДТ, ТОиР и расходники на ковш задаются ПО ГОДАМ на листе «Данные по годам». Пустой бланк для сбора данных с поставщика — на листе «Шаблон поставщика».</t>
        </is>
      </c>
    </row>
  </sheetData>
  <mergeCells count="7">
    <mergeCell ref="B1:K1"/>
    <mergeCell ref="B21:K21"/>
    <mergeCell ref="B15:K15"/>
    <mergeCell ref="B6:K6"/>
    <mergeCell ref="B2:K2"/>
    <mergeCell ref="B10:K10"/>
    <mergeCell ref="B19:K19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1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данных'!D7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88.45999999999999</v>
      </c>
      <c r="F17" s="33" t="n">
        <v>88.45999999999999</v>
      </c>
      <c r="G17" s="33" t="n">
        <v>88.45999999999999</v>
      </c>
      <c r="H17" s="33" t="n">
        <v>88.45999999999999</v>
      </c>
      <c r="I17" s="33" t="n">
        <v>88.45999999999999</v>
      </c>
      <c r="J17" s="33" t="n">
        <v>88.45999999999999</v>
      </c>
      <c r="K17" s="33" t="n">
        <v>88.45999999999999</v>
      </c>
      <c r="L17" s="33" t="n">
        <v>88.45999999999999</v>
      </c>
      <c r="M17" s="33" t="n">
        <v>88.45999999999999</v>
      </c>
      <c r="N17" s="33" t="n">
        <v>88.45999999999999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392</v>
      </c>
      <c r="F32" s="31" t="n">
        <v>602.79</v>
      </c>
      <c r="G32" s="31" t="n">
        <v>953.1900000000001</v>
      </c>
      <c r="H32" s="31" t="n">
        <v>1040.79</v>
      </c>
      <c r="I32" s="31" t="n">
        <v>953.1900000000001</v>
      </c>
      <c r="J32" s="31" t="n">
        <v>1372.37</v>
      </c>
      <c r="K32" s="31" t="n">
        <v>1596.5</v>
      </c>
      <c r="L32" s="31" t="n">
        <v>1105.27</v>
      </c>
      <c r="M32" s="31" t="n">
        <v>2027.33</v>
      </c>
      <c r="N32" s="31" t="n">
        <v>1244.85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(ППР) — из списка</t>
        </is>
      </c>
      <c r="C34" s="24" t="inlineStr">
        <is>
          <t>тыс/год</t>
        </is>
      </c>
      <c r="E34" s="38">
        <f>SUM(E69:E90)</f>
        <v/>
      </c>
      <c r="F34" s="38">
        <f>SUM(F69:F90)</f>
        <v/>
      </c>
      <c r="G34" s="38">
        <f>SUM(G69:G90)</f>
        <v/>
      </c>
      <c r="H34" s="38">
        <f>SUM(H69:H90)</f>
        <v/>
      </c>
      <c r="I34" s="38">
        <f>SUM(I69:I90)</f>
        <v/>
      </c>
      <c r="J34" s="38">
        <f>SUM(J69:J90)</f>
        <v/>
      </c>
      <c r="K34" s="38">
        <f>SUM(K69:K90)</f>
        <v/>
      </c>
      <c r="L34" s="38">
        <f>SUM(L69:L90)</f>
        <v/>
      </c>
      <c r="M34" s="38">
        <f>SUM(M69:M90)</f>
        <v/>
      </c>
      <c r="N34" s="38">
        <f>SUM(N69:N90)</f>
        <v/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-34.175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E90" s="47" t="n">
        <v>0</v>
      </c>
      <c r="F90" s="47" t="n">
        <v>40.434</v>
      </c>
      <c r="G90" s="47" t="n">
        <v>532.652</v>
      </c>
      <c r="H90" s="47" t="n">
        <v>1329.952</v>
      </c>
      <c r="I90" s="47" t="n">
        <v>111</v>
      </c>
      <c r="J90" s="47" t="n">
        <v>573.086</v>
      </c>
      <c r="K90" s="47" t="n">
        <v>40.434</v>
      </c>
      <c r="L90" s="47" t="n">
        <v>1289.518</v>
      </c>
      <c r="M90" s="47" t="n">
        <v>684.086</v>
      </c>
      <c r="N90" s="47" t="n">
        <v>0</v>
      </c>
    </row>
    <row r="92">
      <c r="B92" s="48" t="inlineStr">
        <is>
          <t>Заполняйте: каталог запчастей ТО (цена, кол-во, № ТО) и список узлов/капремонтов (стоимость по годам). КТГ, затраты ТО и капремонты пересчитаются снизу вверх; сводка «Данные по годам» и весь расчёт обновятся автоматически. Строка «Корректировка» и «Прочие/укрупнённо» — балансирующие, замените детализацией.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2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данных'!E7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85.81</v>
      </c>
      <c r="F17" s="33" t="n">
        <v>85.81</v>
      </c>
      <c r="G17" s="33" t="n">
        <v>85.81</v>
      </c>
      <c r="H17" s="33" t="n">
        <v>85.81</v>
      </c>
      <c r="I17" s="33" t="n">
        <v>85.81</v>
      </c>
      <c r="J17" s="33" t="n">
        <v>85.81</v>
      </c>
      <c r="K17" s="33" t="n">
        <v>85.81</v>
      </c>
      <c r="L17" s="33" t="n">
        <v>85.81</v>
      </c>
      <c r="M17" s="33" t="n">
        <v>85.81</v>
      </c>
      <c r="N17" s="33" t="n">
        <v>85.81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392</v>
      </c>
      <c r="F32" s="31" t="n">
        <v>1498.61</v>
      </c>
      <c r="G32" s="31" t="n">
        <v>1263.87</v>
      </c>
      <c r="H32" s="31" t="n">
        <v>1794.64</v>
      </c>
      <c r="I32" s="31" t="n">
        <v>1804.53</v>
      </c>
      <c r="J32" s="31" t="n">
        <v>1372.37</v>
      </c>
      <c r="K32" s="31" t="n">
        <v>1596.5</v>
      </c>
      <c r="L32" s="31" t="n">
        <v>1105.27</v>
      </c>
      <c r="M32" s="31" t="n">
        <v>2027.33</v>
      </c>
      <c r="N32" s="31" t="n">
        <v>1244.85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(ППР) — из списка</t>
        </is>
      </c>
      <c r="C34" s="24" t="inlineStr">
        <is>
          <t>тыс/год</t>
        </is>
      </c>
      <c r="E34" s="38">
        <f>SUM(E69:E90)</f>
        <v/>
      </c>
      <c r="F34" s="38">
        <f>SUM(F69:F90)</f>
        <v/>
      </c>
      <c r="G34" s="38">
        <f>SUM(G69:G90)</f>
        <v/>
      </c>
      <c r="H34" s="38">
        <f>SUM(H69:H90)</f>
        <v/>
      </c>
      <c r="I34" s="38">
        <f>SUM(I69:I90)</f>
        <v/>
      </c>
      <c r="J34" s="38">
        <f>SUM(J69:J90)</f>
        <v/>
      </c>
      <c r="K34" s="38">
        <f>SUM(K69:K90)</f>
        <v/>
      </c>
      <c r="L34" s="38">
        <f>SUM(L69:L90)</f>
        <v/>
      </c>
      <c r="M34" s="38">
        <f>SUM(M69:M90)</f>
        <v/>
      </c>
      <c r="N34" s="38">
        <f>SUM(N69:N90)</f>
        <v/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-34.175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E90" s="47" t="n">
        <v>0</v>
      </c>
      <c r="F90" s="47" t="n">
        <v>40.434</v>
      </c>
      <c r="G90" s="47" t="n">
        <v>532.652</v>
      </c>
      <c r="H90" s="47" t="n">
        <v>1329.952</v>
      </c>
      <c r="I90" s="47" t="n">
        <v>111</v>
      </c>
      <c r="J90" s="47" t="n">
        <v>573.086</v>
      </c>
      <c r="K90" s="47" t="n">
        <v>40.434</v>
      </c>
      <c r="L90" s="47" t="n">
        <v>1289.518</v>
      </c>
      <c r="M90" s="47" t="n">
        <v>684.086</v>
      </c>
      <c r="N90" s="47" t="n">
        <v>0</v>
      </c>
    </row>
    <row r="92">
      <c r="B92" s="48" t="inlineStr">
        <is>
          <t>Заполняйте: каталог запчастей ТО (цена, кол-во, № ТО) и список узлов/капремонтов (стоимость по годам). КТГ, затраты ТО и капремонты пересчитаются снизу вверх; сводка «Данные по годам» и весь расчёт обновятся автоматически. Строка «Корректировка» и «Прочие/укрупнённо» — балансирующие, замените детализацией.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данных'!F7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90.23</v>
      </c>
      <c r="F17" s="33" t="n">
        <v>90.23</v>
      </c>
      <c r="G17" s="33" t="n">
        <v>90.23</v>
      </c>
      <c r="H17" s="33" t="n">
        <v>90.23</v>
      </c>
      <c r="I17" s="33" t="n">
        <v>90.23</v>
      </c>
      <c r="J17" s="33" t="n">
        <v>90.23</v>
      </c>
      <c r="K17" s="33" t="n">
        <v>90.23</v>
      </c>
      <c r="L17" s="33" t="n">
        <v>90.23</v>
      </c>
      <c r="M17" s="33" t="n">
        <v>90.23</v>
      </c>
      <c r="N17" s="33" t="n">
        <v>90.23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(ППР) — из списка</t>
        </is>
      </c>
      <c r="C34" s="24" t="inlineStr">
        <is>
          <t>тыс/год</t>
        </is>
      </c>
      <c r="E34" s="38">
        <f>SUM(E69:E90)</f>
        <v/>
      </c>
      <c r="F34" s="38">
        <f>SUM(F69:F90)</f>
        <v/>
      </c>
      <c r="G34" s="38">
        <f>SUM(G69:G90)</f>
        <v/>
      </c>
      <c r="H34" s="38">
        <f>SUM(H69:H90)</f>
        <v/>
      </c>
      <c r="I34" s="38">
        <f>SUM(I69:I90)</f>
        <v/>
      </c>
      <c r="J34" s="38">
        <f>SUM(J69:J90)</f>
        <v/>
      </c>
      <c r="K34" s="38">
        <f>SUM(K69:K90)</f>
        <v/>
      </c>
      <c r="L34" s="38">
        <f>SUM(L69:L90)</f>
        <v/>
      </c>
      <c r="M34" s="38">
        <f>SUM(M69:M90)</f>
        <v/>
      </c>
      <c r="N34" s="38">
        <f>SUM(N69:N90)</f>
        <v/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25.917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E90" s="47" t="n">
        <v>0</v>
      </c>
      <c r="F90" s="47" t="n">
        <v>17.265</v>
      </c>
      <c r="G90" s="47" t="n">
        <v>861.177</v>
      </c>
      <c r="H90" s="47" t="n">
        <v>17.265</v>
      </c>
      <c r="I90" s="47" t="n">
        <v>130.965</v>
      </c>
      <c r="J90" s="47" t="n">
        <v>878.442</v>
      </c>
      <c r="K90" s="47" t="n">
        <v>0</v>
      </c>
      <c r="L90" s="47" t="n">
        <v>17.265</v>
      </c>
      <c r="M90" s="47" t="n">
        <v>861.177</v>
      </c>
      <c r="N90" s="47" t="n">
        <v>148.23</v>
      </c>
    </row>
    <row r="92">
      <c r="B92" s="48" t="inlineStr">
        <is>
          <t>Заполняйте: каталог запчастей ТО (цена, кол-во, № ТО) и список узлов/капремонтов (стоимость по годам). КТГ, затраты ТО и капремонты пересчитаются снизу вверх; сводка «Данные по годам» и весь расчёт обновятся автоматически. Строка «Корректировка» и «Прочие/укрупнённо» — балансирующие, замените детализацией.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4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данных'!G7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92.04000000000001</v>
      </c>
      <c r="F17" s="33" t="n">
        <v>92.04000000000001</v>
      </c>
      <c r="G17" s="33" t="n">
        <v>92.04000000000001</v>
      </c>
      <c r="H17" s="33" t="n">
        <v>92.04000000000001</v>
      </c>
      <c r="I17" s="33" t="n">
        <v>92.04000000000001</v>
      </c>
      <c r="J17" s="33" t="n">
        <v>92.04000000000001</v>
      </c>
      <c r="K17" s="33" t="n">
        <v>92.04000000000001</v>
      </c>
      <c r="L17" s="33" t="n">
        <v>92.04000000000001</v>
      </c>
      <c r="M17" s="33" t="n">
        <v>92.04000000000001</v>
      </c>
      <c r="N17" s="33" t="n">
        <v>92.04000000000001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(ППР) — из списка</t>
        </is>
      </c>
      <c r="C34" s="24" t="inlineStr">
        <is>
          <t>тыс/год</t>
        </is>
      </c>
      <c r="E34" s="38">
        <f>SUM(E69:E90)</f>
        <v/>
      </c>
      <c r="F34" s="38">
        <f>SUM(F69:F90)</f>
        <v/>
      </c>
      <c r="G34" s="38">
        <f>SUM(G69:G90)</f>
        <v/>
      </c>
      <c r="H34" s="38">
        <f>SUM(H69:H90)</f>
        <v/>
      </c>
      <c r="I34" s="38">
        <f>SUM(I69:I90)</f>
        <v/>
      </c>
      <c r="J34" s="38">
        <f>SUM(J69:J90)</f>
        <v/>
      </c>
      <c r="K34" s="38">
        <f>SUM(K69:K90)</f>
        <v/>
      </c>
      <c r="L34" s="38">
        <f>SUM(L69:L90)</f>
        <v/>
      </c>
      <c r="M34" s="38">
        <f>SUM(M69:M90)</f>
        <v/>
      </c>
      <c r="N34" s="38">
        <f>SUM(N69:N90)</f>
        <v/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202.948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E90" s="47" t="n">
        <v>0</v>
      </c>
      <c r="F90" s="47" t="n">
        <v>192.898</v>
      </c>
      <c r="G90" s="47" t="n">
        <v>1206.523</v>
      </c>
      <c r="H90" s="47" t="n">
        <v>194.08</v>
      </c>
      <c r="I90" s="47" t="n">
        <v>320.827</v>
      </c>
      <c r="J90" s="47" t="n">
        <v>1403.559</v>
      </c>
      <c r="K90" s="47" t="n">
        <v>104.847</v>
      </c>
      <c r="L90" s="47" t="n">
        <v>449.165</v>
      </c>
      <c r="M90" s="47" t="n">
        <v>1249.211</v>
      </c>
      <c r="N90" s="47" t="n">
        <v>129.43</v>
      </c>
    </row>
    <row r="92">
      <c r="B92" s="48" t="inlineStr">
        <is>
          <t>Заполняйте: каталог запчастей ТО (цена, кол-во, № ТО) и список узлов/капремонтов (стоимость по годам). КТГ, затраты ТО и капремонты пересчитаются снизу вверх; сводка «Данные по годам» и весь расчёт обновятся автоматически. Строка «Корректировка» и «Прочие/укрупнённо» — балансирующие, замените детализацией.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данных'!H7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102</v>
      </c>
      <c r="F17" s="33" t="n">
        <v>102</v>
      </c>
      <c r="G17" s="33" t="n">
        <v>102</v>
      </c>
      <c r="H17" s="33" t="n">
        <v>102</v>
      </c>
      <c r="I17" s="33" t="n">
        <v>102</v>
      </c>
      <c r="J17" s="33" t="n">
        <v>102</v>
      </c>
      <c r="K17" s="33" t="n">
        <v>102</v>
      </c>
      <c r="L17" s="33" t="n">
        <v>102</v>
      </c>
      <c r="M17" s="33" t="n">
        <v>102</v>
      </c>
      <c r="N17" s="33" t="n">
        <v>102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(ППР) — из списка</t>
        </is>
      </c>
      <c r="C34" s="24" t="inlineStr">
        <is>
          <t>тыс/год</t>
        </is>
      </c>
      <c r="E34" s="38">
        <f>SUM(E69:E90)</f>
        <v/>
      </c>
      <c r="F34" s="38">
        <f>SUM(F69:F90)</f>
        <v/>
      </c>
      <c r="G34" s="38">
        <f>SUM(G69:G90)</f>
        <v/>
      </c>
      <c r="H34" s="38">
        <f>SUM(H69:H90)</f>
        <v/>
      </c>
      <c r="I34" s="38">
        <f>SUM(I69:I90)</f>
        <v/>
      </c>
      <c r="J34" s="38">
        <f>SUM(J69:J90)</f>
        <v/>
      </c>
      <c r="K34" s="38">
        <f>SUM(K69:K90)</f>
        <v/>
      </c>
      <c r="L34" s="38">
        <f>SUM(L69:L90)</f>
        <v/>
      </c>
      <c r="M34" s="38">
        <f>SUM(M69:M90)</f>
        <v/>
      </c>
      <c r="N34" s="38">
        <f>SUM(N69:N90)</f>
        <v/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25.917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E90" s="47" t="n">
        <v>0</v>
      </c>
      <c r="F90" s="47" t="n">
        <v>17.265</v>
      </c>
      <c r="G90" s="47" t="n">
        <v>861.177</v>
      </c>
      <c r="H90" s="47" t="n">
        <v>17.265</v>
      </c>
      <c r="I90" s="47" t="n">
        <v>130.965</v>
      </c>
      <c r="J90" s="47" t="n">
        <v>878.442</v>
      </c>
      <c r="K90" s="47" t="n">
        <v>0</v>
      </c>
      <c r="L90" s="47" t="n">
        <v>17.265</v>
      </c>
      <c r="M90" s="47" t="n">
        <v>861.177</v>
      </c>
      <c r="N90" s="47" t="n">
        <v>148.23</v>
      </c>
    </row>
    <row r="92">
      <c r="B92" s="48" t="inlineStr">
        <is>
          <t>Заполняйте: каталог запчастей ТО (цена, кол-во, № ТО) и список узлов/капремонтов (стоимость по годам). КТГ, затраты ТО и капремонты пересчитаются снизу вверх; сводка «Данные по годам» и весь расчёт обновятся автоматически. Строка «Корректировка» и «Прочие/укрупнённо» — балансирующие, замените детализацией.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N92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ШАБЛОН ДАННЫХ ПОСТАВЩИКА — ВАРИАНТ 6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Модели ТО и Ремонтов с полными списками. Зелёное — авто; сводка тянется в «Данные по годам».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7" t="inlineStr">
        <is>
          <t>Экскаватор:</t>
        </is>
      </c>
      <c r="E4" s="35">
        <f>'Ввод данных'!I7</f>
        <v/>
      </c>
    </row>
    <row r="5">
      <c r="B5" s="9" t="inlineStr">
        <is>
          <t>Валюта затрат ТОиР:</t>
        </is>
      </c>
      <c r="D5" s="36" t="inlineStr">
        <is>
          <t>USD</t>
        </is>
      </c>
    </row>
    <row r="6">
      <c r="B6" s="15" t="inlineStr">
        <is>
          <t>Показатель</t>
        </is>
      </c>
      <c r="C6" s="15" t="inlineStr">
        <is>
          <t>Ед.</t>
        </is>
      </c>
      <c r="D6" s="15" t="n"/>
      <c r="E6" s="15" t="inlineStr">
        <is>
          <t>год 1</t>
        </is>
      </c>
      <c r="F6" s="15" t="inlineStr">
        <is>
          <t>год 2</t>
        </is>
      </c>
      <c r="G6" s="15" t="inlineStr">
        <is>
          <t>год 3</t>
        </is>
      </c>
      <c r="H6" s="15" t="inlineStr">
        <is>
          <t>год 4</t>
        </is>
      </c>
      <c r="I6" s="15" t="inlineStr">
        <is>
          <t>год 5</t>
        </is>
      </c>
      <c r="J6" s="15" t="inlineStr">
        <is>
          <t>год 6</t>
        </is>
      </c>
      <c r="K6" s="15" t="inlineStr">
        <is>
          <t>год 7</t>
        </is>
      </c>
      <c r="L6" s="15" t="inlineStr">
        <is>
          <t>год 8</t>
        </is>
      </c>
      <c r="M6" s="15" t="inlineStr">
        <is>
          <t>год 9</t>
        </is>
      </c>
      <c r="N6" s="15" t="inlineStr">
        <is>
          <t>год 10</t>
        </is>
      </c>
    </row>
    <row r="7">
      <c r="B7" s="5" t="inlineStr">
        <is>
          <t>СВОДКА ПО ГОДАМ (зелёное — авто из моделей ниже; тянется в расчёт)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B8" s="37" t="inlineStr">
        <is>
          <t>Простои на ТО</t>
        </is>
      </c>
      <c r="C8" s="24" t="inlineStr">
        <is>
          <t>ч/год</t>
        </is>
      </c>
      <c r="E8" s="38">
        <f>$G$27</f>
        <v/>
      </c>
      <c r="F8" s="38">
        <f>$G$27</f>
        <v/>
      </c>
      <c r="G8" s="38">
        <f>$G$27</f>
        <v/>
      </c>
      <c r="H8" s="38">
        <f>$G$27</f>
        <v/>
      </c>
      <c r="I8" s="38">
        <f>$G$27</f>
        <v/>
      </c>
      <c r="J8" s="38">
        <f>$G$27</f>
        <v/>
      </c>
      <c r="K8" s="38">
        <f>$G$27</f>
        <v/>
      </c>
      <c r="L8" s="38">
        <f>$G$27</f>
        <v/>
      </c>
      <c r="M8" s="38">
        <f>$G$27</f>
        <v/>
      </c>
      <c r="N8" s="38">
        <f>$G$27</f>
        <v/>
      </c>
    </row>
    <row r="9">
      <c r="B9" s="37" t="inlineStr">
        <is>
          <t>Простои в ремонтах</t>
        </is>
      </c>
      <c r="C9" s="24" t="inlineStr">
        <is>
          <t>ч/год</t>
        </is>
      </c>
      <c r="E9" s="38">
        <f>E32</f>
        <v/>
      </c>
      <c r="F9" s="38">
        <f>F32</f>
        <v/>
      </c>
      <c r="G9" s="38">
        <f>G32</f>
        <v/>
      </c>
      <c r="H9" s="38">
        <f>H32</f>
        <v/>
      </c>
      <c r="I9" s="38">
        <f>I32</f>
        <v/>
      </c>
      <c r="J9" s="38">
        <f>J32</f>
        <v/>
      </c>
      <c r="K9" s="38">
        <f>K32</f>
        <v/>
      </c>
      <c r="L9" s="38">
        <f>L32</f>
        <v/>
      </c>
      <c r="M9" s="38">
        <f>M32</f>
        <v/>
      </c>
      <c r="N9" s="38">
        <f>N32</f>
        <v/>
      </c>
    </row>
    <row r="10">
      <c r="B10" s="22" t="inlineStr">
        <is>
          <t>Ежесменный осмотр</t>
        </is>
      </c>
      <c r="C10" s="24" t="inlineStr">
        <is>
          <t>ч/год</t>
        </is>
      </c>
      <c r="E10" s="31" t="n">
        <v>0</v>
      </c>
      <c r="F10" s="31" t="n">
        <v>0</v>
      </c>
      <c r="G10" s="31" t="n">
        <v>0</v>
      </c>
      <c r="H10" s="31" t="n">
        <v>0</v>
      </c>
      <c r="I10" s="31" t="n">
        <v>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</row>
    <row r="11">
      <c r="B11" s="37" t="inlineStr">
        <is>
          <t>КТГ (авто) = (8760 − простои)/8760</t>
        </is>
      </c>
      <c r="C11" s="24" t="inlineStr">
        <is>
          <t>коэф.</t>
        </is>
      </c>
      <c r="E11" s="39">
        <f>('Параметры'!C26-E8-E9-E10)/'Параметры'!C26</f>
        <v/>
      </c>
      <c r="F11" s="39">
        <f>('Параметры'!C26-F8-F9-F10)/'Параметры'!C26</f>
        <v/>
      </c>
      <c r="G11" s="39">
        <f>('Параметры'!C26-G8-G9-G10)/'Параметры'!C26</f>
        <v/>
      </c>
      <c r="H11" s="39">
        <f>('Параметры'!C26-H8-H9-H10)/'Параметры'!C26</f>
        <v/>
      </c>
      <c r="I11" s="39">
        <f>('Параметры'!C26-I8-I9-I10)/'Параметры'!C26</f>
        <v/>
      </c>
      <c r="J11" s="39">
        <f>('Параметры'!C26-J8-J9-J10)/'Параметры'!C26</f>
        <v/>
      </c>
      <c r="K11" s="39">
        <f>('Параметры'!C26-K8-K9-K10)/'Параметры'!C26</f>
        <v/>
      </c>
      <c r="L11" s="39">
        <f>('Параметры'!C26-L8-L9-L10)/'Параметры'!C26</f>
        <v/>
      </c>
      <c r="M11" s="39">
        <f>('Параметры'!C26-M8-M9-M10)/'Параметры'!C26</f>
        <v/>
      </c>
      <c r="N11" s="39">
        <f>('Параметры'!C26-N8-N9-N10)/'Параметры'!C26</f>
        <v/>
      </c>
    </row>
    <row r="12">
      <c r="B12" s="37" t="inlineStr">
        <is>
          <t>ТО (запчасти + смазочные)</t>
        </is>
      </c>
      <c r="C12" s="24" t="inlineStr">
        <is>
          <t>тыс/год</t>
        </is>
      </c>
      <c r="E12" s="38">
        <f>$E$28</f>
        <v/>
      </c>
      <c r="F12" s="38">
        <f>$E$28</f>
        <v/>
      </c>
      <c r="G12" s="38">
        <f>$E$28</f>
        <v/>
      </c>
      <c r="H12" s="38">
        <f>$E$28</f>
        <v/>
      </c>
      <c r="I12" s="38">
        <f>$E$28</f>
        <v/>
      </c>
      <c r="J12" s="38">
        <f>$E$28</f>
        <v/>
      </c>
      <c r="K12" s="38">
        <f>$E$28</f>
        <v/>
      </c>
      <c r="L12" s="38">
        <f>$E$28</f>
        <v/>
      </c>
      <c r="M12" s="38">
        <f>$E$28</f>
        <v/>
      </c>
      <c r="N12" s="38">
        <f>$E$28</f>
        <v/>
      </c>
    </row>
    <row r="13">
      <c r="B13" s="37" t="inlineStr">
        <is>
          <t>Текущие ремонты</t>
        </is>
      </c>
      <c r="C13" s="24" t="inlineStr">
        <is>
          <t>тыс/год</t>
        </is>
      </c>
      <c r="E13" s="38">
        <f>E33</f>
        <v/>
      </c>
      <c r="F13" s="38">
        <f>F33</f>
        <v/>
      </c>
      <c r="G13" s="38">
        <f>G33</f>
        <v/>
      </c>
      <c r="H13" s="38">
        <f>H33</f>
        <v/>
      </c>
      <c r="I13" s="38">
        <f>I33</f>
        <v/>
      </c>
      <c r="J13" s="38">
        <f>J33</f>
        <v/>
      </c>
      <c r="K13" s="38">
        <f>K33</f>
        <v/>
      </c>
      <c r="L13" s="38">
        <f>L33</f>
        <v/>
      </c>
      <c r="M13" s="38">
        <f>M33</f>
        <v/>
      </c>
      <c r="N13" s="38">
        <f>N33</f>
        <v/>
      </c>
    </row>
    <row r="14">
      <c r="B14" s="37" t="inlineStr">
        <is>
          <t>Капитальные ремонты (ППР)</t>
        </is>
      </c>
      <c r="C14" s="24" t="inlineStr">
        <is>
          <t>тыс/год</t>
        </is>
      </c>
      <c r="E14" s="38">
        <f>E34</f>
        <v/>
      </c>
      <c r="F14" s="38">
        <f>F34</f>
        <v/>
      </c>
      <c r="G14" s="38">
        <f>G34</f>
        <v/>
      </c>
      <c r="H14" s="38">
        <f>H34</f>
        <v/>
      </c>
      <c r="I14" s="38">
        <f>I34</f>
        <v/>
      </c>
      <c r="J14" s="38">
        <f>J34</f>
        <v/>
      </c>
      <c r="K14" s="38">
        <f>K34</f>
        <v/>
      </c>
      <c r="L14" s="38">
        <f>L34</f>
        <v/>
      </c>
      <c r="M14" s="38">
        <f>M34</f>
        <v/>
      </c>
      <c r="N14" s="38">
        <f>N34</f>
        <v/>
      </c>
    </row>
    <row r="15">
      <c r="B15" s="37" t="inlineStr">
        <is>
          <t>Сервис (ТО + ремонты)</t>
        </is>
      </c>
      <c r="C15" s="24" t="inlineStr">
        <is>
          <t>тыс/год</t>
        </is>
      </c>
      <c r="E15" s="38">
        <f>$E$30+E35</f>
        <v/>
      </c>
      <c r="F15" s="38">
        <f>$E$30+F35</f>
        <v/>
      </c>
      <c r="G15" s="38">
        <f>$E$30+G35</f>
        <v/>
      </c>
      <c r="H15" s="38">
        <f>$E$30+H35</f>
        <v/>
      </c>
      <c r="I15" s="38">
        <f>$E$30+I35</f>
        <v/>
      </c>
      <c r="J15" s="38">
        <f>$E$30+J35</f>
        <v/>
      </c>
      <c r="K15" s="38">
        <f>$E$30+K35</f>
        <v/>
      </c>
      <c r="L15" s="38">
        <f>$E$30+L35</f>
        <v/>
      </c>
      <c r="M15" s="38">
        <f>$E$30+M35</f>
        <v/>
      </c>
      <c r="N15" s="38">
        <f>$E$30+N35</f>
        <v/>
      </c>
    </row>
    <row r="16">
      <c r="B16" s="37" t="inlineStr">
        <is>
          <t>ИТОГО ТОиР (авто) → «Данные по годам»</t>
        </is>
      </c>
      <c r="C16" s="24" t="inlineStr">
        <is>
          <t>тыс/год</t>
        </is>
      </c>
      <c r="E16" s="38">
        <f>E12+E13+E14+E15</f>
        <v/>
      </c>
      <c r="F16" s="38">
        <f>F12+F13+F14+F15</f>
        <v/>
      </c>
      <c r="G16" s="38">
        <f>G12+G13+G14+G15</f>
        <v/>
      </c>
      <c r="H16" s="38">
        <f>H12+H13+H14+H15</f>
        <v/>
      </c>
      <c r="I16" s="38">
        <f>I12+I13+I14+I15</f>
        <v/>
      </c>
      <c r="J16" s="38">
        <f>J12+J13+J14+J15</f>
        <v/>
      </c>
      <c r="K16" s="38">
        <f>K12+K13+K14+K15</f>
        <v/>
      </c>
      <c r="L16" s="38">
        <f>L12+L13+L14+L15</f>
        <v/>
      </c>
      <c r="M16" s="38">
        <f>M12+M13+M14+M15</f>
        <v/>
      </c>
      <c r="N16" s="38">
        <f>N12+N13+N14+N15</f>
        <v/>
      </c>
    </row>
    <row r="17">
      <c r="B17" s="22" t="inlineStr">
        <is>
          <t>Удельный расход ДТ</t>
        </is>
      </c>
      <c r="C17" s="24" t="inlineStr">
        <is>
          <t>кг/час</t>
        </is>
      </c>
      <c r="E17" s="33" t="n">
        <v>120</v>
      </c>
      <c r="F17" s="33" t="n">
        <v>120</v>
      </c>
      <c r="G17" s="33" t="n">
        <v>120</v>
      </c>
      <c r="H17" s="33" t="n">
        <v>120</v>
      </c>
      <c r="I17" s="33" t="n">
        <v>120</v>
      </c>
      <c r="J17" s="33" t="n">
        <v>120</v>
      </c>
      <c r="K17" s="33" t="n">
        <v>120</v>
      </c>
      <c r="L17" s="33" t="n">
        <v>120</v>
      </c>
      <c r="M17" s="33" t="n">
        <v>120</v>
      </c>
      <c r="N17" s="33" t="n">
        <v>120</v>
      </c>
    </row>
    <row r="18">
      <c r="B18" s="22" t="inlineStr">
        <is>
          <t>Расходники на ковш</t>
        </is>
      </c>
      <c r="C18" s="24" t="inlineStr">
        <is>
          <t>руб/м³</t>
        </is>
      </c>
      <c r="E18" s="40" t="n">
        <v>0.87</v>
      </c>
      <c r="F18" s="40" t="n">
        <v>0.87</v>
      </c>
      <c r="G18" s="40" t="n">
        <v>0.87</v>
      </c>
      <c r="H18" s="40" t="n">
        <v>0.87</v>
      </c>
      <c r="I18" s="40" t="n">
        <v>0.87</v>
      </c>
      <c r="J18" s="40" t="n">
        <v>0.87</v>
      </c>
      <c r="K18" s="40" t="n">
        <v>0.87</v>
      </c>
      <c r="L18" s="40" t="n">
        <v>0.87</v>
      </c>
      <c r="M18" s="40" t="n">
        <v>0.87</v>
      </c>
      <c r="N18" s="40" t="n">
        <v>0.87</v>
      </c>
    </row>
    <row r="19">
      <c r="B19" s="5" t="inlineStr">
        <is>
          <t>РАСЧЁТ ТО (по интервалам обслуживания)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B20" s="22" t="inlineStr">
        <is>
          <t>Годовая наработка</t>
        </is>
      </c>
      <c r="C20" s="24" t="inlineStr">
        <is>
          <t>м/час</t>
        </is>
      </c>
      <c r="E20" s="31" t="n">
        <v>7000</v>
      </c>
    </row>
    <row r="21">
      <c r="B21" s="15" t="inlineStr">
        <is>
          <t>Вид ТО</t>
        </is>
      </c>
      <c r="C21" s="15" t="inlineStr">
        <is>
          <t>интервал</t>
        </is>
      </c>
      <c r="D21" s="15" t="inlineStr">
        <is>
          <t>длит.простоя</t>
        </is>
      </c>
      <c r="E21" s="15" t="inlineStr">
        <is>
          <t>персонал</t>
        </is>
      </c>
      <c r="F21" s="15" t="inlineStr">
        <is>
          <t>ТО/год</t>
        </is>
      </c>
      <c r="G21" s="15" t="inlineStr">
        <is>
          <t>простой,ч</t>
        </is>
      </c>
      <c r="H21" s="15" t="inlineStr">
        <is>
          <t>ч·час</t>
        </is>
      </c>
    </row>
    <row r="22">
      <c r="B22" s="22" t="inlineStr">
        <is>
          <t>ТО-1</t>
        </is>
      </c>
      <c r="C22" s="41" t="n">
        <v>500</v>
      </c>
      <c r="D22" s="41" t="n">
        <v>10.2</v>
      </c>
      <c r="E22" s="41" t="n">
        <v>2</v>
      </c>
      <c r="F22" s="42">
        <f>$E$20/C22</f>
        <v/>
      </c>
      <c r="G22" s="42">
        <f>F22*D22</f>
        <v/>
      </c>
      <c r="H22" s="42">
        <f>G22*E22</f>
        <v/>
      </c>
    </row>
    <row r="23">
      <c r="B23" s="22" t="inlineStr">
        <is>
          <t>ТО-2</t>
        </is>
      </c>
      <c r="C23" s="41" t="n">
        <v>1000</v>
      </c>
      <c r="D23" s="41" t="n">
        <v>9.4</v>
      </c>
      <c r="E23" s="41" t="n">
        <v>2</v>
      </c>
      <c r="F23" s="42">
        <f>$E$20/C23</f>
        <v/>
      </c>
      <c r="G23" s="42">
        <f>F23*D23</f>
        <v/>
      </c>
      <c r="H23" s="42">
        <f>G23*E23</f>
        <v/>
      </c>
    </row>
    <row r="24">
      <c r="B24" s="22" t="inlineStr">
        <is>
          <t>ТО-3</t>
        </is>
      </c>
      <c r="C24" s="41" t="n">
        <v>2000</v>
      </c>
      <c r="D24" s="41" t="n">
        <v>12.4</v>
      </c>
      <c r="E24" s="41" t="n">
        <v>2</v>
      </c>
      <c r="F24" s="42">
        <f>$E$20/C24</f>
        <v/>
      </c>
      <c r="G24" s="42">
        <f>F24*D24</f>
        <v/>
      </c>
      <c r="H24" s="42">
        <f>G24*E24</f>
        <v/>
      </c>
    </row>
    <row r="25">
      <c r="B25" s="22" t="inlineStr">
        <is>
          <t>ТО-4</t>
        </is>
      </c>
      <c r="C25" s="41" t="n">
        <v>4000</v>
      </c>
      <c r="D25" s="41" t="n">
        <v>7.8</v>
      </c>
      <c r="E25" s="41" t="n">
        <v>2</v>
      </c>
      <c r="F25" s="42">
        <f>$E$20/C25</f>
        <v/>
      </c>
      <c r="G25" s="42">
        <f>F25*D25</f>
        <v/>
      </c>
      <c r="H25" s="42">
        <f>G25*E25</f>
        <v/>
      </c>
    </row>
    <row r="26">
      <c r="B26" s="22" t="inlineStr">
        <is>
          <t>ТО-5</t>
        </is>
      </c>
      <c r="C26" s="41" t="n">
        <v>5000</v>
      </c>
      <c r="D26" s="41" t="n">
        <v>5.4</v>
      </c>
      <c r="E26" s="41" t="n">
        <v>2</v>
      </c>
      <c r="F26" s="42">
        <f>$E$20/C26</f>
        <v/>
      </c>
      <c r="G26" s="42">
        <f>F26*D26</f>
        <v/>
      </c>
      <c r="H26" s="42">
        <f>G26*E26</f>
        <v/>
      </c>
    </row>
    <row r="27">
      <c r="B27" s="43" t="inlineStr">
        <is>
          <t>Итого простои / ч·часы ТО</t>
        </is>
      </c>
      <c r="G27" s="44">
        <f>SUM(G22:G26)</f>
        <v/>
      </c>
      <c r="H27" s="44">
        <f>SUM(H22:H26)</f>
        <v/>
      </c>
    </row>
    <row r="28">
      <c r="B28" s="37" t="inlineStr">
        <is>
          <t>Затраты на запчасти ТО (из каталога)</t>
        </is>
      </c>
      <c r="C28" s="24" t="inlineStr">
        <is>
          <t>тыс/год</t>
        </is>
      </c>
      <c r="E28" s="38">
        <f>SUM(F38:F65)</f>
        <v/>
      </c>
    </row>
    <row r="29">
      <c r="B29" s="22" t="inlineStr">
        <is>
          <t>Ставка сервиса</t>
        </is>
      </c>
      <c r="C29" s="24" t="inlineStr">
        <is>
          <t>вал/ч·час</t>
        </is>
      </c>
      <c r="E29" s="31" t="n">
        <v>50</v>
      </c>
    </row>
    <row r="30">
      <c r="B30" s="37" t="inlineStr">
        <is>
          <t>Сервис ТО (авто) = ч·часы × ставка</t>
        </is>
      </c>
      <c r="C30" s="24" t="inlineStr">
        <is>
          <t>тыс/год</t>
        </is>
      </c>
      <c r="E30" s="38">
        <f>$H$27*$E$29/1000</f>
        <v/>
      </c>
    </row>
    <row r="31">
      <c r="B31" s="5" t="inlineStr">
        <is>
          <t>РАСЧЁТ РЕМОНТОВ (график по годам)</t>
        </is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Простои в ремонтах</t>
        </is>
      </c>
      <c r="C32" s="24" t="inlineStr">
        <is>
          <t>ч/год</t>
        </is>
      </c>
      <c r="E32" s="31" t="n">
        <v>1000.04</v>
      </c>
      <c r="F32" s="31" t="n">
        <v>2106.65</v>
      </c>
      <c r="G32" s="31" t="n">
        <v>1871.91</v>
      </c>
      <c r="H32" s="31" t="n">
        <v>2402.67</v>
      </c>
      <c r="I32" s="31" t="n">
        <v>2412.57</v>
      </c>
      <c r="J32" s="31" t="n">
        <v>1980.41</v>
      </c>
      <c r="K32" s="31" t="n">
        <v>2204.54</v>
      </c>
      <c r="L32" s="31" t="n">
        <v>1713.31</v>
      </c>
      <c r="M32" s="31" t="n">
        <v>2635.37</v>
      </c>
      <c r="N32" s="31" t="n">
        <v>1852.89</v>
      </c>
    </row>
    <row r="33">
      <c r="B33" s="22" t="inlineStr">
        <is>
          <t>Текущие ремонты</t>
        </is>
      </c>
      <c r="C33" s="24" t="inlineStr">
        <is>
          <t>тыс/год</t>
        </is>
      </c>
      <c r="E33" s="31" t="n">
        <v>0</v>
      </c>
      <c r="F33" s="31" t="n">
        <v>0</v>
      </c>
      <c r="G33" s="31" t="n">
        <v>0</v>
      </c>
      <c r="H33" s="31" t="n">
        <v>0</v>
      </c>
      <c r="I33" s="31" t="n">
        <v>0</v>
      </c>
      <c r="J33" s="31" t="n">
        <v>0</v>
      </c>
      <c r="K33" s="31" t="n">
        <v>0</v>
      </c>
      <c r="L33" s="31" t="n">
        <v>0</v>
      </c>
      <c r="M33" s="31" t="n">
        <v>0</v>
      </c>
      <c r="N33" s="31" t="n">
        <v>0</v>
      </c>
    </row>
    <row r="34">
      <c r="B34" s="37" t="inlineStr">
        <is>
          <t>Капитальные ремонты (ППР) — из списка</t>
        </is>
      </c>
      <c r="C34" s="24" t="inlineStr">
        <is>
          <t>тыс/год</t>
        </is>
      </c>
      <c r="E34" s="38">
        <f>SUM(E69:E90)</f>
        <v/>
      </c>
      <c r="F34" s="38">
        <f>SUM(F69:F90)</f>
        <v/>
      </c>
      <c r="G34" s="38">
        <f>SUM(G69:G90)</f>
        <v/>
      </c>
      <c r="H34" s="38">
        <f>SUM(H69:H90)</f>
        <v/>
      </c>
      <c r="I34" s="38">
        <f>SUM(I69:I90)</f>
        <v/>
      </c>
      <c r="J34" s="38">
        <f>SUM(J69:J90)</f>
        <v/>
      </c>
      <c r="K34" s="38">
        <f>SUM(K69:K90)</f>
        <v/>
      </c>
      <c r="L34" s="38">
        <f>SUM(L69:L90)</f>
        <v/>
      </c>
      <c r="M34" s="38">
        <f>SUM(M69:M90)</f>
        <v/>
      </c>
      <c r="N34" s="38">
        <f>SUM(N69:N90)</f>
        <v/>
      </c>
    </row>
    <row r="35">
      <c r="B35" s="22" t="inlineStr">
        <is>
          <t>Сервис ремонтов (трудозатраты)</t>
        </is>
      </c>
      <c r="C35" s="24" t="inlineStr">
        <is>
          <t>тыс/год</t>
        </is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</row>
    <row r="36">
      <c r="B36" s="5" t="inlineStr">
        <is>
          <t>КАТАЛОГ ЗАПЧАСТЕЙ ТО (заполняет подрядчик)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B37" s="15" t="inlineStr">
        <is>
          <t>Наименование</t>
        </is>
      </c>
      <c r="C37" s="15" t="inlineStr">
        <is>
          <t>цена за ед</t>
        </is>
      </c>
      <c r="D37" s="15" t="inlineStr">
        <is>
          <t>кол-во/ТО</t>
        </is>
      </c>
      <c r="E37" s="15" t="inlineStr">
        <is>
          <t>№ ТО</t>
        </is>
      </c>
      <c r="F37" s="15" t="inlineStr">
        <is>
          <t>стоимость,тыс/год</t>
        </is>
      </c>
    </row>
    <row r="38">
      <c r="B38" s="22" t="inlineStr">
        <is>
          <t>Масляный фильтр</t>
        </is>
      </c>
      <c r="C38" s="45" t="n">
        <v>114.83</v>
      </c>
      <c r="D38" s="45" t="n">
        <v>4</v>
      </c>
      <c r="E38" s="45" t="n">
        <v>1</v>
      </c>
      <c r="F38" s="46">
        <f>($E$20/INDEX($C$22:$C$26,E38))*D38*C38/1000</f>
        <v/>
      </c>
    </row>
    <row r="39">
      <c r="B39" s="22" t="inlineStr">
        <is>
          <t>Топливный фильтр</t>
        </is>
      </c>
      <c r="C39" s="45" t="n">
        <v>141.33</v>
      </c>
      <c r="D39" s="45" t="n">
        <v>2</v>
      </c>
      <c r="E39" s="45" t="n">
        <v>1</v>
      </c>
      <c r="F39" s="46">
        <f>($E$20/INDEX($C$22:$C$26,E39))*D39*C39/1000</f>
        <v/>
      </c>
    </row>
    <row r="40">
      <c r="B40" s="22" t="inlineStr">
        <is>
          <t>Масло ДВС</t>
        </is>
      </c>
      <c r="C40" s="45" t="n">
        <v>6.87</v>
      </c>
      <c r="D40" s="45" t="n">
        <v>130</v>
      </c>
      <c r="E40" s="45" t="n">
        <v>1</v>
      </c>
      <c r="F40" s="46">
        <f>($E$20/INDEX($C$22:$C$26,E40))*D40*C40/1000</f>
        <v/>
      </c>
    </row>
    <row r="41">
      <c r="B41" s="22" t="inlineStr">
        <is>
          <t>Фильтр управляющего контура</t>
        </is>
      </c>
      <c r="C41" s="45" t="n">
        <v>126</v>
      </c>
      <c r="D41" s="45" t="n">
        <v>1</v>
      </c>
      <c r="E41" s="45" t="n">
        <v>1</v>
      </c>
      <c r="F41" s="46">
        <f>($E$20/INDEX($C$22:$C$26,E41))*D41*C41/1000</f>
        <v/>
      </c>
    </row>
    <row r="42">
      <c r="B42" s="22" t="inlineStr">
        <is>
          <t>Сливной фильтр</t>
        </is>
      </c>
      <c r="C42" s="45" t="n">
        <v>30.67</v>
      </c>
      <c r="D42" s="45" t="n">
        <v>2</v>
      </c>
      <c r="E42" s="45" t="n">
        <v>1</v>
      </c>
      <c r="F42" s="46">
        <f>($E$20/INDEX($C$22:$C$26,E42))*D42*C42/1000</f>
        <v/>
      </c>
    </row>
    <row r="43">
      <c r="B43" s="22" t="inlineStr">
        <is>
          <t>Сливной фильтр насоса</t>
        </is>
      </c>
      <c r="C43" s="45" t="n">
        <v>201</v>
      </c>
      <c r="D43" s="45" t="n">
        <v>3</v>
      </c>
      <c r="E43" s="45" t="n">
        <v>1</v>
      </c>
      <c r="F43" s="46">
        <f>($E$20/INDEX($C$22:$C$26,E43))*D43*C43/1000</f>
        <v/>
      </c>
    </row>
    <row r="44">
      <c r="B44" s="22" t="inlineStr">
        <is>
          <t>Смазка</t>
        </is>
      </c>
      <c r="C44" s="45" t="n">
        <v>12.24</v>
      </c>
      <c r="D44" s="45" t="n">
        <v>200</v>
      </c>
      <c r="E44" s="45" t="n">
        <v>1</v>
      </c>
      <c r="F44" s="46">
        <f>($E$20/INDEX($C$22:$C$26,E44))*D44*C44/1000</f>
        <v/>
      </c>
    </row>
    <row r="45">
      <c r="B45" s="22" t="inlineStr">
        <is>
          <t>Топливный фильтр (ТО-2)</t>
        </is>
      </c>
      <c r="C45" s="45" t="n">
        <v>80.17</v>
      </c>
      <c r="D45" s="45" t="n">
        <v>2</v>
      </c>
      <c r="E45" s="45" t="n">
        <v>2</v>
      </c>
      <c r="F45" s="46">
        <f>($E$20/INDEX($C$22:$C$26,E45))*D45*C45/1000</f>
        <v/>
      </c>
    </row>
    <row r="46">
      <c r="B46" s="22" t="inlineStr">
        <is>
          <t>Фильтр сапуна топл.бака</t>
        </is>
      </c>
      <c r="C46" s="45" t="n">
        <v>19.17</v>
      </c>
      <c r="D46" s="45" t="n">
        <v>1</v>
      </c>
      <c r="E46" s="45" t="n">
        <v>2</v>
      </c>
      <c r="F46" s="46">
        <f>($E$20/INDEX($C$22:$C$26,E46))*D46*C46/1000</f>
        <v/>
      </c>
    </row>
    <row r="47">
      <c r="B47" s="22" t="inlineStr">
        <is>
          <t>Фильтр сапуна гидробака</t>
        </is>
      </c>
      <c r="C47" s="45" t="n">
        <v>19.17</v>
      </c>
      <c r="D47" s="45" t="n">
        <v>2</v>
      </c>
      <c r="E47" s="45" t="n">
        <v>2</v>
      </c>
      <c r="F47" s="46">
        <f>($E$20/INDEX($C$22:$C$26,E47))*D47*C47/1000</f>
        <v/>
      </c>
    </row>
    <row r="48">
      <c r="B48" s="22" t="inlineStr">
        <is>
          <t>Гидравлический фильтр</t>
        </is>
      </c>
      <c r="C48" s="45" t="n">
        <v>344.33</v>
      </c>
      <c r="D48" s="45" t="n">
        <v>3</v>
      </c>
      <c r="E48" s="45" t="n">
        <v>2</v>
      </c>
      <c r="F48" s="46">
        <f>($E$20/INDEX($C$22:$C$26,E48))*D48*C48/1000</f>
        <v/>
      </c>
    </row>
    <row r="49">
      <c r="B49" s="22" t="inlineStr">
        <is>
          <t>О-кольцо</t>
        </is>
      </c>
      <c r="C49" s="45" t="n">
        <v>24.5</v>
      </c>
      <c r="D49" s="45" t="n">
        <v>3</v>
      </c>
      <c r="E49" s="45" t="n">
        <v>2</v>
      </c>
      <c r="F49" s="46">
        <f>($E$20/INDEX($C$22:$C$26,E49))*D49*C49/1000</f>
        <v/>
      </c>
    </row>
    <row r="50">
      <c r="B50" s="22" t="inlineStr">
        <is>
          <t>Воздушный фильтр</t>
        </is>
      </c>
      <c r="C50" s="45" t="n">
        <v>401.33</v>
      </c>
      <c r="D50" s="45" t="n">
        <v>2</v>
      </c>
      <c r="E50" s="45" t="n">
        <v>2</v>
      </c>
      <c r="F50" s="46">
        <f>($E$20/INDEX($C$22:$C$26,E50))*D50*C50/1000</f>
        <v/>
      </c>
    </row>
    <row r="51">
      <c r="B51" s="22" t="inlineStr">
        <is>
          <t>О-кольцо (2)</t>
        </is>
      </c>
      <c r="C51" s="45" t="n">
        <v>9.83</v>
      </c>
      <c r="D51" s="45" t="n">
        <v>2</v>
      </c>
      <c r="E51" s="45" t="n">
        <v>2</v>
      </c>
      <c r="F51" s="46">
        <f>($E$20/INDEX($C$22:$C$26,E51))*D51*C51/1000</f>
        <v/>
      </c>
    </row>
    <row r="52">
      <c r="B52" s="22" t="inlineStr">
        <is>
          <t>Масло редуктора поворота</t>
        </is>
      </c>
      <c r="C52" s="45" t="n">
        <v>6.89</v>
      </c>
      <c r="D52" s="45" t="n">
        <v>60</v>
      </c>
      <c r="E52" s="45" t="n">
        <v>2</v>
      </c>
      <c r="F52" s="46">
        <f>($E$20/INDEX($C$22:$C$26,E52))*D52*C52/1000</f>
        <v/>
      </c>
    </row>
    <row r="53">
      <c r="B53" s="22" t="inlineStr">
        <is>
          <t>Масло механизма отбора мощн.</t>
        </is>
      </c>
      <c r="C53" s="45" t="n">
        <v>6.89</v>
      </c>
      <c r="D53" s="45" t="n">
        <v>36</v>
      </c>
      <c r="E53" s="45" t="n">
        <v>2</v>
      </c>
      <c r="F53" s="46">
        <f>($E$20/INDEX($C$22:$C$26,E53))*D53*C53/1000</f>
        <v/>
      </c>
    </row>
    <row r="54">
      <c r="B54" s="22" t="inlineStr">
        <is>
          <t>Фильтр гидромотора поворота</t>
        </is>
      </c>
      <c r="C54" s="45" t="n">
        <v>102</v>
      </c>
      <c r="D54" s="45" t="n">
        <v>2</v>
      </c>
      <c r="E54" s="45" t="n">
        <v>2</v>
      </c>
      <c r="F54" s="46">
        <f>($E$20/INDEX($C$22:$C$26,E54))*D54*C54/1000</f>
        <v/>
      </c>
    </row>
    <row r="55">
      <c r="B55" s="22" t="inlineStr">
        <is>
          <t>Прокладка клапанной крышки</t>
        </is>
      </c>
      <c r="C55" s="45" t="n">
        <v>4.17</v>
      </c>
      <c r="D55" s="45" t="n">
        <v>12</v>
      </c>
      <c r="E55" s="45" t="n">
        <v>3</v>
      </c>
      <c r="F55" s="46">
        <f>($E$20/INDEX($C$22:$C$26,E55))*D55*C55/1000</f>
        <v/>
      </c>
    </row>
    <row r="56">
      <c r="B56" s="22" t="inlineStr">
        <is>
          <t>Фильтр салонный кондиц.</t>
        </is>
      </c>
      <c r="C56" s="45" t="n">
        <v>10.83</v>
      </c>
      <c r="D56" s="45" t="n">
        <v>2</v>
      </c>
      <c r="E56" s="45" t="n">
        <v>3</v>
      </c>
      <c r="F56" s="46">
        <f>($E$20/INDEX($C$22:$C$26,E56))*D56*C56/1000</f>
        <v/>
      </c>
    </row>
    <row r="57">
      <c r="B57" s="22" t="inlineStr">
        <is>
          <t>Фильтр наружный кондиц.</t>
        </is>
      </c>
      <c r="C57" s="45" t="n">
        <v>51.33</v>
      </c>
      <c r="D57" s="45" t="n">
        <v>2</v>
      </c>
      <c r="E57" s="45" t="n">
        <v>3</v>
      </c>
      <c r="F57" s="46">
        <f>($E$20/INDEX($C$22:$C$26,E57))*D57*C57/1000</f>
        <v/>
      </c>
    </row>
    <row r="58">
      <c r="B58" s="22" t="inlineStr">
        <is>
          <t>Масло конечной передачи</t>
        </is>
      </c>
      <c r="C58" s="45" t="n">
        <v>6.89</v>
      </c>
      <c r="D58" s="45" t="n">
        <v>170</v>
      </c>
      <c r="E58" s="45" t="n">
        <v>3</v>
      </c>
      <c r="F58" s="46">
        <f>($E$20/INDEX($C$22:$C$26,E58))*D58*C58/1000</f>
        <v/>
      </c>
    </row>
    <row r="59">
      <c r="B59" s="22" t="inlineStr">
        <is>
          <t>Фильтр охлажд. жидкости</t>
        </is>
      </c>
      <c r="C59" s="45" t="n">
        <v>134.83</v>
      </c>
      <c r="D59" s="45" t="n">
        <v>2</v>
      </c>
      <c r="E59" s="45" t="n">
        <v>4</v>
      </c>
      <c r="F59" s="46">
        <f>($E$20/INDEX($C$22:$C$26,E59))*D59*C59/1000</f>
        <v/>
      </c>
    </row>
    <row r="60">
      <c r="B60" s="22" t="inlineStr">
        <is>
          <t>Ремень генератора</t>
        </is>
      </c>
      <c r="C60" s="45" t="n">
        <v>28</v>
      </c>
      <c r="D60" s="45" t="n">
        <v>1</v>
      </c>
      <c r="E60" s="45" t="n">
        <v>4</v>
      </c>
      <c r="F60" s="46">
        <f>($E$20/INDEX($C$22:$C$26,E60))*D60*C60/1000</f>
        <v/>
      </c>
    </row>
    <row r="61">
      <c r="B61" s="22" t="inlineStr">
        <is>
          <t>Ремень генератора (2)</t>
        </is>
      </c>
      <c r="C61" s="45" t="n">
        <v>157.5</v>
      </c>
      <c r="D61" s="45" t="n">
        <v>1</v>
      </c>
      <c r="E61" s="45" t="n">
        <v>4</v>
      </c>
      <c r="F61" s="46">
        <f>($E$20/INDEX($C$22:$C$26,E61))*D61*C61/1000</f>
        <v/>
      </c>
    </row>
    <row r="62">
      <c r="B62" s="22" t="inlineStr">
        <is>
          <t>Ремень кондиционера</t>
        </is>
      </c>
      <c r="C62" s="45" t="n">
        <v>61</v>
      </c>
      <c r="D62" s="45" t="n">
        <v>2</v>
      </c>
      <c r="E62" s="45" t="n">
        <v>4</v>
      </c>
      <c r="F62" s="46">
        <f>($E$20/INDEX($C$22:$C$26,E62))*D62*C62/1000</f>
        <v/>
      </c>
    </row>
    <row r="63">
      <c r="B63" s="22" t="inlineStr">
        <is>
          <t>Охлаждающая жидкость</t>
        </is>
      </c>
      <c r="C63" s="45" t="n">
        <v>2.36</v>
      </c>
      <c r="D63" s="45" t="n">
        <v>190</v>
      </c>
      <c r="E63" s="45" t="n">
        <v>4</v>
      </c>
      <c r="F63" s="46">
        <f>($E$20/INDEX($C$22:$C$26,E63))*D63*C63/1000</f>
        <v/>
      </c>
    </row>
    <row r="64">
      <c r="B64" s="22" t="inlineStr">
        <is>
          <t>Гидравлическое масло</t>
        </is>
      </c>
      <c r="C64" s="45" t="n">
        <v>6.43</v>
      </c>
      <c r="D64" s="45" t="n">
        <v>1300</v>
      </c>
      <c r="E64" s="45" t="n">
        <v>5</v>
      </c>
      <c r="F64" s="46">
        <f>($E$20/INDEX($C$22:$C$26,E64))*D64*C64/1000</f>
        <v/>
      </c>
    </row>
    <row r="65">
      <c r="B65" s="22" t="inlineStr">
        <is>
          <t>Корректировка (поглощения/прочее)</t>
        </is>
      </c>
      <c r="F65" s="45" t="n">
        <v>36.156</v>
      </c>
    </row>
    <row r="67">
      <c r="B67" s="5" t="inlineStr">
        <is>
          <t>СПИСОК УЗЛОВ И КАПРЕМОНТОВ (заполняет подрядчик, стоимость по годам)</t>
        </is>
      </c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B68" s="15" t="inlineStr">
        <is>
          <t>Узел / вид ремонта</t>
        </is>
      </c>
      <c r="C68" s="15" t="inlineStr">
        <is>
          <t>нормо-час</t>
        </is>
      </c>
      <c r="E68" s="15" t="inlineStr">
        <is>
          <t>год 1</t>
        </is>
      </c>
      <c r="F68" s="15" t="inlineStr">
        <is>
          <t>год 2</t>
        </is>
      </c>
      <c r="G68" s="15" t="inlineStr">
        <is>
          <t>год 3</t>
        </is>
      </c>
      <c r="H68" s="15" t="inlineStr">
        <is>
          <t>год 4</t>
        </is>
      </c>
      <c r="I68" s="15" t="inlineStr">
        <is>
          <t>год 5</t>
        </is>
      </c>
      <c r="J68" s="15" t="inlineStr">
        <is>
          <t>год 6</t>
        </is>
      </c>
      <c r="K68" s="15" t="inlineStr">
        <is>
          <t>год 7</t>
        </is>
      </c>
      <c r="L68" s="15" t="inlineStr">
        <is>
          <t>год 8</t>
        </is>
      </c>
      <c r="M68" s="15" t="inlineStr">
        <is>
          <t>год 9</t>
        </is>
      </c>
      <c r="N68" s="15" t="inlineStr">
        <is>
          <t>год 10</t>
        </is>
      </c>
    </row>
    <row r="69">
      <c r="B69" s="22" t="inlineStr">
        <is>
          <t>Звёздочка (ходовая)</t>
        </is>
      </c>
      <c r="C69" s="47" t="n">
        <v>24</v>
      </c>
      <c r="E69" s="47" t="n"/>
      <c r="F69" s="47" t="n"/>
      <c r="G69" s="47" t="n"/>
      <c r="H69" s="47" t="n"/>
      <c r="I69" s="47" t="n"/>
      <c r="J69" s="47" t="n"/>
      <c r="K69" s="47" t="n"/>
      <c r="L69" s="47" t="n"/>
      <c r="M69" s="47" t="n"/>
      <c r="N69" s="47" t="n"/>
    </row>
    <row r="70">
      <c r="B70" s="22" t="inlineStr">
        <is>
          <t>Редуктор хода</t>
        </is>
      </c>
      <c r="C70" s="47" t="n">
        <v>24</v>
      </c>
      <c r="E70" s="47" t="n"/>
      <c r="F70" s="47" t="n"/>
      <c r="G70" s="47" t="n"/>
      <c r="H70" s="47" t="n"/>
      <c r="I70" s="47" t="n"/>
      <c r="J70" s="47" t="n"/>
      <c r="K70" s="47" t="n"/>
      <c r="L70" s="47" t="n"/>
      <c r="M70" s="47" t="n"/>
      <c r="N70" s="47" t="n"/>
    </row>
    <row r="71">
      <c r="B71" s="22" t="inlineStr">
        <is>
          <t>Натяжное колесо</t>
        </is>
      </c>
      <c r="C71" s="47" t="n">
        <v>24</v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</row>
    <row r="72">
      <c r="B72" s="22" t="inlineStr">
        <is>
          <t>Гусеничная лента</t>
        </is>
      </c>
      <c r="C72" s="47" t="n">
        <v>36</v>
      </c>
      <c r="E72" s="47" t="n"/>
      <c r="F72" s="47" t="n"/>
      <c r="G72" s="47" t="n"/>
      <c r="H72" s="47" t="n"/>
      <c r="I72" s="47" t="n"/>
      <c r="J72" s="47" t="n"/>
      <c r="K72" s="47" t="n"/>
      <c r="L72" s="47" t="n"/>
      <c r="M72" s="47" t="n"/>
      <c r="N72" s="47" t="n"/>
    </row>
    <row r="73">
      <c r="B73" s="22" t="inlineStr">
        <is>
          <t>Гидромотор хода</t>
        </is>
      </c>
      <c r="C73" s="47" t="n">
        <v>12</v>
      </c>
      <c r="E73" s="47" t="n"/>
      <c r="F73" s="47" t="n"/>
      <c r="G73" s="47" t="n"/>
      <c r="H73" s="47" t="n"/>
      <c r="I73" s="47" t="n"/>
      <c r="J73" s="47" t="n"/>
      <c r="K73" s="47" t="n"/>
      <c r="L73" s="47" t="n"/>
      <c r="M73" s="47" t="n"/>
      <c r="N73" s="47" t="n"/>
    </row>
    <row r="74">
      <c r="B74" s="22" t="inlineStr">
        <is>
          <t>Поддерживающий каток</t>
        </is>
      </c>
      <c r="C74" s="47" t="n">
        <v>12</v>
      </c>
      <c r="E74" s="47" t="n"/>
      <c r="F74" s="47" t="n"/>
      <c r="G74" s="47" t="n"/>
      <c r="H74" s="47" t="n"/>
      <c r="I74" s="47" t="n"/>
      <c r="J74" s="47" t="n"/>
      <c r="K74" s="47" t="n"/>
      <c r="L74" s="47" t="n"/>
      <c r="M74" s="47" t="n"/>
      <c r="N74" s="47" t="n"/>
    </row>
    <row r="75">
      <c r="B75" s="22" t="inlineStr">
        <is>
          <t>Опорный каток</t>
        </is>
      </c>
      <c r="C75" s="47" t="n">
        <v>36</v>
      </c>
      <c r="E75" s="47" t="n"/>
      <c r="F75" s="47" t="n"/>
      <c r="G75" s="47" t="n"/>
      <c r="H75" s="47" t="n"/>
      <c r="I75" s="47" t="n"/>
      <c r="J75" s="47" t="n"/>
      <c r="K75" s="47" t="n"/>
      <c r="L75" s="47" t="n"/>
      <c r="M75" s="47" t="n"/>
      <c r="N75" s="47" t="n"/>
    </row>
    <row r="76">
      <c r="B76" s="22" t="inlineStr">
        <is>
          <t>Г.цилиндр стрелы</t>
        </is>
      </c>
      <c r="C76" s="47" t="n">
        <v>12</v>
      </c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</row>
    <row r="77">
      <c r="B77" s="22" t="inlineStr">
        <is>
          <t>Г.цилиндр стрелы (2)</t>
        </is>
      </c>
      <c r="C77" s="47" t="n">
        <v>12</v>
      </c>
      <c r="E77" s="47" t="n"/>
      <c r="F77" s="47" t="n"/>
      <c r="G77" s="47" t="n"/>
      <c r="H77" s="47" t="n"/>
      <c r="I77" s="47" t="n"/>
      <c r="J77" s="47" t="n"/>
      <c r="K77" s="47" t="n"/>
      <c r="L77" s="47" t="n"/>
      <c r="M77" s="47" t="n"/>
      <c r="N77" s="47" t="n"/>
    </row>
    <row r="78">
      <c r="B78" s="22" t="inlineStr">
        <is>
          <t>Г.цилиндр рукояти</t>
        </is>
      </c>
      <c r="C78" s="47" t="n">
        <v>8</v>
      </c>
      <c r="E78" s="47" t="n"/>
      <c r="F78" s="47" t="n"/>
      <c r="G78" s="47" t="n"/>
      <c r="H78" s="47" t="n"/>
      <c r="I78" s="47" t="n"/>
      <c r="J78" s="47" t="n"/>
      <c r="K78" s="47" t="n"/>
      <c r="L78" s="47" t="n"/>
      <c r="M78" s="47" t="n"/>
      <c r="N78" s="47" t="n"/>
    </row>
    <row r="79">
      <c r="B79" s="22" t="inlineStr">
        <is>
          <t>Г.цилиндр ковша</t>
        </is>
      </c>
      <c r="C79" s="47" t="n">
        <v>12</v>
      </c>
      <c r="E79" s="47" t="n"/>
      <c r="F79" s="47" t="n"/>
      <c r="G79" s="47" t="n"/>
      <c r="H79" s="47" t="n"/>
      <c r="I79" s="47" t="n"/>
      <c r="J79" s="47" t="n"/>
      <c r="K79" s="47" t="n"/>
      <c r="L79" s="47" t="n"/>
      <c r="M79" s="47" t="n"/>
      <c r="N79" s="47" t="n"/>
    </row>
    <row r="80">
      <c r="B80" s="22" t="inlineStr">
        <is>
          <t>Г.распределитель</t>
        </is>
      </c>
      <c r="C80" s="47" t="n">
        <v>36</v>
      </c>
      <c r="E80" s="47" t="n"/>
      <c r="F80" s="47" t="n"/>
      <c r="G80" s="47" t="n"/>
      <c r="H80" s="47" t="n"/>
      <c r="I80" s="47" t="n"/>
      <c r="J80" s="47" t="n"/>
      <c r="K80" s="47" t="n"/>
      <c r="L80" s="47" t="n"/>
      <c r="M80" s="47" t="n"/>
      <c r="N80" s="47" t="n"/>
    </row>
    <row r="81">
      <c r="B81" s="22" t="inlineStr">
        <is>
          <t>Г.распределитель (2)</t>
        </is>
      </c>
      <c r="C81" s="47" t="n">
        <v>36</v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</row>
    <row r="82">
      <c r="B82" s="22" t="inlineStr">
        <is>
          <t>Г.насос управления</t>
        </is>
      </c>
      <c r="C82" s="47" t="n">
        <v>24</v>
      </c>
      <c r="E82" s="47" t="n"/>
      <c r="F82" s="47" t="n"/>
      <c r="G82" s="47" t="n"/>
      <c r="H82" s="47" t="n"/>
      <c r="I82" s="47" t="n"/>
      <c r="J82" s="47" t="n"/>
      <c r="K82" s="47" t="n"/>
      <c r="L82" s="47" t="n"/>
      <c r="M82" s="47" t="n"/>
      <c r="N82" s="47" t="n"/>
    </row>
    <row r="83">
      <c r="B83" s="22" t="inlineStr">
        <is>
          <t>Г.насос</t>
        </is>
      </c>
      <c r="C83" s="47" t="n">
        <v>36</v>
      </c>
      <c r="E83" s="47" t="n"/>
      <c r="F83" s="47" t="n"/>
      <c r="G83" s="47" t="n"/>
      <c r="H83" s="47" t="n"/>
      <c r="I83" s="47" t="n"/>
      <c r="J83" s="47" t="n"/>
      <c r="K83" s="47" t="n"/>
      <c r="L83" s="47" t="n"/>
      <c r="M83" s="47" t="n"/>
      <c r="N83" s="47" t="n"/>
    </row>
    <row r="84">
      <c r="B84" s="22" t="inlineStr">
        <is>
          <t>Г.мотор вентилятора</t>
        </is>
      </c>
      <c r="C84" s="47" t="n">
        <v>8</v>
      </c>
      <c r="E84" s="47" t="n"/>
      <c r="F84" s="47" t="n"/>
      <c r="G84" s="47" t="n"/>
      <c r="H84" s="47" t="n"/>
      <c r="I84" s="47" t="n"/>
      <c r="J84" s="47" t="n"/>
      <c r="K84" s="47" t="n"/>
      <c r="L84" s="47" t="n"/>
      <c r="M84" s="47" t="n"/>
      <c r="N84" s="47" t="n"/>
    </row>
    <row r="85">
      <c r="B85" s="22" t="inlineStr">
        <is>
          <t>Г.мотор поворота</t>
        </is>
      </c>
      <c r="C85" s="47" t="n">
        <v>24</v>
      </c>
      <c r="E85" s="47" t="n"/>
      <c r="F85" s="47" t="n"/>
      <c r="G85" s="47" t="n"/>
      <c r="H85" s="47" t="n"/>
      <c r="I85" s="47" t="n"/>
      <c r="J85" s="47" t="n"/>
      <c r="K85" s="47" t="n"/>
      <c r="L85" s="47" t="n"/>
      <c r="M85" s="47" t="n"/>
      <c r="N85" s="47" t="n"/>
    </row>
    <row r="86">
      <c r="B86" s="22" t="inlineStr">
        <is>
          <t>Поворотный круг</t>
        </is>
      </c>
      <c r="C86" s="47" t="n">
        <v>144</v>
      </c>
      <c r="E86" s="47" t="n"/>
      <c r="F86" s="47" t="n"/>
      <c r="G86" s="47" t="n"/>
      <c r="H86" s="47" t="n"/>
      <c r="I86" s="47" t="n"/>
      <c r="J86" s="47" t="n"/>
      <c r="K86" s="47" t="n"/>
      <c r="L86" s="47" t="n"/>
      <c r="M86" s="47" t="n"/>
      <c r="N86" s="47" t="n"/>
    </row>
    <row r="87">
      <c r="B87" s="22" t="inlineStr">
        <is>
          <t>Редуктор поворота</t>
        </is>
      </c>
      <c r="C87" s="47" t="n">
        <v>24</v>
      </c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</row>
    <row r="88">
      <c r="B88" s="22" t="inlineStr">
        <is>
          <t>ДВС (капремонт)</t>
        </is>
      </c>
      <c r="C88" s="47" t="n">
        <v>72</v>
      </c>
      <c r="E88" s="47" t="n"/>
      <c r="F88" s="47" t="n"/>
      <c r="G88" s="47" t="n"/>
      <c r="H88" s="47" t="n"/>
      <c r="I88" s="47" t="n"/>
      <c r="J88" s="47" t="n"/>
      <c r="K88" s="47" t="n"/>
      <c r="L88" s="47" t="n"/>
      <c r="M88" s="47" t="n"/>
      <c r="N88" s="47" t="n"/>
    </row>
    <row r="89">
      <c r="B89" s="22" t="inlineStr">
        <is>
          <t>Механизм отбора мощности</t>
        </is>
      </c>
      <c r="C89" s="47" t="n">
        <v>48</v>
      </c>
      <c r="E89" s="47" t="n"/>
      <c r="F89" s="47" t="n"/>
      <c r="G89" s="47" t="n"/>
      <c r="H89" s="47" t="n"/>
      <c r="I89" s="47" t="n"/>
      <c r="J89" s="47" t="n"/>
      <c r="K89" s="47" t="n"/>
      <c r="L89" s="47" t="n"/>
      <c r="M89" s="47" t="n"/>
      <c r="N89" s="47" t="n"/>
    </row>
    <row r="90">
      <c r="B90" s="22" t="inlineStr">
        <is>
          <t>Прочие/укрупнённо (капремонт)</t>
        </is>
      </c>
      <c r="E90" s="47" t="n">
        <v>0</v>
      </c>
      <c r="F90" s="47" t="n">
        <v>6.4</v>
      </c>
      <c r="G90" s="47" t="n">
        <v>0</v>
      </c>
      <c r="H90" s="47" t="n">
        <v>6.4</v>
      </c>
      <c r="I90" s="47" t="n">
        <v>139.2</v>
      </c>
      <c r="J90" s="47" t="n">
        <v>6.4</v>
      </c>
      <c r="K90" s="47" t="n">
        <v>2369.28</v>
      </c>
      <c r="L90" s="47" t="n">
        <v>6.4</v>
      </c>
      <c r="M90" s="47" t="n">
        <v>0</v>
      </c>
      <c r="N90" s="47" t="n">
        <v>2548</v>
      </c>
    </row>
    <row r="92">
      <c r="B92" s="48" t="inlineStr">
        <is>
          <t>Заполняйте: каталог запчастей ТО (цена, кол-во, № ТО) и список узлов/капремонтов (стоимость по годам). КТГ, затраты ТО и капремонты пересчитаются снизу вверх; сводка «Данные по годам» и весь расчёт обновятся автоматически. Строка «Корректировка» и «Прочие/укрупнённо» — балансирующие, замените детализацией.</t>
        </is>
      </c>
    </row>
  </sheetData>
  <mergeCells count="9">
    <mergeCell ref="B36:N36"/>
    <mergeCell ref="B67:N67"/>
    <mergeCell ref="B31:N31"/>
    <mergeCell ref="B1:N1"/>
    <mergeCell ref="E4:N4"/>
    <mergeCell ref="B92:N92"/>
    <mergeCell ref="B19:N19"/>
    <mergeCell ref="B7:N7"/>
    <mergeCell ref="B2:N2"/>
  </mergeCells>
  <dataValidations count="1">
    <dataValidation sqref="D5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3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B1" s="1" t="inlineStr">
        <is>
          <t>ПОГОДОВЫЕ ДАННЫЕ ЭКСПЛУАТАЦИИ (СВОДКА)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Автоматически из листов «Поставщик 1…6». Правьте данные в тех листах, здесь — только просмотр.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9" t="inlineStr">
        <is>
          <t>Эти значения ТЯНУТСЯ из листов-шаблонов «Поставщик 1…6» (КТГ и ИТОГО ТОиР — авто). Чтобы изменить данные по машине — откройте её лист-шаблон и правьте жёлтые ячейки; сводка и расчёт обновятся сами.</t>
        </is>
      </c>
    </row>
    <row r="5">
      <c r="B5" s="15" t="inlineStr">
        <is>
          <t>Показатель</t>
        </is>
      </c>
      <c r="C5" s="15" t="inlineStr">
        <is>
          <t>Ед.</t>
        </is>
      </c>
      <c r="D5" s="15" t="inlineStr">
        <is>
          <t>Валюта</t>
        </is>
      </c>
      <c r="E5" s="15" t="inlineStr">
        <is>
          <t>год 1</t>
        </is>
      </c>
      <c r="F5" s="15" t="inlineStr">
        <is>
          <t>год 2</t>
        </is>
      </c>
      <c r="G5" s="15" t="inlineStr">
        <is>
          <t>год 3</t>
        </is>
      </c>
      <c r="H5" s="15" t="inlineStr">
        <is>
          <t>год 4</t>
        </is>
      </c>
      <c r="I5" s="15" t="inlineStr">
        <is>
          <t>год 5</t>
        </is>
      </c>
      <c r="J5" s="15" t="inlineStr">
        <is>
          <t>год 6</t>
        </is>
      </c>
      <c r="K5" s="15" t="inlineStr">
        <is>
          <t>год 7</t>
        </is>
      </c>
      <c r="L5" s="15" t="inlineStr">
        <is>
          <t>год 8</t>
        </is>
      </c>
      <c r="M5" s="15" t="inlineStr">
        <is>
          <t>год 9</t>
        </is>
      </c>
      <c r="N5" s="15" t="inlineStr">
        <is>
          <t>год 10</t>
        </is>
      </c>
    </row>
    <row r="6">
      <c r="B6" s="5">
        <f>"Вариант 1:  "&amp;'Ввод данных'!D7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B7" s="22" t="inlineStr">
        <is>
          <t>КТГ (техготовность)</t>
        </is>
      </c>
      <c r="C7" s="24" t="inlineStr">
        <is>
          <t>коэф.</t>
        </is>
      </c>
      <c r="E7" s="50">
        <f>'Поставщик 1'!E11</f>
        <v/>
      </c>
      <c r="F7" s="50">
        <f>'Поставщик 1'!F11</f>
        <v/>
      </c>
      <c r="G7" s="50">
        <f>'Поставщик 1'!G11</f>
        <v/>
      </c>
      <c r="H7" s="50">
        <f>'Поставщик 1'!H11</f>
        <v/>
      </c>
      <c r="I7" s="50">
        <f>'Поставщик 1'!I11</f>
        <v/>
      </c>
      <c r="J7" s="50">
        <f>'Поставщик 1'!J11</f>
        <v/>
      </c>
      <c r="K7" s="50">
        <f>'Поставщик 1'!K11</f>
        <v/>
      </c>
      <c r="L7" s="50">
        <f>'Поставщик 1'!L11</f>
        <v/>
      </c>
      <c r="M7" s="50">
        <f>'Поставщик 1'!M11</f>
        <v/>
      </c>
      <c r="N7" s="50">
        <f>'Поставщик 1'!N11</f>
        <v/>
      </c>
    </row>
    <row r="8">
      <c r="B8" s="22" t="inlineStr">
        <is>
          <t>Затраты на ТОиР и сервис</t>
        </is>
      </c>
      <c r="C8" s="24" t="inlineStr">
        <is>
          <t>тыс.вал/г</t>
        </is>
      </c>
      <c r="D8" s="51">
        <f>'Поставщик 1'!$D$5</f>
        <v/>
      </c>
      <c r="E8" s="52">
        <f>'Поставщик 1'!E16</f>
        <v/>
      </c>
      <c r="F8" s="52">
        <f>'Поставщик 1'!F16</f>
        <v/>
      </c>
      <c r="G8" s="52">
        <f>'Поставщик 1'!G16</f>
        <v/>
      </c>
      <c r="H8" s="52">
        <f>'Поставщик 1'!H16</f>
        <v/>
      </c>
      <c r="I8" s="52">
        <f>'Поставщик 1'!I16</f>
        <v/>
      </c>
      <c r="J8" s="52">
        <f>'Поставщик 1'!J16</f>
        <v/>
      </c>
      <c r="K8" s="52">
        <f>'Поставщик 1'!K16</f>
        <v/>
      </c>
      <c r="L8" s="52">
        <f>'Поставщик 1'!L16</f>
        <v/>
      </c>
      <c r="M8" s="52">
        <f>'Поставщик 1'!M16</f>
        <v/>
      </c>
      <c r="N8" s="52">
        <f>'Поставщик 1'!N16</f>
        <v/>
      </c>
    </row>
    <row r="9">
      <c r="B9" s="22" t="inlineStr">
        <is>
          <t>Удельный расход ДТ</t>
        </is>
      </c>
      <c r="C9" s="24" t="inlineStr">
        <is>
          <t>кг/час</t>
        </is>
      </c>
      <c r="E9" s="53">
        <f>'Поставщик 1'!E17</f>
        <v/>
      </c>
      <c r="F9" s="53">
        <f>'Поставщик 1'!F17</f>
        <v/>
      </c>
      <c r="G9" s="53">
        <f>'Поставщик 1'!G17</f>
        <v/>
      </c>
      <c r="H9" s="53">
        <f>'Поставщик 1'!H17</f>
        <v/>
      </c>
      <c r="I9" s="53">
        <f>'Поставщик 1'!I17</f>
        <v/>
      </c>
      <c r="J9" s="53">
        <f>'Поставщик 1'!J17</f>
        <v/>
      </c>
      <c r="K9" s="53">
        <f>'Поставщик 1'!K17</f>
        <v/>
      </c>
      <c r="L9" s="53">
        <f>'Поставщик 1'!L17</f>
        <v/>
      </c>
      <c r="M9" s="53">
        <f>'Поставщик 1'!M17</f>
        <v/>
      </c>
      <c r="N9" s="53">
        <f>'Поставщик 1'!N17</f>
        <v/>
      </c>
    </row>
    <row r="10">
      <c r="B10" s="22" t="inlineStr">
        <is>
          <t>Расходники на ковш</t>
        </is>
      </c>
      <c r="C10" s="24" t="inlineStr">
        <is>
          <t>руб/м³</t>
        </is>
      </c>
      <c r="E10" s="54">
        <f>'Поставщик 1'!E18</f>
        <v/>
      </c>
      <c r="F10" s="54">
        <f>'Поставщик 1'!F18</f>
        <v/>
      </c>
      <c r="G10" s="54">
        <f>'Поставщик 1'!G18</f>
        <v/>
      </c>
      <c r="H10" s="54">
        <f>'Поставщик 1'!H18</f>
        <v/>
      </c>
      <c r="I10" s="54">
        <f>'Поставщик 1'!I18</f>
        <v/>
      </c>
      <c r="J10" s="54">
        <f>'Поставщик 1'!J18</f>
        <v/>
      </c>
      <c r="K10" s="54">
        <f>'Поставщик 1'!K18</f>
        <v/>
      </c>
      <c r="L10" s="54">
        <f>'Поставщик 1'!L18</f>
        <v/>
      </c>
      <c r="M10" s="54">
        <f>'Поставщик 1'!M18</f>
        <v/>
      </c>
      <c r="N10" s="54">
        <f>'Поставщик 1'!N18</f>
        <v/>
      </c>
    </row>
    <row r="11">
      <c r="B11" s="5">
        <f>"Вариант 2:  "&amp;'Ввод данных'!E7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B12" s="22" t="inlineStr">
        <is>
          <t>КТГ (техготовность)</t>
        </is>
      </c>
      <c r="C12" s="24" t="inlineStr">
        <is>
          <t>коэф.</t>
        </is>
      </c>
      <c r="E12" s="50">
        <f>'Поставщик 2'!E11</f>
        <v/>
      </c>
      <c r="F12" s="50">
        <f>'Поставщик 2'!F11</f>
        <v/>
      </c>
      <c r="G12" s="50">
        <f>'Поставщик 2'!G11</f>
        <v/>
      </c>
      <c r="H12" s="50">
        <f>'Поставщик 2'!H11</f>
        <v/>
      </c>
      <c r="I12" s="50">
        <f>'Поставщик 2'!I11</f>
        <v/>
      </c>
      <c r="J12" s="50">
        <f>'Поставщик 2'!J11</f>
        <v/>
      </c>
      <c r="K12" s="50">
        <f>'Поставщик 2'!K11</f>
        <v/>
      </c>
      <c r="L12" s="50">
        <f>'Поставщик 2'!L11</f>
        <v/>
      </c>
      <c r="M12" s="50">
        <f>'Поставщик 2'!M11</f>
        <v/>
      </c>
      <c r="N12" s="50">
        <f>'Поставщик 2'!N11</f>
        <v/>
      </c>
    </row>
    <row r="13">
      <c r="B13" s="22" t="inlineStr">
        <is>
          <t>Затраты на ТОиР и сервис</t>
        </is>
      </c>
      <c r="C13" s="24" t="inlineStr">
        <is>
          <t>тыс.вал/г</t>
        </is>
      </c>
      <c r="D13" s="51">
        <f>'Поставщик 2'!$D$5</f>
        <v/>
      </c>
      <c r="E13" s="52">
        <f>'Поставщик 2'!E16</f>
        <v/>
      </c>
      <c r="F13" s="52">
        <f>'Поставщик 2'!F16</f>
        <v/>
      </c>
      <c r="G13" s="52">
        <f>'Поставщик 2'!G16</f>
        <v/>
      </c>
      <c r="H13" s="52">
        <f>'Поставщик 2'!H16</f>
        <v/>
      </c>
      <c r="I13" s="52">
        <f>'Поставщик 2'!I16</f>
        <v/>
      </c>
      <c r="J13" s="52">
        <f>'Поставщик 2'!J16</f>
        <v/>
      </c>
      <c r="K13" s="52">
        <f>'Поставщик 2'!K16</f>
        <v/>
      </c>
      <c r="L13" s="52">
        <f>'Поставщик 2'!L16</f>
        <v/>
      </c>
      <c r="M13" s="52">
        <f>'Поставщик 2'!M16</f>
        <v/>
      </c>
      <c r="N13" s="52">
        <f>'Поставщик 2'!N16</f>
        <v/>
      </c>
    </row>
    <row r="14">
      <c r="B14" s="22" t="inlineStr">
        <is>
          <t>Удельный расход ДТ</t>
        </is>
      </c>
      <c r="C14" s="24" t="inlineStr">
        <is>
          <t>кг/час</t>
        </is>
      </c>
      <c r="E14" s="53">
        <f>'Поставщик 2'!E17</f>
        <v/>
      </c>
      <c r="F14" s="53">
        <f>'Поставщик 2'!F17</f>
        <v/>
      </c>
      <c r="G14" s="53">
        <f>'Поставщик 2'!G17</f>
        <v/>
      </c>
      <c r="H14" s="53">
        <f>'Поставщик 2'!H17</f>
        <v/>
      </c>
      <c r="I14" s="53">
        <f>'Поставщик 2'!I17</f>
        <v/>
      </c>
      <c r="J14" s="53">
        <f>'Поставщик 2'!J17</f>
        <v/>
      </c>
      <c r="K14" s="53">
        <f>'Поставщик 2'!K17</f>
        <v/>
      </c>
      <c r="L14" s="53">
        <f>'Поставщик 2'!L17</f>
        <v/>
      </c>
      <c r="M14" s="53">
        <f>'Поставщик 2'!M17</f>
        <v/>
      </c>
      <c r="N14" s="53">
        <f>'Поставщик 2'!N17</f>
        <v/>
      </c>
    </row>
    <row r="15">
      <c r="B15" s="22" t="inlineStr">
        <is>
          <t>Расходники на ковш</t>
        </is>
      </c>
      <c r="C15" s="24" t="inlineStr">
        <is>
          <t>руб/м³</t>
        </is>
      </c>
      <c r="E15" s="54">
        <f>'Поставщик 2'!E18</f>
        <v/>
      </c>
      <c r="F15" s="54">
        <f>'Поставщик 2'!F18</f>
        <v/>
      </c>
      <c r="G15" s="54">
        <f>'Поставщик 2'!G18</f>
        <v/>
      </c>
      <c r="H15" s="54">
        <f>'Поставщик 2'!H18</f>
        <v/>
      </c>
      <c r="I15" s="54">
        <f>'Поставщик 2'!I18</f>
        <v/>
      </c>
      <c r="J15" s="54">
        <f>'Поставщик 2'!J18</f>
        <v/>
      </c>
      <c r="K15" s="54">
        <f>'Поставщик 2'!K18</f>
        <v/>
      </c>
      <c r="L15" s="54">
        <f>'Поставщик 2'!L18</f>
        <v/>
      </c>
      <c r="M15" s="54">
        <f>'Поставщик 2'!M18</f>
        <v/>
      </c>
      <c r="N15" s="54">
        <f>'Поставщик 2'!N18</f>
        <v/>
      </c>
    </row>
    <row r="16">
      <c r="B16" s="5">
        <f>"Вариант 3:  "&amp;'Ввод данных'!F7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B17" s="22" t="inlineStr">
        <is>
          <t>КТГ (техготовность)</t>
        </is>
      </c>
      <c r="C17" s="24" t="inlineStr">
        <is>
          <t>коэф.</t>
        </is>
      </c>
      <c r="E17" s="50">
        <f>'Поставщик 3'!E11</f>
        <v/>
      </c>
      <c r="F17" s="50">
        <f>'Поставщик 3'!F11</f>
        <v/>
      </c>
      <c r="G17" s="50">
        <f>'Поставщик 3'!G11</f>
        <v/>
      </c>
      <c r="H17" s="50">
        <f>'Поставщик 3'!H11</f>
        <v/>
      </c>
      <c r="I17" s="50">
        <f>'Поставщик 3'!I11</f>
        <v/>
      </c>
      <c r="J17" s="50">
        <f>'Поставщик 3'!J11</f>
        <v/>
      </c>
      <c r="K17" s="50">
        <f>'Поставщик 3'!K11</f>
        <v/>
      </c>
      <c r="L17" s="50">
        <f>'Поставщик 3'!L11</f>
        <v/>
      </c>
      <c r="M17" s="50">
        <f>'Поставщик 3'!M11</f>
        <v/>
      </c>
      <c r="N17" s="50">
        <f>'Поставщик 3'!N11</f>
        <v/>
      </c>
    </row>
    <row r="18">
      <c r="B18" s="22" t="inlineStr">
        <is>
          <t>Затраты на ТОиР и сервис</t>
        </is>
      </c>
      <c r="C18" s="24" t="inlineStr">
        <is>
          <t>тыс.вал/г</t>
        </is>
      </c>
      <c r="D18" s="51">
        <f>'Поставщик 3'!$D$5</f>
        <v/>
      </c>
      <c r="E18" s="52">
        <f>'Поставщик 3'!E16</f>
        <v/>
      </c>
      <c r="F18" s="52">
        <f>'Поставщик 3'!F16</f>
        <v/>
      </c>
      <c r="G18" s="52">
        <f>'Поставщик 3'!G16</f>
        <v/>
      </c>
      <c r="H18" s="52">
        <f>'Поставщик 3'!H16</f>
        <v/>
      </c>
      <c r="I18" s="52">
        <f>'Поставщик 3'!I16</f>
        <v/>
      </c>
      <c r="J18" s="52">
        <f>'Поставщик 3'!J16</f>
        <v/>
      </c>
      <c r="K18" s="52">
        <f>'Поставщик 3'!K16</f>
        <v/>
      </c>
      <c r="L18" s="52">
        <f>'Поставщик 3'!L16</f>
        <v/>
      </c>
      <c r="M18" s="52">
        <f>'Поставщик 3'!M16</f>
        <v/>
      </c>
      <c r="N18" s="52">
        <f>'Поставщик 3'!N16</f>
        <v/>
      </c>
    </row>
    <row r="19">
      <c r="B19" s="22" t="inlineStr">
        <is>
          <t>Удельный расход ДТ</t>
        </is>
      </c>
      <c r="C19" s="24" t="inlineStr">
        <is>
          <t>кг/час</t>
        </is>
      </c>
      <c r="E19" s="53">
        <f>'Поставщик 3'!E17</f>
        <v/>
      </c>
      <c r="F19" s="53">
        <f>'Поставщик 3'!F17</f>
        <v/>
      </c>
      <c r="G19" s="53">
        <f>'Поставщик 3'!G17</f>
        <v/>
      </c>
      <c r="H19" s="53">
        <f>'Поставщик 3'!H17</f>
        <v/>
      </c>
      <c r="I19" s="53">
        <f>'Поставщик 3'!I17</f>
        <v/>
      </c>
      <c r="J19" s="53">
        <f>'Поставщик 3'!J17</f>
        <v/>
      </c>
      <c r="K19" s="53">
        <f>'Поставщик 3'!K17</f>
        <v/>
      </c>
      <c r="L19" s="53">
        <f>'Поставщик 3'!L17</f>
        <v/>
      </c>
      <c r="M19" s="53">
        <f>'Поставщик 3'!M17</f>
        <v/>
      </c>
      <c r="N19" s="53">
        <f>'Поставщик 3'!N17</f>
        <v/>
      </c>
    </row>
    <row r="20">
      <c r="B20" s="22" t="inlineStr">
        <is>
          <t>Расходники на ковш</t>
        </is>
      </c>
      <c r="C20" s="24" t="inlineStr">
        <is>
          <t>руб/м³</t>
        </is>
      </c>
      <c r="E20" s="54">
        <f>'Поставщик 3'!E18</f>
        <v/>
      </c>
      <c r="F20" s="54">
        <f>'Поставщик 3'!F18</f>
        <v/>
      </c>
      <c r="G20" s="54">
        <f>'Поставщик 3'!G18</f>
        <v/>
      </c>
      <c r="H20" s="54">
        <f>'Поставщик 3'!H18</f>
        <v/>
      </c>
      <c r="I20" s="54">
        <f>'Поставщик 3'!I18</f>
        <v/>
      </c>
      <c r="J20" s="54">
        <f>'Поставщик 3'!J18</f>
        <v/>
      </c>
      <c r="K20" s="54">
        <f>'Поставщик 3'!K18</f>
        <v/>
      </c>
      <c r="L20" s="54">
        <f>'Поставщик 3'!L18</f>
        <v/>
      </c>
      <c r="M20" s="54">
        <f>'Поставщик 3'!M18</f>
        <v/>
      </c>
      <c r="N20" s="54">
        <f>'Поставщик 3'!N18</f>
        <v/>
      </c>
    </row>
    <row r="21">
      <c r="B21" s="5">
        <f>"Вариант 4:  "&amp;'Ввод данных'!G7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B22" s="22" t="inlineStr">
        <is>
          <t>КТГ (техготовность)</t>
        </is>
      </c>
      <c r="C22" s="24" t="inlineStr">
        <is>
          <t>коэф.</t>
        </is>
      </c>
      <c r="E22" s="50">
        <f>'Поставщик 4'!E11</f>
        <v/>
      </c>
      <c r="F22" s="50">
        <f>'Поставщик 4'!F11</f>
        <v/>
      </c>
      <c r="G22" s="50">
        <f>'Поставщик 4'!G11</f>
        <v/>
      </c>
      <c r="H22" s="50">
        <f>'Поставщик 4'!H11</f>
        <v/>
      </c>
      <c r="I22" s="50">
        <f>'Поставщик 4'!I11</f>
        <v/>
      </c>
      <c r="J22" s="50">
        <f>'Поставщик 4'!J11</f>
        <v/>
      </c>
      <c r="K22" s="50">
        <f>'Поставщик 4'!K11</f>
        <v/>
      </c>
      <c r="L22" s="50">
        <f>'Поставщик 4'!L11</f>
        <v/>
      </c>
      <c r="M22" s="50">
        <f>'Поставщик 4'!M11</f>
        <v/>
      </c>
      <c r="N22" s="50">
        <f>'Поставщик 4'!N11</f>
        <v/>
      </c>
    </row>
    <row r="23">
      <c r="B23" s="22" t="inlineStr">
        <is>
          <t>Затраты на ТОиР и сервис</t>
        </is>
      </c>
      <c r="C23" s="24" t="inlineStr">
        <is>
          <t>тыс.вал/г</t>
        </is>
      </c>
      <c r="D23" s="51">
        <f>'Поставщик 4'!$D$5</f>
        <v/>
      </c>
      <c r="E23" s="52">
        <f>'Поставщик 4'!E16</f>
        <v/>
      </c>
      <c r="F23" s="52">
        <f>'Поставщик 4'!F16</f>
        <v/>
      </c>
      <c r="G23" s="52">
        <f>'Поставщик 4'!G16</f>
        <v/>
      </c>
      <c r="H23" s="52">
        <f>'Поставщик 4'!H16</f>
        <v/>
      </c>
      <c r="I23" s="52">
        <f>'Поставщик 4'!I16</f>
        <v/>
      </c>
      <c r="J23" s="52">
        <f>'Поставщик 4'!J16</f>
        <v/>
      </c>
      <c r="K23" s="52">
        <f>'Поставщик 4'!K16</f>
        <v/>
      </c>
      <c r="L23" s="52">
        <f>'Поставщик 4'!L16</f>
        <v/>
      </c>
      <c r="M23" s="52">
        <f>'Поставщик 4'!M16</f>
        <v/>
      </c>
      <c r="N23" s="52">
        <f>'Поставщик 4'!N16</f>
        <v/>
      </c>
    </row>
    <row r="24">
      <c r="B24" s="22" t="inlineStr">
        <is>
          <t>Удельный расход ДТ</t>
        </is>
      </c>
      <c r="C24" s="24" t="inlineStr">
        <is>
          <t>кг/час</t>
        </is>
      </c>
      <c r="E24" s="53">
        <f>'Поставщик 4'!E17</f>
        <v/>
      </c>
      <c r="F24" s="53">
        <f>'Поставщик 4'!F17</f>
        <v/>
      </c>
      <c r="G24" s="53">
        <f>'Поставщик 4'!G17</f>
        <v/>
      </c>
      <c r="H24" s="53">
        <f>'Поставщик 4'!H17</f>
        <v/>
      </c>
      <c r="I24" s="53">
        <f>'Поставщик 4'!I17</f>
        <v/>
      </c>
      <c r="J24" s="53">
        <f>'Поставщик 4'!J17</f>
        <v/>
      </c>
      <c r="K24" s="53">
        <f>'Поставщик 4'!K17</f>
        <v/>
      </c>
      <c r="L24" s="53">
        <f>'Поставщик 4'!L17</f>
        <v/>
      </c>
      <c r="M24" s="53">
        <f>'Поставщик 4'!M17</f>
        <v/>
      </c>
      <c r="N24" s="53">
        <f>'Поставщик 4'!N17</f>
        <v/>
      </c>
    </row>
    <row r="25">
      <c r="B25" s="22" t="inlineStr">
        <is>
          <t>Расходники на ковш</t>
        </is>
      </c>
      <c r="C25" s="24" t="inlineStr">
        <is>
          <t>руб/м³</t>
        </is>
      </c>
      <c r="E25" s="54">
        <f>'Поставщик 4'!E18</f>
        <v/>
      </c>
      <c r="F25" s="54">
        <f>'Поставщик 4'!F18</f>
        <v/>
      </c>
      <c r="G25" s="54">
        <f>'Поставщик 4'!G18</f>
        <v/>
      </c>
      <c r="H25" s="54">
        <f>'Поставщик 4'!H18</f>
        <v/>
      </c>
      <c r="I25" s="54">
        <f>'Поставщик 4'!I18</f>
        <v/>
      </c>
      <c r="J25" s="54">
        <f>'Поставщик 4'!J18</f>
        <v/>
      </c>
      <c r="K25" s="54">
        <f>'Поставщик 4'!K18</f>
        <v/>
      </c>
      <c r="L25" s="54">
        <f>'Поставщик 4'!L18</f>
        <v/>
      </c>
      <c r="M25" s="54">
        <f>'Поставщик 4'!M18</f>
        <v/>
      </c>
      <c r="N25" s="54">
        <f>'Поставщик 4'!N18</f>
        <v/>
      </c>
    </row>
    <row r="26">
      <c r="B26" s="5">
        <f>"Вариант 5:  "&amp;'Ввод данных'!H7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B27" s="22" t="inlineStr">
        <is>
          <t>КТГ (техготовность)</t>
        </is>
      </c>
      <c r="C27" s="24" t="inlineStr">
        <is>
          <t>коэф.</t>
        </is>
      </c>
      <c r="E27" s="50">
        <f>'Поставщик 5'!E11</f>
        <v/>
      </c>
      <c r="F27" s="50">
        <f>'Поставщик 5'!F11</f>
        <v/>
      </c>
      <c r="G27" s="50">
        <f>'Поставщик 5'!G11</f>
        <v/>
      </c>
      <c r="H27" s="50">
        <f>'Поставщик 5'!H11</f>
        <v/>
      </c>
      <c r="I27" s="50">
        <f>'Поставщик 5'!I11</f>
        <v/>
      </c>
      <c r="J27" s="50">
        <f>'Поставщик 5'!J11</f>
        <v/>
      </c>
      <c r="K27" s="50">
        <f>'Поставщик 5'!K11</f>
        <v/>
      </c>
      <c r="L27" s="50">
        <f>'Поставщик 5'!L11</f>
        <v/>
      </c>
      <c r="M27" s="50">
        <f>'Поставщик 5'!M11</f>
        <v/>
      </c>
      <c r="N27" s="50">
        <f>'Поставщик 5'!N11</f>
        <v/>
      </c>
    </row>
    <row r="28">
      <c r="B28" s="22" t="inlineStr">
        <is>
          <t>Затраты на ТОиР и сервис</t>
        </is>
      </c>
      <c r="C28" s="24" t="inlineStr">
        <is>
          <t>тыс.вал/г</t>
        </is>
      </c>
      <c r="D28" s="51">
        <f>'Поставщик 5'!$D$5</f>
        <v/>
      </c>
      <c r="E28" s="52">
        <f>'Поставщик 5'!E16</f>
        <v/>
      </c>
      <c r="F28" s="52">
        <f>'Поставщик 5'!F16</f>
        <v/>
      </c>
      <c r="G28" s="52">
        <f>'Поставщик 5'!G16</f>
        <v/>
      </c>
      <c r="H28" s="52">
        <f>'Поставщик 5'!H16</f>
        <v/>
      </c>
      <c r="I28" s="52">
        <f>'Поставщик 5'!I16</f>
        <v/>
      </c>
      <c r="J28" s="52">
        <f>'Поставщик 5'!J16</f>
        <v/>
      </c>
      <c r="K28" s="52">
        <f>'Поставщик 5'!K16</f>
        <v/>
      </c>
      <c r="L28" s="52">
        <f>'Поставщик 5'!L16</f>
        <v/>
      </c>
      <c r="M28" s="52">
        <f>'Поставщик 5'!M16</f>
        <v/>
      </c>
      <c r="N28" s="52">
        <f>'Поставщик 5'!N16</f>
        <v/>
      </c>
    </row>
    <row r="29">
      <c r="B29" s="22" t="inlineStr">
        <is>
          <t>Удельный расход ДТ</t>
        </is>
      </c>
      <c r="C29" s="24" t="inlineStr">
        <is>
          <t>кг/час</t>
        </is>
      </c>
      <c r="E29" s="53">
        <f>'Поставщик 5'!E17</f>
        <v/>
      </c>
      <c r="F29" s="53">
        <f>'Поставщик 5'!F17</f>
        <v/>
      </c>
      <c r="G29" s="53">
        <f>'Поставщик 5'!G17</f>
        <v/>
      </c>
      <c r="H29" s="53">
        <f>'Поставщик 5'!H17</f>
        <v/>
      </c>
      <c r="I29" s="53">
        <f>'Поставщик 5'!I17</f>
        <v/>
      </c>
      <c r="J29" s="53">
        <f>'Поставщик 5'!J17</f>
        <v/>
      </c>
      <c r="K29" s="53">
        <f>'Поставщик 5'!K17</f>
        <v/>
      </c>
      <c r="L29" s="53">
        <f>'Поставщик 5'!L17</f>
        <v/>
      </c>
      <c r="M29" s="53">
        <f>'Поставщик 5'!M17</f>
        <v/>
      </c>
      <c r="N29" s="53">
        <f>'Поставщик 5'!N17</f>
        <v/>
      </c>
    </row>
    <row r="30">
      <c r="B30" s="22" t="inlineStr">
        <is>
          <t>Расходники на ковш</t>
        </is>
      </c>
      <c r="C30" s="24" t="inlineStr">
        <is>
          <t>руб/м³</t>
        </is>
      </c>
      <c r="E30" s="54">
        <f>'Поставщик 5'!E18</f>
        <v/>
      </c>
      <c r="F30" s="54">
        <f>'Поставщик 5'!F18</f>
        <v/>
      </c>
      <c r="G30" s="54">
        <f>'Поставщик 5'!G18</f>
        <v/>
      </c>
      <c r="H30" s="54">
        <f>'Поставщик 5'!H18</f>
        <v/>
      </c>
      <c r="I30" s="54">
        <f>'Поставщик 5'!I18</f>
        <v/>
      </c>
      <c r="J30" s="54">
        <f>'Поставщик 5'!J18</f>
        <v/>
      </c>
      <c r="K30" s="54">
        <f>'Поставщик 5'!K18</f>
        <v/>
      </c>
      <c r="L30" s="54">
        <f>'Поставщик 5'!L18</f>
        <v/>
      </c>
      <c r="M30" s="54">
        <f>'Поставщик 5'!M18</f>
        <v/>
      </c>
      <c r="N30" s="54">
        <f>'Поставщик 5'!N18</f>
        <v/>
      </c>
    </row>
    <row r="31">
      <c r="B31" s="5">
        <f>"Вариант 6:  "&amp;'Ввод данных'!I7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B32" s="22" t="inlineStr">
        <is>
          <t>КТГ (техготовность)</t>
        </is>
      </c>
      <c r="C32" s="24" t="inlineStr">
        <is>
          <t>коэф.</t>
        </is>
      </c>
      <c r="E32" s="50">
        <f>'Поставщик 6'!E11</f>
        <v/>
      </c>
      <c r="F32" s="50">
        <f>'Поставщик 6'!F11</f>
        <v/>
      </c>
      <c r="G32" s="50">
        <f>'Поставщик 6'!G11</f>
        <v/>
      </c>
      <c r="H32" s="50">
        <f>'Поставщик 6'!H11</f>
        <v/>
      </c>
      <c r="I32" s="50">
        <f>'Поставщик 6'!I11</f>
        <v/>
      </c>
      <c r="J32" s="50">
        <f>'Поставщик 6'!J11</f>
        <v/>
      </c>
      <c r="K32" s="50">
        <f>'Поставщик 6'!K11</f>
        <v/>
      </c>
      <c r="L32" s="50">
        <f>'Поставщик 6'!L11</f>
        <v/>
      </c>
      <c r="M32" s="50">
        <f>'Поставщик 6'!M11</f>
        <v/>
      </c>
      <c r="N32" s="50">
        <f>'Поставщик 6'!N11</f>
        <v/>
      </c>
    </row>
    <row r="33">
      <c r="B33" s="22" t="inlineStr">
        <is>
          <t>Затраты на ТОиР и сервис</t>
        </is>
      </c>
      <c r="C33" s="24" t="inlineStr">
        <is>
          <t>тыс.вал/г</t>
        </is>
      </c>
      <c r="D33" s="51">
        <f>'Поставщик 6'!$D$5</f>
        <v/>
      </c>
      <c r="E33" s="52">
        <f>'Поставщик 6'!E16</f>
        <v/>
      </c>
      <c r="F33" s="52">
        <f>'Поставщик 6'!F16</f>
        <v/>
      </c>
      <c r="G33" s="52">
        <f>'Поставщик 6'!G16</f>
        <v/>
      </c>
      <c r="H33" s="52">
        <f>'Поставщик 6'!H16</f>
        <v/>
      </c>
      <c r="I33" s="52">
        <f>'Поставщик 6'!I16</f>
        <v/>
      </c>
      <c r="J33" s="52">
        <f>'Поставщик 6'!J16</f>
        <v/>
      </c>
      <c r="K33" s="52">
        <f>'Поставщик 6'!K16</f>
        <v/>
      </c>
      <c r="L33" s="52">
        <f>'Поставщик 6'!L16</f>
        <v/>
      </c>
      <c r="M33" s="52">
        <f>'Поставщик 6'!M16</f>
        <v/>
      </c>
      <c r="N33" s="52">
        <f>'Поставщик 6'!N16</f>
        <v/>
      </c>
    </row>
    <row r="34">
      <c r="B34" s="22" t="inlineStr">
        <is>
          <t>Удельный расход ДТ</t>
        </is>
      </c>
      <c r="C34" s="24" t="inlineStr">
        <is>
          <t>кг/час</t>
        </is>
      </c>
      <c r="E34" s="53">
        <f>'Поставщик 6'!E17</f>
        <v/>
      </c>
      <c r="F34" s="53">
        <f>'Поставщик 6'!F17</f>
        <v/>
      </c>
      <c r="G34" s="53">
        <f>'Поставщик 6'!G17</f>
        <v/>
      </c>
      <c r="H34" s="53">
        <f>'Поставщик 6'!H17</f>
        <v/>
      </c>
      <c r="I34" s="53">
        <f>'Поставщик 6'!I17</f>
        <v/>
      </c>
      <c r="J34" s="53">
        <f>'Поставщик 6'!J17</f>
        <v/>
      </c>
      <c r="K34" s="53">
        <f>'Поставщик 6'!K17</f>
        <v/>
      </c>
      <c r="L34" s="53">
        <f>'Поставщик 6'!L17</f>
        <v/>
      </c>
      <c r="M34" s="53">
        <f>'Поставщик 6'!M17</f>
        <v/>
      </c>
      <c r="N34" s="53">
        <f>'Поставщик 6'!N17</f>
        <v/>
      </c>
    </row>
    <row r="35">
      <c r="B35" s="22" t="inlineStr">
        <is>
          <t>Расходники на ковш</t>
        </is>
      </c>
      <c r="C35" s="24" t="inlineStr">
        <is>
          <t>руб/м³</t>
        </is>
      </c>
      <c r="E35" s="54">
        <f>'Поставщик 6'!E18</f>
        <v/>
      </c>
      <c r="F35" s="54">
        <f>'Поставщик 6'!F18</f>
        <v/>
      </c>
      <c r="G35" s="54">
        <f>'Поставщик 6'!G18</f>
        <v/>
      </c>
      <c r="H35" s="54">
        <f>'Поставщик 6'!H18</f>
        <v/>
      </c>
      <c r="I35" s="54">
        <f>'Поставщик 6'!I18</f>
        <v/>
      </c>
      <c r="J35" s="54">
        <f>'Поставщик 6'!J18</f>
        <v/>
      </c>
      <c r="K35" s="54">
        <f>'Поставщик 6'!K18</f>
        <v/>
      </c>
      <c r="L35" s="54">
        <f>'Поставщик 6'!L18</f>
        <v/>
      </c>
      <c r="M35" s="54">
        <f>'Поставщик 6'!M18</f>
        <v/>
      </c>
      <c r="N35" s="54">
        <f>'Поставщик 6'!N18</f>
        <v/>
      </c>
    </row>
  </sheetData>
  <mergeCells count="9">
    <mergeCell ref="B16:N16"/>
    <mergeCell ref="B31:N31"/>
    <mergeCell ref="B1:N1"/>
    <mergeCell ref="B4:N4"/>
    <mergeCell ref="B26:N26"/>
    <mergeCell ref="B21:N21"/>
    <mergeCell ref="B11:N11"/>
    <mergeCell ref="B6:N6"/>
    <mergeCell ref="B2:N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5" t="inlineStr">
        <is>
          <t>Стоимость в рублях</t>
        </is>
      </c>
      <c r="C5" s="24" t="inlineStr">
        <is>
          <t>тыс.руб</t>
        </is>
      </c>
      <c r="D5" s="56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56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56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56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56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56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57">
        <f>'Ввод данных'!D16*'Параметры'!C27*('Параметры'!C29/'Параметры'!C28)*'Параметры'!C30</f>
        <v/>
      </c>
      <c r="E6" s="57">
        <f>'Ввод данных'!E16*'Параметры'!C27*('Параметры'!C29/'Параметры'!C28)*'Параметры'!C30</f>
        <v/>
      </c>
      <c r="F6" s="57">
        <f>'Ввод данных'!F16*'Параметры'!C27*('Параметры'!C29/'Параметры'!C28)*'Параметры'!C30</f>
        <v/>
      </c>
      <c r="G6" s="57">
        <f>'Ввод данных'!G16*'Параметры'!C27*('Параметры'!C29/'Параметры'!C28)*'Параметры'!C30</f>
        <v/>
      </c>
      <c r="H6" s="57">
        <f>'Ввод данных'!H16*'Параметры'!C27*('Параметры'!C29/'Параметры'!C28)*'Параметры'!C30</f>
        <v/>
      </c>
      <c r="I6" s="57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56">
        <f>ROUNDUP('Параметры'!C31/D6,0)</f>
        <v/>
      </c>
      <c r="E7" s="56">
        <f>ROUNDUP('Параметры'!C31/E6,0)</f>
        <v/>
      </c>
      <c r="F7" s="56">
        <f>ROUNDUP('Параметры'!C31/F6,0)</f>
        <v/>
      </c>
      <c r="G7" s="56">
        <f>ROUNDUP('Параметры'!C31/G6,0)</f>
        <v/>
      </c>
      <c r="H7" s="56">
        <f>ROUNDUP('Параметры'!C31/H6,0)</f>
        <v/>
      </c>
      <c r="I7" s="56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57">
        <f>3600/(D7*'Ввод данных'!D17+'Параметры'!C32)</f>
        <v/>
      </c>
      <c r="E8" s="57">
        <f>3600/(E7*'Ввод данных'!E17+'Параметры'!C32)</f>
        <v/>
      </c>
      <c r="F8" s="57">
        <f>3600/(F7*'Ввод данных'!F17+'Параметры'!C32)</f>
        <v/>
      </c>
      <c r="G8" s="57">
        <f>3600/(G7*'Ввод данных'!G17+'Параметры'!C32)</f>
        <v/>
      </c>
      <c r="H8" s="57">
        <f>3600/(H7*'Ввод данных'!H17+'Параметры'!C32)</f>
        <v/>
      </c>
      <c r="I8" s="57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56">
        <f>'Параметры'!C31*D8</f>
        <v/>
      </c>
      <c r="E9" s="56">
        <f>'Параметры'!C31*E8</f>
        <v/>
      </c>
      <c r="F9" s="56">
        <f>'Параметры'!C31*F8</f>
        <v/>
      </c>
      <c r="G9" s="56">
        <f>'Параметры'!C31*G8</f>
        <v/>
      </c>
      <c r="H9" s="56">
        <f>'Параметры'!C31*H8</f>
        <v/>
      </c>
      <c r="I9" s="56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58">
        <f>D9/'Параметры'!C27</f>
        <v/>
      </c>
      <c r="E10" s="58">
        <f>E9/'Параметры'!C27</f>
        <v/>
      </c>
      <c r="F10" s="58">
        <f>F9/'Параметры'!C27</f>
        <v/>
      </c>
      <c r="G10" s="58">
        <f>G9/'Параметры'!C27</f>
        <v/>
      </c>
      <c r="H10" s="58">
        <f>H9/'Параметры'!C27</f>
        <v/>
      </c>
      <c r="I10" s="58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56">
        <f>'Параметры'!C26*'Данные по годам'!E7</f>
        <v/>
      </c>
      <c r="E11" s="56">
        <f>'Параметры'!C26*'Данные по годам'!E12</f>
        <v/>
      </c>
      <c r="F11" s="56">
        <f>'Параметры'!C26*'Данные по годам'!E17</f>
        <v/>
      </c>
      <c r="G11" s="56">
        <f>'Параметры'!C26*'Данные по годам'!E22</f>
        <v/>
      </c>
      <c r="H11" s="56">
        <f>'Параметры'!C26*'Данные по годам'!E27</f>
        <v/>
      </c>
      <c r="I11" s="56">
        <f>'Параметры'!C26*'Данные по годам'!E32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56">
        <f>D11*(1-'Ввод данных'!D18/(60*'Параметры'!C33))</f>
        <v/>
      </c>
      <c r="E12" s="56">
        <f>E11*(1-'Ввод данных'!E18/(60*'Параметры'!C33))</f>
        <v/>
      </c>
      <c r="F12" s="56">
        <f>F11*(1-'Ввод данных'!F18/(60*'Параметры'!C33))</f>
        <v/>
      </c>
      <c r="G12" s="56">
        <f>G11*(1-'Ввод данных'!G18/(60*'Параметры'!C33))</f>
        <v/>
      </c>
      <c r="H12" s="56">
        <f>H11*(1-'Ввод данных'!H18/(60*'Параметры'!C33))</f>
        <v/>
      </c>
      <c r="I12" s="56">
        <f>I11*(1-'Ввод данных'!I18/(60*'Параметры'!C33))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59">
        <f>D12/'Параметры'!C26</f>
        <v/>
      </c>
      <c r="E13" s="59">
        <f>E12/'Параметры'!C26</f>
        <v/>
      </c>
      <c r="F13" s="59">
        <f>F12/'Параметры'!C26</f>
        <v/>
      </c>
      <c r="G13" s="59">
        <f>G12/'Параметры'!C26</f>
        <v/>
      </c>
      <c r="H13" s="59">
        <f>H12/'Параметры'!C26</f>
        <v/>
      </c>
      <c r="I13" s="59">
        <f>I12/'Параметры'!C26</f>
        <v/>
      </c>
    </row>
    <row r="14">
      <c r="B14" s="37" t="inlineStr">
        <is>
          <t>Производительность (1-й год)</t>
        </is>
      </c>
      <c r="C14" s="24" t="inlineStr">
        <is>
          <t>тыс.м³</t>
        </is>
      </c>
      <c r="D14" s="60">
        <f>D10*D12/1000</f>
        <v/>
      </c>
      <c r="E14" s="60">
        <f>E10*E12/1000</f>
        <v/>
      </c>
      <c r="F14" s="60">
        <f>F10*F12/1000</f>
        <v/>
      </c>
      <c r="G14" s="60">
        <f>G10*G12/1000</f>
        <v/>
      </c>
      <c r="H14" s="60">
        <f>H10*H12/1000</f>
        <v/>
      </c>
      <c r="I14" s="60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N1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61" t="inlineStr">
        <is>
          <t>Период</t>
        </is>
      </c>
      <c r="D4" s="62" t="n">
        <v>0</v>
      </c>
      <c r="E4" s="62" t="n">
        <v>1</v>
      </c>
      <c r="F4" s="62" t="n">
        <v>2</v>
      </c>
      <c r="G4" s="62" t="n">
        <v>3</v>
      </c>
      <c r="H4" s="62" t="n">
        <v>4</v>
      </c>
      <c r="I4" s="62" t="n">
        <v>5</v>
      </c>
      <c r="J4" s="62" t="n">
        <v>6</v>
      </c>
      <c r="K4" s="62" t="n">
        <v>7</v>
      </c>
      <c r="L4" s="62" t="n">
        <v>8</v>
      </c>
      <c r="M4" s="62" t="n">
        <v>9</v>
      </c>
      <c r="N4" s="62" t="n">
        <v>10</v>
      </c>
    </row>
    <row r="5">
      <c r="B5" s="63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61" t="inlineStr">
        <is>
          <t>Дисконт-фактор</t>
        </is>
      </c>
      <c r="D6" s="64">
        <f>1/(1+'Параметры'!C6)^D$4</f>
        <v/>
      </c>
      <c r="E6" s="64">
        <f>1/(1+'Параметры'!C6)^E$4</f>
        <v/>
      </c>
      <c r="F6" s="64">
        <f>1/(1+'Параметры'!C6)^F$4</f>
        <v/>
      </c>
      <c r="G6" s="64">
        <f>1/(1+'Параметры'!C6)^G$4</f>
        <v/>
      </c>
      <c r="H6" s="64">
        <f>1/(1+'Параметры'!C6)^H$4</f>
        <v/>
      </c>
      <c r="I6" s="64">
        <f>1/(1+'Параметры'!C6)^I$4</f>
        <v/>
      </c>
      <c r="J6" s="64">
        <f>1/(1+'Параметры'!C6)^J$4</f>
        <v/>
      </c>
      <c r="K6" s="64">
        <f>1/(1+'Параметры'!C6)^K$4</f>
        <v/>
      </c>
      <c r="L6" s="64">
        <f>1/(1+'Параметры'!C6)^L$4</f>
        <v/>
      </c>
      <c r="M6" s="64">
        <f>1/(1+'Параметры'!C6)^M$4</f>
        <v/>
      </c>
      <c r="N6" s="64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59" t="n"/>
      <c r="E9" s="59">
        <f>'Данные по годам'!E7</f>
        <v/>
      </c>
      <c r="F9" s="59">
        <f>'Данные по годам'!F7</f>
        <v/>
      </c>
      <c r="G9" s="59">
        <f>'Данные по годам'!G7</f>
        <v/>
      </c>
      <c r="H9" s="59">
        <f>'Данные по годам'!H7</f>
        <v/>
      </c>
      <c r="I9" s="59">
        <f>'Данные по годам'!I7</f>
        <v/>
      </c>
      <c r="J9" s="59">
        <f>'Данные по годам'!J7</f>
        <v/>
      </c>
      <c r="K9" s="59">
        <f>'Данные по годам'!K7</f>
        <v/>
      </c>
      <c r="L9" s="59">
        <f>'Данные по годам'!L7</f>
        <v/>
      </c>
      <c r="M9" s="59">
        <f>'Данные по годам'!M7</f>
        <v/>
      </c>
      <c r="N9" s="59">
        <f>'Данные по годам'!N7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56" t="n"/>
      <c r="E10" s="56">
        <f>'Параметры'!C26*E9*(1-'Ввод данных'!D18/(60*'Параметры'!C33))</f>
        <v/>
      </c>
      <c r="F10" s="56">
        <f>'Параметры'!C26*F9*(1-'Ввод данных'!D18/(60*'Параметры'!C33))</f>
        <v/>
      </c>
      <c r="G10" s="56">
        <f>'Параметры'!C26*G9*(1-'Ввод данных'!D18/(60*'Параметры'!C33))</f>
        <v/>
      </c>
      <c r="H10" s="56">
        <f>'Параметры'!C26*H9*(1-'Ввод данных'!D18/(60*'Параметры'!C33))</f>
        <v/>
      </c>
      <c r="I10" s="56">
        <f>'Параметры'!C26*I9*(1-'Ввод данных'!D18/(60*'Параметры'!C33))</f>
        <v/>
      </c>
      <c r="J10" s="56">
        <f>'Параметры'!C26*J9*(1-'Ввод данных'!D18/(60*'Параметры'!C33))</f>
        <v/>
      </c>
      <c r="K10" s="56">
        <f>'Параметры'!C26*K9*(1-'Ввод данных'!D18/(60*'Параметры'!C33))</f>
        <v/>
      </c>
      <c r="L10" s="56">
        <f>'Параметры'!C26*L9*(1-'Ввод данных'!D18/(60*'Параметры'!C33))</f>
        <v/>
      </c>
      <c r="M10" s="56">
        <f>'Параметры'!C26*M9*(1-'Ввод данных'!D18/(60*'Параметры'!C33))</f>
        <v/>
      </c>
      <c r="N10" s="56">
        <f>'Параметры'!C26*N9*(1-'Ввод данных'!D18/(60*'Параметры'!C33))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56" t="n"/>
      <c r="E11" s="56">
        <f>'Производительность'!D10*E10/1000</f>
        <v/>
      </c>
      <c r="F11" s="56">
        <f>'Производительность'!D10*F10/1000</f>
        <v/>
      </c>
      <c r="G11" s="56">
        <f>'Производительность'!D10*G10/1000</f>
        <v/>
      </c>
      <c r="H11" s="56">
        <f>'Производительность'!D10*H10/1000</f>
        <v/>
      </c>
      <c r="I11" s="56">
        <f>'Производительность'!D10*I10/1000</f>
        <v/>
      </c>
      <c r="J11" s="56">
        <f>'Производительность'!D10*J10/1000</f>
        <v/>
      </c>
      <c r="K11" s="56">
        <f>'Производительность'!D10*K10/1000</f>
        <v/>
      </c>
      <c r="L11" s="56">
        <f>'Производительность'!D10*L10/1000</f>
        <v/>
      </c>
      <c r="M11" s="56">
        <f>'Производительность'!D10*M10/1000</f>
        <v/>
      </c>
      <c r="N11" s="56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56" t="n"/>
      <c r="E12" s="56">
        <f>E10*'Данные по годам'!E9*'Параметры'!C10*(1+'Параметры'!C14)^(E$4-1)/1000</f>
        <v/>
      </c>
      <c r="F12" s="56">
        <f>F10*'Данные по годам'!F9*'Параметры'!C10*(1+'Параметры'!C14)^(F$4-1)/1000</f>
        <v/>
      </c>
      <c r="G12" s="56">
        <f>G10*'Данные по годам'!G9*'Параметры'!C10*(1+'Параметры'!C14)^(G$4-1)/1000</f>
        <v/>
      </c>
      <c r="H12" s="56">
        <f>H10*'Данные по годам'!H9*'Параметры'!C10*(1+'Параметры'!C14)^(H$4-1)/1000</f>
        <v/>
      </c>
      <c r="I12" s="56">
        <f>I10*'Данные по годам'!I9*'Параметры'!C10*(1+'Параметры'!C14)^(I$4-1)/1000</f>
        <v/>
      </c>
      <c r="J12" s="56">
        <f>J10*'Данные по годам'!J9*'Параметры'!C10*(1+'Параметры'!C14)^(J$4-1)/1000</f>
        <v/>
      </c>
      <c r="K12" s="56">
        <f>K10*'Данные по годам'!K9*'Параметры'!C10*(1+'Параметры'!C14)^(K$4-1)/1000</f>
        <v/>
      </c>
      <c r="L12" s="56">
        <f>L10*'Данные по годам'!L9*'Параметры'!C10*(1+'Параметры'!C14)^(L$4-1)/1000</f>
        <v/>
      </c>
      <c r="M12" s="56">
        <f>M10*'Данные по годам'!M9*'Параметры'!C10*(1+'Параметры'!C14)^(M$4-1)/1000</f>
        <v/>
      </c>
      <c r="N12" s="56">
        <f>N10*'Данные по годам'!N9*'Параметры'!C10*(1+'Параметры'!C14)^(N$4-1)/1000</f>
        <v/>
      </c>
    </row>
    <row r="13">
      <c r="B13" s="22" t="inlineStr">
        <is>
          <t>ТОиР и сервис (по годам)</t>
        </is>
      </c>
      <c r="C13" s="24" t="inlineStr">
        <is>
          <t>тыс.руб</t>
        </is>
      </c>
      <c r="D13" s="56" t="n"/>
      <c r="E13" s="56">
        <f>'Данные по годам'!E8*IF('Данные по годам'!$D$8="CNY",'Параметры'!C20,IF('Данные по годам'!$D$8="USD",'Параметры'!C21,IF('Данные по годам'!$D$8="EUR",'Параметры'!C22,1)))</f>
        <v/>
      </c>
      <c r="F13" s="56">
        <f>'Данные по годам'!F8*IF('Данные по годам'!$D$8="CNY",'Параметры'!C20,IF('Данные по годам'!$D$8="USD",'Параметры'!C21,IF('Данные по годам'!$D$8="EUR",'Параметры'!C22,1)))</f>
        <v/>
      </c>
      <c r="G13" s="56">
        <f>'Данные по годам'!G8*IF('Данные по годам'!$D$8="CNY",'Параметры'!C20,IF('Данные по годам'!$D$8="USD",'Параметры'!C21,IF('Данные по годам'!$D$8="EUR",'Параметры'!C22,1)))</f>
        <v/>
      </c>
      <c r="H13" s="56">
        <f>'Данные по годам'!H8*IF('Данные по годам'!$D$8="CNY",'Параметры'!C20,IF('Данные по годам'!$D$8="USD",'Параметры'!C21,IF('Данные по годам'!$D$8="EUR",'Параметры'!C22,1)))</f>
        <v/>
      </c>
      <c r="I13" s="56">
        <f>'Данные по годам'!I8*IF('Данные по годам'!$D$8="CNY",'Параметры'!C20,IF('Данные по годам'!$D$8="USD",'Параметры'!C21,IF('Данные по годам'!$D$8="EUR",'Параметры'!C22,1)))</f>
        <v/>
      </c>
      <c r="J13" s="56">
        <f>'Данные по годам'!J8*IF('Данные по годам'!$D$8="CNY",'Параметры'!C20,IF('Данные по годам'!$D$8="USD",'Параметры'!C21,IF('Данные по годам'!$D$8="EUR",'Параметры'!C22,1)))</f>
        <v/>
      </c>
      <c r="K13" s="56">
        <f>'Данные по годам'!K8*IF('Данные по годам'!$D$8="CNY",'Параметры'!C20,IF('Данные по годам'!$D$8="USD",'Параметры'!C21,IF('Данные по годам'!$D$8="EUR",'Параметры'!C22,1)))</f>
        <v/>
      </c>
      <c r="L13" s="56">
        <f>'Данные по годам'!L8*IF('Данные по годам'!$D$8="CNY",'Параметры'!C20,IF('Данные по годам'!$D$8="USD",'Параметры'!C21,IF('Данные по годам'!$D$8="EUR",'Параметры'!C22,1)))</f>
        <v/>
      </c>
      <c r="M13" s="56">
        <f>'Данные по годам'!M8*IF('Данные по годам'!$D$8="CNY",'Параметры'!C20,IF('Данные по годам'!$D$8="USD",'Параметры'!C21,IF('Данные по годам'!$D$8="EUR",'Параметры'!C22,1)))</f>
        <v/>
      </c>
      <c r="N13" s="56">
        <f>'Данные по годам'!N8*IF('Данные по годам'!$D$8="CNY",'Параметры'!C20,IF('Данные по годам'!$D$8="USD",'Параметры'!C21,IF('Данные по годам'!$D$8="EUR",'Параметры'!C22,1)))</f>
        <v/>
      </c>
    </row>
    <row r="14">
      <c r="B14" s="22" t="inlineStr">
        <is>
          <t>Расходники на ковш</t>
        </is>
      </c>
      <c r="C14" s="24" t="inlineStr">
        <is>
          <t>тыс.руб</t>
        </is>
      </c>
      <c r="D14" s="56" t="n"/>
      <c r="E14" s="56">
        <f>'Данные по годам'!E10*E11*(1+'Параметры'!C15)^(E$4-1)</f>
        <v/>
      </c>
      <c r="F14" s="56">
        <f>'Данные по годам'!F10*F11*(1+'Параметры'!C15)^(F$4-1)</f>
        <v/>
      </c>
      <c r="G14" s="56">
        <f>'Данные по годам'!G10*G11*(1+'Параметры'!C15)^(G$4-1)</f>
        <v/>
      </c>
      <c r="H14" s="56">
        <f>'Данные по годам'!H10*H11*(1+'Параметры'!C15)^(H$4-1)</f>
        <v/>
      </c>
      <c r="I14" s="56">
        <f>'Данные по годам'!I10*I11*(1+'Параметры'!C15)^(I$4-1)</f>
        <v/>
      </c>
      <c r="J14" s="56">
        <f>'Данные по годам'!J10*J11*(1+'Параметры'!C15)^(J$4-1)</f>
        <v/>
      </c>
      <c r="K14" s="56">
        <f>'Данные по годам'!K10*K11*(1+'Параметры'!C15)^(K$4-1)</f>
        <v/>
      </c>
      <c r="L14" s="56">
        <f>'Данные по годам'!L10*L11*(1+'Параметры'!C15)^(L$4-1)</f>
        <v/>
      </c>
      <c r="M14" s="56">
        <f>'Данные по годам'!M10*M11*(1+'Параметры'!C15)^(M$4-1)</f>
        <v/>
      </c>
      <c r="N14" s="56">
        <f>'Данные по годам'!N10*N11*(1+'Параметры'!C15)^(N$4-1)</f>
        <v/>
      </c>
    </row>
    <row r="15">
      <c r="B15" s="22" t="inlineStr">
        <is>
          <t>Персонал</t>
        </is>
      </c>
      <c r="C15" s="24" t="inlineStr">
        <is>
          <t>тыс.руб</t>
        </is>
      </c>
      <c r="D15" s="56" t="n"/>
      <c r="E15" s="56">
        <f>'Ввод данных'!D20*(1+'Параметры'!C16)^(E$4-1)</f>
        <v/>
      </c>
      <c r="F15" s="56">
        <f>'Ввод данных'!D20*(1+'Параметры'!C16)^(F$4-1)</f>
        <v/>
      </c>
      <c r="G15" s="56">
        <f>'Ввод данных'!D20*(1+'Параметры'!C16)^(G$4-1)</f>
        <v/>
      </c>
      <c r="H15" s="56">
        <f>'Ввод данных'!D20*(1+'Параметры'!C16)^(H$4-1)</f>
        <v/>
      </c>
      <c r="I15" s="56">
        <f>'Ввод данных'!D20*(1+'Параметры'!C16)^(I$4-1)</f>
        <v/>
      </c>
      <c r="J15" s="56">
        <f>'Ввод данных'!D20*(1+'Параметры'!C16)^(J$4-1)</f>
        <v/>
      </c>
      <c r="K15" s="56">
        <f>'Ввод данных'!D20*(1+'Параметры'!C16)^(K$4-1)</f>
        <v/>
      </c>
      <c r="L15" s="56">
        <f>'Ввод данных'!D20*(1+'Параметры'!C16)^(L$4-1)</f>
        <v/>
      </c>
      <c r="M15" s="56">
        <f>'Ввод данных'!D20*(1+'Параметры'!C16)^(M$4-1)</f>
        <v/>
      </c>
      <c r="N15" s="56">
        <f>'Ввод данных'!D20*(1+'Параметры'!C16)^(N$4-1)</f>
        <v/>
      </c>
    </row>
    <row r="16">
      <c r="B16" s="22" t="inlineStr">
        <is>
          <t>Итого денежные затраты</t>
        </is>
      </c>
      <c r="C16" s="24" t="inlineStr">
        <is>
          <t>тыс.руб</t>
        </is>
      </c>
      <c r="D16" s="56" t="n"/>
      <c r="E16" s="65">
        <f>E12+E13+E14+E15</f>
        <v/>
      </c>
      <c r="F16" s="65">
        <f>F12+F13+F14+F15</f>
        <v/>
      </c>
      <c r="G16" s="65">
        <f>G12+G13+G14+G15</f>
        <v/>
      </c>
      <c r="H16" s="65">
        <f>H12+H13+H14+H15</f>
        <v/>
      </c>
      <c r="I16" s="65">
        <f>I12+I13+I14+I15</f>
        <v/>
      </c>
      <c r="J16" s="65">
        <f>J12+J13+J14+J15</f>
        <v/>
      </c>
      <c r="K16" s="65">
        <f>K12+K13+K14+K15</f>
        <v/>
      </c>
      <c r="L16" s="65">
        <f>L12+L13+L14+L15</f>
        <v/>
      </c>
      <c r="M16" s="65">
        <f>M12+M13+M14+M15</f>
        <v/>
      </c>
      <c r="N16" s="65">
        <f>N12+N13+N14+N15</f>
        <v/>
      </c>
    </row>
    <row r="17">
      <c r="B17" s="22" t="inlineStr">
        <is>
          <t>Амортизация (НУ)</t>
        </is>
      </c>
      <c r="C17" s="24" t="inlineStr">
        <is>
          <t>тыс.руб</t>
        </is>
      </c>
      <c r="D17" s="56" t="n"/>
      <c r="E17" s="56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7" s="56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7" s="56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7" s="56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7" s="56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7" s="56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7" s="56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7" s="56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7" s="56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7" s="56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8">
      <c r="B18" s="22" t="inlineStr">
        <is>
          <t>Налогооблагаемая база</t>
        </is>
      </c>
      <c r="C18" s="24" t="inlineStr">
        <is>
          <t>тыс.руб</t>
        </is>
      </c>
      <c r="D18" s="56" t="n"/>
      <c r="E18" s="56">
        <f>E16+E17</f>
        <v/>
      </c>
      <c r="F18" s="56">
        <f>F16+F17</f>
        <v/>
      </c>
      <c r="G18" s="56">
        <f>G16+G17</f>
        <v/>
      </c>
      <c r="H18" s="56">
        <f>H16+H17</f>
        <v/>
      </c>
      <c r="I18" s="56">
        <f>I16+I17</f>
        <v/>
      </c>
      <c r="J18" s="56">
        <f>J16+J17</f>
        <v/>
      </c>
      <c r="K18" s="56">
        <f>K16+K17</f>
        <v/>
      </c>
      <c r="L18" s="56">
        <f>L16+L17</f>
        <v/>
      </c>
      <c r="M18" s="56">
        <f>M16+M17</f>
        <v/>
      </c>
      <c r="N18" s="56">
        <f>N16+N17</f>
        <v/>
      </c>
    </row>
    <row r="19">
      <c r="B19" s="22" t="inlineStr">
        <is>
          <t>Налог на прибыль (щит)</t>
        </is>
      </c>
      <c r="C19" s="24" t="inlineStr">
        <is>
          <t>тыс.руб</t>
        </is>
      </c>
      <c r="D19" s="56" t="n"/>
      <c r="E19" s="56">
        <f>-E18*'Параметры'!C7</f>
        <v/>
      </c>
      <c r="F19" s="56">
        <f>-F18*'Параметры'!C7</f>
        <v/>
      </c>
      <c r="G19" s="56">
        <f>-G18*'Параметры'!C7</f>
        <v/>
      </c>
      <c r="H19" s="56">
        <f>-H18*'Параметры'!C7</f>
        <v/>
      </c>
      <c r="I19" s="56">
        <f>-I18*'Параметры'!C7</f>
        <v/>
      </c>
      <c r="J19" s="56">
        <f>-J18*'Параметры'!C7</f>
        <v/>
      </c>
      <c r="K19" s="56">
        <f>-K18*'Параметры'!C7</f>
        <v/>
      </c>
      <c r="L19" s="56">
        <f>-L18*'Параметры'!C7</f>
        <v/>
      </c>
      <c r="M19" s="56">
        <f>-M18*'Параметры'!C7</f>
        <v/>
      </c>
      <c r="N19" s="56">
        <f>-N18*'Параметры'!C7</f>
        <v/>
      </c>
    </row>
    <row r="20">
      <c r="B20" s="22" t="inlineStr">
        <is>
          <t>Операц. денежный поток</t>
        </is>
      </c>
      <c r="C20" s="24" t="inlineStr">
        <is>
          <t>тыс.руб</t>
        </is>
      </c>
      <c r="D20" s="56" t="n"/>
      <c r="E20" s="65">
        <f>E18+E19-E17</f>
        <v/>
      </c>
      <c r="F20" s="65">
        <f>F18+F19-F17</f>
        <v/>
      </c>
      <c r="G20" s="65">
        <f>G18+G19-G17</f>
        <v/>
      </c>
      <c r="H20" s="65">
        <f>H18+H19-H17</f>
        <v/>
      </c>
      <c r="I20" s="65">
        <f>I18+I19-I17</f>
        <v/>
      </c>
      <c r="J20" s="65">
        <f>J18+J19-J17</f>
        <v/>
      </c>
      <c r="K20" s="65">
        <f>K18+K19-K17</f>
        <v/>
      </c>
      <c r="L20" s="65">
        <f>L18+L19-L17</f>
        <v/>
      </c>
      <c r="M20" s="65">
        <f>M18+M19-M17</f>
        <v/>
      </c>
      <c r="N20" s="65">
        <f>N18+N19-N17</f>
        <v/>
      </c>
    </row>
    <row r="21">
      <c r="B21" s="22" t="inlineStr">
        <is>
          <t>Инвестиции / остаточная ст-ть</t>
        </is>
      </c>
      <c r="C21" s="24" t="inlineStr">
        <is>
          <t>тыс.руб</t>
        </is>
      </c>
      <c r="D21" s="56">
        <f>IF(D$4=0,'Производительность'!D5,IF(D$4='Параметры'!C8,-'Ввод данных'!D14*'Производительность'!D5,0))</f>
        <v/>
      </c>
      <c r="E21" s="56">
        <f>IF(E$4=0,'Производительность'!D5,IF(E$4='Параметры'!C8,-'Ввод данных'!D14*'Производительность'!D5,0))</f>
        <v/>
      </c>
      <c r="F21" s="56">
        <f>IF(F$4=0,'Производительность'!D5,IF(F$4='Параметры'!C8,-'Ввод данных'!D14*'Производительность'!D5,0))</f>
        <v/>
      </c>
      <c r="G21" s="56">
        <f>IF(G$4=0,'Производительность'!D5,IF(G$4='Параметры'!C8,-'Ввод данных'!D14*'Производительность'!D5,0))</f>
        <v/>
      </c>
      <c r="H21" s="56">
        <f>IF(H$4=0,'Производительность'!D5,IF(H$4='Параметры'!C8,-'Ввод данных'!D14*'Производительность'!D5,0))</f>
        <v/>
      </c>
      <c r="I21" s="56">
        <f>IF(I$4=0,'Производительность'!D5,IF(I$4='Параметры'!C8,-'Ввод данных'!D14*'Производительность'!D5,0))</f>
        <v/>
      </c>
      <c r="J21" s="56">
        <f>IF(J$4=0,'Производительность'!D5,IF(J$4='Параметры'!C8,-'Ввод данных'!D14*'Производительность'!D5,0))</f>
        <v/>
      </c>
      <c r="K21" s="56">
        <f>IF(K$4=0,'Производительность'!D5,IF(K$4='Параметры'!C8,-'Ввод данных'!D14*'Производительность'!D5,0))</f>
        <v/>
      </c>
      <c r="L21" s="56">
        <f>IF(L$4=0,'Производительность'!D5,IF(L$4='Параметры'!C8,-'Ввод данных'!D14*'Производительность'!D5,0))</f>
        <v/>
      </c>
      <c r="M21" s="56">
        <f>IF(M$4=0,'Производительность'!D5,IF(M$4='Параметры'!C8,-'Ввод данных'!D14*'Производительность'!D5,0))</f>
        <v/>
      </c>
      <c r="N21" s="56">
        <f>IF(N$4=0,'Производительность'!D5,IF(N$4='Параметры'!C8,-'Ввод данных'!D14*'Производительность'!D5,0))</f>
        <v/>
      </c>
    </row>
    <row r="22">
      <c r="B22" s="22" t="inlineStr">
        <is>
          <t>Чистый денежный поток</t>
        </is>
      </c>
      <c r="C22" s="24" t="inlineStr">
        <is>
          <t>тыс.руб</t>
        </is>
      </c>
      <c r="D22" s="65">
        <f>0+D21</f>
        <v/>
      </c>
      <c r="E22" s="65">
        <f>E20+E21</f>
        <v/>
      </c>
      <c r="F22" s="65">
        <f>F20+F21</f>
        <v/>
      </c>
      <c r="G22" s="65">
        <f>G20+G21</f>
        <v/>
      </c>
      <c r="H22" s="65">
        <f>H20+H21</f>
        <v/>
      </c>
      <c r="I22" s="65">
        <f>I20+I21</f>
        <v/>
      </c>
      <c r="J22" s="65">
        <f>J20+J21</f>
        <v/>
      </c>
      <c r="K22" s="65">
        <f>K20+K21</f>
        <v/>
      </c>
      <c r="L22" s="65">
        <f>L20+L21</f>
        <v/>
      </c>
      <c r="M22" s="65">
        <f>M20+M21</f>
        <v/>
      </c>
      <c r="N22" s="65">
        <f>N20+N21</f>
        <v/>
      </c>
    </row>
    <row r="23">
      <c r="B23" s="22" t="inlineStr">
        <is>
          <t>Дисконтированный поток</t>
        </is>
      </c>
      <c r="C23" s="24" t="inlineStr">
        <is>
          <t>тыс.руб</t>
        </is>
      </c>
      <c r="D23" s="56">
        <f>D22*D$6</f>
        <v/>
      </c>
      <c r="E23" s="56">
        <f>E22*E$6</f>
        <v/>
      </c>
      <c r="F23" s="56">
        <f>F22*F$6</f>
        <v/>
      </c>
      <c r="G23" s="56">
        <f>G22*G$6</f>
        <v/>
      </c>
      <c r="H23" s="56">
        <f>H22*H$6</f>
        <v/>
      </c>
      <c r="I23" s="56">
        <f>I22*I$6</f>
        <v/>
      </c>
      <c r="J23" s="56">
        <f>J22*J$6</f>
        <v/>
      </c>
      <c r="K23" s="56">
        <f>K22*K$6</f>
        <v/>
      </c>
      <c r="L23" s="56">
        <f>L22*L$6</f>
        <v/>
      </c>
      <c r="M23" s="56">
        <f>M22*M$6</f>
        <v/>
      </c>
      <c r="N23" s="56">
        <f>N22*N$6</f>
        <v/>
      </c>
    </row>
    <row r="24">
      <c r="B24" s="22" t="inlineStr">
        <is>
          <t>Кумул. дисконт. поток</t>
        </is>
      </c>
      <c r="C24" s="24" t="inlineStr">
        <is>
          <t>тыс.руб</t>
        </is>
      </c>
      <c r="D24" s="56">
        <f>SUM($D23:D23)</f>
        <v/>
      </c>
      <c r="E24" s="56">
        <f>SUM($D23:E23)</f>
        <v/>
      </c>
      <c r="F24" s="56">
        <f>SUM($D23:F23)</f>
        <v/>
      </c>
      <c r="G24" s="56">
        <f>SUM($D23:G23)</f>
        <v/>
      </c>
      <c r="H24" s="56">
        <f>SUM($D23:H23)</f>
        <v/>
      </c>
      <c r="I24" s="56">
        <f>SUM($D23:I23)</f>
        <v/>
      </c>
      <c r="J24" s="56">
        <f>SUM($D23:J23)</f>
        <v/>
      </c>
      <c r="K24" s="56">
        <f>SUM($D23:K23)</f>
        <v/>
      </c>
      <c r="L24" s="56">
        <f>SUM($D23:L23)</f>
        <v/>
      </c>
      <c r="M24" s="56">
        <f>SUM($D23:M23)</f>
        <v/>
      </c>
      <c r="N24" s="56">
        <f>SUM($D23:N23)</f>
        <v/>
      </c>
    </row>
    <row r="25">
      <c r="B25" s="37" t="inlineStr">
        <is>
          <t>Аннуитет по году</t>
        </is>
      </c>
      <c r="C25" s="24" t="inlineStr">
        <is>
          <t>руб/м³</t>
        </is>
      </c>
      <c r="D25" s="66" t="n"/>
      <c r="E25" s="66">
        <f>SUM($D23:E23)/SUM($E$6:E$6)/(SUM($E11:E11)/E$4)</f>
        <v/>
      </c>
      <c r="F25" s="66">
        <f>SUM($D23:F23)/SUM($E$6:F$6)/(SUM($E11:F11)/F$4)</f>
        <v/>
      </c>
      <c r="G25" s="66">
        <f>SUM($D23:G23)/SUM($E$6:G$6)/(SUM($E11:G11)/G$4)</f>
        <v/>
      </c>
      <c r="H25" s="66">
        <f>SUM($D23:H23)/SUM($E$6:H$6)/(SUM($E11:H11)/H$4)</f>
        <v/>
      </c>
      <c r="I25" s="66">
        <f>SUM($D23:I23)/SUM($E$6:I$6)/(SUM($E11:I11)/I$4)</f>
        <v/>
      </c>
      <c r="J25" s="66">
        <f>SUM($D23:J23)/SUM($E$6:J$6)/(SUM($E11:J11)/J$4)</f>
        <v/>
      </c>
      <c r="K25" s="66">
        <f>SUM($D23:K23)/SUM($E$6:K$6)/(SUM($E11:K11)/K$4)</f>
        <v/>
      </c>
      <c r="L25" s="66">
        <f>SUM($D23:L23)/SUM($E$6:L$6)/(SUM($E11:L11)/L$4)</f>
        <v/>
      </c>
      <c r="M25" s="66">
        <f>SUM($D23:M23)/SUM($E$6:M$6)/(SUM($E11:M11)/M$4)</f>
        <v/>
      </c>
      <c r="N25" s="66">
        <f>SUM($D23:N23)/SUM($E$6:N$6)/(SUM($E11:N11)/N$4)</f>
        <v/>
      </c>
    </row>
    <row r="27">
      <c r="B27" s="5">
        <f>"Вариант 2:  "&amp;'Ввод данных'!E7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B28" s="22" t="inlineStr">
        <is>
          <t>КТГ</t>
        </is>
      </c>
      <c r="C28" s="24" t="inlineStr">
        <is>
          <t>коэф.</t>
        </is>
      </c>
      <c r="D28" s="59" t="n"/>
      <c r="E28" s="59">
        <f>'Данные по годам'!E12</f>
        <v/>
      </c>
      <c r="F28" s="59">
        <f>'Данные по годам'!F12</f>
        <v/>
      </c>
      <c r="G28" s="59">
        <f>'Данные по годам'!G12</f>
        <v/>
      </c>
      <c r="H28" s="59">
        <f>'Данные по годам'!H12</f>
        <v/>
      </c>
      <c r="I28" s="59">
        <f>'Данные по годам'!I12</f>
        <v/>
      </c>
      <c r="J28" s="59">
        <f>'Данные по годам'!J12</f>
        <v/>
      </c>
      <c r="K28" s="59">
        <f>'Данные по годам'!K12</f>
        <v/>
      </c>
      <c r="L28" s="59">
        <f>'Данные по годам'!L12</f>
        <v/>
      </c>
      <c r="M28" s="59">
        <f>'Данные по годам'!M12</f>
        <v/>
      </c>
      <c r="N28" s="59">
        <f>'Данные по годам'!N12</f>
        <v/>
      </c>
    </row>
    <row r="29">
      <c r="B29" s="22" t="inlineStr">
        <is>
          <t>Эффективное время</t>
        </is>
      </c>
      <c r="C29" s="24" t="inlineStr">
        <is>
          <t>час/год</t>
        </is>
      </c>
      <c r="D29" s="56" t="n"/>
      <c r="E29" s="56">
        <f>'Параметры'!C26*E28*(1-'Ввод данных'!E18/(60*'Параметры'!C33))</f>
        <v/>
      </c>
      <c r="F29" s="56">
        <f>'Параметры'!C26*F28*(1-'Ввод данных'!E18/(60*'Параметры'!C33))</f>
        <v/>
      </c>
      <c r="G29" s="56">
        <f>'Параметры'!C26*G28*(1-'Ввод данных'!E18/(60*'Параметры'!C33))</f>
        <v/>
      </c>
      <c r="H29" s="56">
        <f>'Параметры'!C26*H28*(1-'Ввод данных'!E18/(60*'Параметры'!C33))</f>
        <v/>
      </c>
      <c r="I29" s="56">
        <f>'Параметры'!C26*I28*(1-'Ввод данных'!E18/(60*'Параметры'!C33))</f>
        <v/>
      </c>
      <c r="J29" s="56">
        <f>'Параметры'!C26*J28*(1-'Ввод данных'!E18/(60*'Параметры'!C33))</f>
        <v/>
      </c>
      <c r="K29" s="56">
        <f>'Параметры'!C26*K28*(1-'Ввод данных'!E18/(60*'Параметры'!C33))</f>
        <v/>
      </c>
      <c r="L29" s="56">
        <f>'Параметры'!C26*L28*(1-'Ввод данных'!E18/(60*'Параметры'!C33))</f>
        <v/>
      </c>
      <c r="M29" s="56">
        <f>'Параметры'!C26*M28*(1-'Ввод данных'!E18/(60*'Параметры'!C33))</f>
        <v/>
      </c>
      <c r="N29" s="56">
        <f>'Параметры'!C26*N28*(1-'Ввод данных'!E18/(60*'Параметры'!C33))</f>
        <v/>
      </c>
    </row>
    <row r="30">
      <c r="B30" s="22" t="inlineStr">
        <is>
          <t>Производительность</t>
        </is>
      </c>
      <c r="C30" s="24" t="inlineStr">
        <is>
          <t>тыс.м³</t>
        </is>
      </c>
      <c r="D30" s="56" t="n"/>
      <c r="E30" s="56">
        <f>'Производительность'!E10*E29/1000</f>
        <v/>
      </c>
      <c r="F30" s="56">
        <f>'Производительность'!E10*F29/1000</f>
        <v/>
      </c>
      <c r="G30" s="56">
        <f>'Производительность'!E10*G29/1000</f>
        <v/>
      </c>
      <c r="H30" s="56">
        <f>'Производительность'!E10*H29/1000</f>
        <v/>
      </c>
      <c r="I30" s="56">
        <f>'Производительность'!E10*I29/1000</f>
        <v/>
      </c>
      <c r="J30" s="56">
        <f>'Производительность'!E10*J29/1000</f>
        <v/>
      </c>
      <c r="K30" s="56">
        <f>'Производительность'!E10*K29/1000</f>
        <v/>
      </c>
      <c r="L30" s="56">
        <f>'Производительность'!E10*L29/1000</f>
        <v/>
      </c>
      <c r="M30" s="56">
        <f>'Производительность'!E10*M29/1000</f>
        <v/>
      </c>
      <c r="N30" s="56">
        <f>'Производительность'!E10*N29/1000</f>
        <v/>
      </c>
    </row>
    <row r="31">
      <c r="B31" s="22" t="inlineStr">
        <is>
          <t>Дизтопливо</t>
        </is>
      </c>
      <c r="C31" s="24" t="inlineStr">
        <is>
          <t>тыс.руб</t>
        </is>
      </c>
      <c r="D31" s="56" t="n"/>
      <c r="E31" s="56">
        <f>E29*'Данные по годам'!E14*'Параметры'!C10*(1+'Параметры'!C14)^(E$4-1)/1000</f>
        <v/>
      </c>
      <c r="F31" s="56">
        <f>F29*'Данные по годам'!F14*'Параметры'!C10*(1+'Параметры'!C14)^(F$4-1)/1000</f>
        <v/>
      </c>
      <c r="G31" s="56">
        <f>G29*'Данные по годам'!G14*'Параметры'!C10*(1+'Параметры'!C14)^(G$4-1)/1000</f>
        <v/>
      </c>
      <c r="H31" s="56">
        <f>H29*'Данные по годам'!H14*'Параметры'!C10*(1+'Параметры'!C14)^(H$4-1)/1000</f>
        <v/>
      </c>
      <c r="I31" s="56">
        <f>I29*'Данные по годам'!I14*'Параметры'!C10*(1+'Параметры'!C14)^(I$4-1)/1000</f>
        <v/>
      </c>
      <c r="J31" s="56">
        <f>J29*'Данные по годам'!J14*'Параметры'!C10*(1+'Параметры'!C14)^(J$4-1)/1000</f>
        <v/>
      </c>
      <c r="K31" s="56">
        <f>K29*'Данные по годам'!K14*'Параметры'!C10*(1+'Параметры'!C14)^(K$4-1)/1000</f>
        <v/>
      </c>
      <c r="L31" s="56">
        <f>L29*'Данные по годам'!L14*'Параметры'!C10*(1+'Параметры'!C14)^(L$4-1)/1000</f>
        <v/>
      </c>
      <c r="M31" s="56">
        <f>M29*'Данные по годам'!M14*'Параметры'!C10*(1+'Параметры'!C14)^(M$4-1)/1000</f>
        <v/>
      </c>
      <c r="N31" s="56">
        <f>N29*'Данные по годам'!N14*'Параметры'!C10*(1+'Параметры'!C14)^(N$4-1)/1000</f>
        <v/>
      </c>
    </row>
    <row r="32">
      <c r="B32" s="22" t="inlineStr">
        <is>
          <t>ТОиР и сервис (по годам)</t>
        </is>
      </c>
      <c r="C32" s="24" t="inlineStr">
        <is>
          <t>тыс.руб</t>
        </is>
      </c>
      <c r="D32" s="56" t="n"/>
      <c r="E32" s="56">
        <f>'Данные по годам'!E13*IF('Данные по годам'!$D$13="CNY",'Параметры'!C20,IF('Данные по годам'!$D$13="USD",'Параметры'!C21,IF('Данные по годам'!$D$13="EUR",'Параметры'!C22,1)))</f>
        <v/>
      </c>
      <c r="F32" s="56">
        <f>'Данные по годам'!F13*IF('Данные по годам'!$D$13="CNY",'Параметры'!C20,IF('Данные по годам'!$D$13="USD",'Параметры'!C21,IF('Данные по годам'!$D$13="EUR",'Параметры'!C22,1)))</f>
        <v/>
      </c>
      <c r="G32" s="56">
        <f>'Данные по годам'!G13*IF('Данные по годам'!$D$13="CNY",'Параметры'!C20,IF('Данные по годам'!$D$13="USD",'Параметры'!C21,IF('Данные по годам'!$D$13="EUR",'Параметры'!C22,1)))</f>
        <v/>
      </c>
      <c r="H32" s="56">
        <f>'Данные по годам'!H13*IF('Данные по годам'!$D$13="CNY",'Параметры'!C20,IF('Данные по годам'!$D$13="USD",'Параметры'!C21,IF('Данные по годам'!$D$13="EUR",'Параметры'!C22,1)))</f>
        <v/>
      </c>
      <c r="I32" s="56">
        <f>'Данные по годам'!I13*IF('Данные по годам'!$D$13="CNY",'Параметры'!C20,IF('Данные по годам'!$D$13="USD",'Параметры'!C21,IF('Данные по годам'!$D$13="EUR",'Параметры'!C22,1)))</f>
        <v/>
      </c>
      <c r="J32" s="56">
        <f>'Данные по годам'!J13*IF('Данные по годам'!$D$13="CNY",'Параметры'!C20,IF('Данные по годам'!$D$13="USD",'Параметры'!C21,IF('Данные по годам'!$D$13="EUR",'Параметры'!C22,1)))</f>
        <v/>
      </c>
      <c r="K32" s="56">
        <f>'Данные по годам'!K13*IF('Данные по годам'!$D$13="CNY",'Параметры'!C20,IF('Данные по годам'!$D$13="USD",'Параметры'!C21,IF('Данные по годам'!$D$13="EUR",'Параметры'!C22,1)))</f>
        <v/>
      </c>
      <c r="L32" s="56">
        <f>'Данные по годам'!L13*IF('Данные по годам'!$D$13="CNY",'Параметры'!C20,IF('Данные по годам'!$D$13="USD",'Параметры'!C21,IF('Данные по годам'!$D$13="EUR",'Параметры'!C22,1)))</f>
        <v/>
      </c>
      <c r="M32" s="56">
        <f>'Данные по годам'!M13*IF('Данные по годам'!$D$13="CNY",'Параметры'!C20,IF('Данные по годам'!$D$13="USD",'Параметры'!C21,IF('Данные по годам'!$D$13="EUR",'Параметры'!C22,1)))</f>
        <v/>
      </c>
      <c r="N32" s="56">
        <f>'Данные по годам'!N13*IF('Данные по годам'!$D$13="CNY",'Параметры'!C20,IF('Данные по годам'!$D$13="USD",'Параметры'!C21,IF('Данные по годам'!$D$13="EUR",'Параметры'!C22,1)))</f>
        <v/>
      </c>
    </row>
    <row r="33">
      <c r="B33" s="22" t="inlineStr">
        <is>
          <t>Расходники на ковш</t>
        </is>
      </c>
      <c r="C33" s="24" t="inlineStr">
        <is>
          <t>тыс.руб</t>
        </is>
      </c>
      <c r="D33" s="56" t="n"/>
      <c r="E33" s="56">
        <f>'Данные по годам'!E15*E30*(1+'Параметры'!C15)^(E$4-1)</f>
        <v/>
      </c>
      <c r="F33" s="56">
        <f>'Данные по годам'!F15*F30*(1+'Параметры'!C15)^(F$4-1)</f>
        <v/>
      </c>
      <c r="G33" s="56">
        <f>'Данные по годам'!G15*G30*(1+'Параметры'!C15)^(G$4-1)</f>
        <v/>
      </c>
      <c r="H33" s="56">
        <f>'Данные по годам'!H15*H30*(1+'Параметры'!C15)^(H$4-1)</f>
        <v/>
      </c>
      <c r="I33" s="56">
        <f>'Данные по годам'!I15*I30*(1+'Параметры'!C15)^(I$4-1)</f>
        <v/>
      </c>
      <c r="J33" s="56">
        <f>'Данные по годам'!J15*J30*(1+'Параметры'!C15)^(J$4-1)</f>
        <v/>
      </c>
      <c r="K33" s="56">
        <f>'Данные по годам'!K15*K30*(1+'Параметры'!C15)^(K$4-1)</f>
        <v/>
      </c>
      <c r="L33" s="56">
        <f>'Данные по годам'!L15*L30*(1+'Параметры'!C15)^(L$4-1)</f>
        <v/>
      </c>
      <c r="M33" s="56">
        <f>'Данные по годам'!M15*M30*(1+'Параметры'!C15)^(M$4-1)</f>
        <v/>
      </c>
      <c r="N33" s="56">
        <f>'Данные по годам'!N15*N30*(1+'Параметры'!C15)^(N$4-1)</f>
        <v/>
      </c>
    </row>
    <row r="34">
      <c r="B34" s="22" t="inlineStr">
        <is>
          <t>Персонал</t>
        </is>
      </c>
      <c r="C34" s="24" t="inlineStr">
        <is>
          <t>тыс.руб</t>
        </is>
      </c>
      <c r="D34" s="56" t="n"/>
      <c r="E34" s="56">
        <f>'Ввод данных'!E20*(1+'Параметры'!C16)^(E$4-1)</f>
        <v/>
      </c>
      <c r="F34" s="56">
        <f>'Ввод данных'!E20*(1+'Параметры'!C16)^(F$4-1)</f>
        <v/>
      </c>
      <c r="G34" s="56">
        <f>'Ввод данных'!E20*(1+'Параметры'!C16)^(G$4-1)</f>
        <v/>
      </c>
      <c r="H34" s="56">
        <f>'Ввод данных'!E20*(1+'Параметры'!C16)^(H$4-1)</f>
        <v/>
      </c>
      <c r="I34" s="56">
        <f>'Ввод данных'!E20*(1+'Параметры'!C16)^(I$4-1)</f>
        <v/>
      </c>
      <c r="J34" s="56">
        <f>'Ввод данных'!E20*(1+'Параметры'!C16)^(J$4-1)</f>
        <v/>
      </c>
      <c r="K34" s="56">
        <f>'Ввод данных'!E20*(1+'Параметры'!C16)^(K$4-1)</f>
        <v/>
      </c>
      <c r="L34" s="56">
        <f>'Ввод данных'!E20*(1+'Параметры'!C16)^(L$4-1)</f>
        <v/>
      </c>
      <c r="M34" s="56">
        <f>'Ввод данных'!E20*(1+'Параметры'!C16)^(M$4-1)</f>
        <v/>
      </c>
      <c r="N34" s="56">
        <f>'Ввод данных'!E20*(1+'Параметры'!C16)^(N$4-1)</f>
        <v/>
      </c>
    </row>
    <row r="35">
      <c r="B35" s="22" t="inlineStr">
        <is>
          <t>Итого денежные затраты</t>
        </is>
      </c>
      <c r="C35" s="24" t="inlineStr">
        <is>
          <t>тыс.руб</t>
        </is>
      </c>
      <c r="D35" s="56" t="n"/>
      <c r="E35" s="65">
        <f>E31+E32+E33+E34</f>
        <v/>
      </c>
      <c r="F35" s="65">
        <f>F31+F32+F33+F34</f>
        <v/>
      </c>
      <c r="G35" s="65">
        <f>G31+G32+G33+G34</f>
        <v/>
      </c>
      <c r="H35" s="65">
        <f>H31+H32+H33+H34</f>
        <v/>
      </c>
      <c r="I35" s="65">
        <f>I31+I32+I33+I34</f>
        <v/>
      </c>
      <c r="J35" s="65">
        <f>J31+J32+J33+J34</f>
        <v/>
      </c>
      <c r="K35" s="65">
        <f>K31+K32+K33+K34</f>
        <v/>
      </c>
      <c r="L35" s="65">
        <f>L31+L32+L33+L34</f>
        <v/>
      </c>
      <c r="M35" s="65">
        <f>M31+M32+M33+M34</f>
        <v/>
      </c>
      <c r="N35" s="65">
        <f>N31+N32+N33+N34</f>
        <v/>
      </c>
    </row>
    <row r="36">
      <c r="B36" s="22" t="inlineStr">
        <is>
          <t>Амортизация (НУ)</t>
        </is>
      </c>
      <c r="C36" s="24" t="inlineStr">
        <is>
          <t>тыс.руб</t>
        </is>
      </c>
      <c r="D36" s="56" t="n"/>
      <c r="E36" s="56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6" s="56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6" s="56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6" s="56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6" s="56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6" s="56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6" s="56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6" s="56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6" s="56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6" s="56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7">
      <c r="B37" s="22" t="inlineStr">
        <is>
          <t>Налогооблагаемая база</t>
        </is>
      </c>
      <c r="C37" s="24" t="inlineStr">
        <is>
          <t>тыс.руб</t>
        </is>
      </c>
      <c r="D37" s="56" t="n"/>
      <c r="E37" s="56">
        <f>E35+E36</f>
        <v/>
      </c>
      <c r="F37" s="56">
        <f>F35+F36</f>
        <v/>
      </c>
      <c r="G37" s="56">
        <f>G35+G36</f>
        <v/>
      </c>
      <c r="H37" s="56">
        <f>H35+H36</f>
        <v/>
      </c>
      <c r="I37" s="56">
        <f>I35+I36</f>
        <v/>
      </c>
      <c r="J37" s="56">
        <f>J35+J36</f>
        <v/>
      </c>
      <c r="K37" s="56">
        <f>K35+K36</f>
        <v/>
      </c>
      <c r="L37" s="56">
        <f>L35+L36</f>
        <v/>
      </c>
      <c r="M37" s="56">
        <f>M35+M36</f>
        <v/>
      </c>
      <c r="N37" s="56">
        <f>N35+N36</f>
        <v/>
      </c>
    </row>
    <row r="38">
      <c r="B38" s="22" t="inlineStr">
        <is>
          <t>Налог на прибыль (щит)</t>
        </is>
      </c>
      <c r="C38" s="24" t="inlineStr">
        <is>
          <t>тыс.руб</t>
        </is>
      </c>
      <c r="D38" s="56" t="n"/>
      <c r="E38" s="56">
        <f>-E37*'Параметры'!C7</f>
        <v/>
      </c>
      <c r="F38" s="56">
        <f>-F37*'Параметры'!C7</f>
        <v/>
      </c>
      <c r="G38" s="56">
        <f>-G37*'Параметры'!C7</f>
        <v/>
      </c>
      <c r="H38" s="56">
        <f>-H37*'Параметры'!C7</f>
        <v/>
      </c>
      <c r="I38" s="56">
        <f>-I37*'Параметры'!C7</f>
        <v/>
      </c>
      <c r="J38" s="56">
        <f>-J37*'Параметры'!C7</f>
        <v/>
      </c>
      <c r="K38" s="56">
        <f>-K37*'Параметры'!C7</f>
        <v/>
      </c>
      <c r="L38" s="56">
        <f>-L37*'Параметры'!C7</f>
        <v/>
      </c>
      <c r="M38" s="56">
        <f>-M37*'Параметры'!C7</f>
        <v/>
      </c>
      <c r="N38" s="56">
        <f>-N37*'Параметры'!C7</f>
        <v/>
      </c>
    </row>
    <row r="39">
      <c r="B39" s="22" t="inlineStr">
        <is>
          <t>Операц. денежный поток</t>
        </is>
      </c>
      <c r="C39" s="24" t="inlineStr">
        <is>
          <t>тыс.руб</t>
        </is>
      </c>
      <c r="D39" s="56" t="n"/>
      <c r="E39" s="65">
        <f>E37+E38-E36</f>
        <v/>
      </c>
      <c r="F39" s="65">
        <f>F37+F38-F36</f>
        <v/>
      </c>
      <c r="G39" s="65">
        <f>G37+G38-G36</f>
        <v/>
      </c>
      <c r="H39" s="65">
        <f>H37+H38-H36</f>
        <v/>
      </c>
      <c r="I39" s="65">
        <f>I37+I38-I36</f>
        <v/>
      </c>
      <c r="J39" s="65">
        <f>J37+J38-J36</f>
        <v/>
      </c>
      <c r="K39" s="65">
        <f>K37+K38-K36</f>
        <v/>
      </c>
      <c r="L39" s="65">
        <f>L37+L38-L36</f>
        <v/>
      </c>
      <c r="M39" s="65">
        <f>M37+M38-M36</f>
        <v/>
      </c>
      <c r="N39" s="65">
        <f>N37+N38-N36</f>
        <v/>
      </c>
    </row>
    <row r="40">
      <c r="B40" s="22" t="inlineStr">
        <is>
          <t>Инвестиции / остаточная ст-ть</t>
        </is>
      </c>
      <c r="C40" s="24" t="inlineStr">
        <is>
          <t>тыс.руб</t>
        </is>
      </c>
      <c r="D40" s="56">
        <f>IF(D$4=0,'Производительность'!E5,IF(D$4='Параметры'!C8,-'Ввод данных'!E14*'Производительность'!E5,0))</f>
        <v/>
      </c>
      <c r="E40" s="56">
        <f>IF(E$4=0,'Производительность'!E5,IF(E$4='Параметры'!C8,-'Ввод данных'!E14*'Производительность'!E5,0))</f>
        <v/>
      </c>
      <c r="F40" s="56">
        <f>IF(F$4=0,'Производительность'!E5,IF(F$4='Параметры'!C8,-'Ввод данных'!E14*'Производительность'!E5,0))</f>
        <v/>
      </c>
      <c r="G40" s="56">
        <f>IF(G$4=0,'Производительность'!E5,IF(G$4='Параметры'!C8,-'Ввод данных'!E14*'Производительность'!E5,0))</f>
        <v/>
      </c>
      <c r="H40" s="56">
        <f>IF(H$4=0,'Производительность'!E5,IF(H$4='Параметры'!C8,-'Ввод данных'!E14*'Производительность'!E5,0))</f>
        <v/>
      </c>
      <c r="I40" s="56">
        <f>IF(I$4=0,'Производительность'!E5,IF(I$4='Параметры'!C8,-'Ввод данных'!E14*'Производительность'!E5,0))</f>
        <v/>
      </c>
      <c r="J40" s="56">
        <f>IF(J$4=0,'Производительность'!E5,IF(J$4='Параметры'!C8,-'Ввод данных'!E14*'Производительность'!E5,0))</f>
        <v/>
      </c>
      <c r="K40" s="56">
        <f>IF(K$4=0,'Производительность'!E5,IF(K$4='Параметры'!C8,-'Ввод данных'!E14*'Производительность'!E5,0))</f>
        <v/>
      </c>
      <c r="L40" s="56">
        <f>IF(L$4=0,'Производительность'!E5,IF(L$4='Параметры'!C8,-'Ввод данных'!E14*'Производительность'!E5,0))</f>
        <v/>
      </c>
      <c r="M40" s="56">
        <f>IF(M$4=0,'Производительность'!E5,IF(M$4='Параметры'!C8,-'Ввод данных'!E14*'Производительность'!E5,0))</f>
        <v/>
      </c>
      <c r="N40" s="56">
        <f>IF(N$4=0,'Производительность'!E5,IF(N$4='Параметры'!C8,-'Ввод данных'!E14*'Производительность'!E5,0))</f>
        <v/>
      </c>
    </row>
    <row r="41">
      <c r="B41" s="22" t="inlineStr">
        <is>
          <t>Чистый денежный поток</t>
        </is>
      </c>
      <c r="C41" s="24" t="inlineStr">
        <is>
          <t>тыс.руб</t>
        </is>
      </c>
      <c r="D41" s="65">
        <f>0+D40</f>
        <v/>
      </c>
      <c r="E41" s="65">
        <f>E39+E40</f>
        <v/>
      </c>
      <c r="F41" s="65">
        <f>F39+F40</f>
        <v/>
      </c>
      <c r="G41" s="65">
        <f>G39+G40</f>
        <v/>
      </c>
      <c r="H41" s="65">
        <f>H39+H40</f>
        <v/>
      </c>
      <c r="I41" s="65">
        <f>I39+I40</f>
        <v/>
      </c>
      <c r="J41" s="65">
        <f>J39+J40</f>
        <v/>
      </c>
      <c r="K41" s="65">
        <f>K39+K40</f>
        <v/>
      </c>
      <c r="L41" s="65">
        <f>L39+L40</f>
        <v/>
      </c>
      <c r="M41" s="65">
        <f>M39+M40</f>
        <v/>
      </c>
      <c r="N41" s="65">
        <f>N39+N40</f>
        <v/>
      </c>
    </row>
    <row r="42">
      <c r="B42" s="22" t="inlineStr">
        <is>
          <t>Дисконтированный поток</t>
        </is>
      </c>
      <c r="C42" s="24" t="inlineStr">
        <is>
          <t>тыс.руб</t>
        </is>
      </c>
      <c r="D42" s="56">
        <f>D41*D$6</f>
        <v/>
      </c>
      <c r="E42" s="56">
        <f>E41*E$6</f>
        <v/>
      </c>
      <c r="F42" s="56">
        <f>F41*F$6</f>
        <v/>
      </c>
      <c r="G42" s="56">
        <f>G41*G$6</f>
        <v/>
      </c>
      <c r="H42" s="56">
        <f>H41*H$6</f>
        <v/>
      </c>
      <c r="I42" s="56">
        <f>I41*I$6</f>
        <v/>
      </c>
      <c r="J42" s="56">
        <f>J41*J$6</f>
        <v/>
      </c>
      <c r="K42" s="56">
        <f>K41*K$6</f>
        <v/>
      </c>
      <c r="L42" s="56">
        <f>L41*L$6</f>
        <v/>
      </c>
      <c r="M42" s="56">
        <f>M41*M$6</f>
        <v/>
      </c>
      <c r="N42" s="56">
        <f>N41*N$6</f>
        <v/>
      </c>
    </row>
    <row r="43">
      <c r="B43" s="22" t="inlineStr">
        <is>
          <t>Кумул. дисконт. поток</t>
        </is>
      </c>
      <c r="C43" s="24" t="inlineStr">
        <is>
          <t>тыс.руб</t>
        </is>
      </c>
      <c r="D43" s="56">
        <f>SUM($D42:D42)</f>
        <v/>
      </c>
      <c r="E43" s="56">
        <f>SUM($D42:E42)</f>
        <v/>
      </c>
      <c r="F43" s="56">
        <f>SUM($D42:F42)</f>
        <v/>
      </c>
      <c r="G43" s="56">
        <f>SUM($D42:G42)</f>
        <v/>
      </c>
      <c r="H43" s="56">
        <f>SUM($D42:H42)</f>
        <v/>
      </c>
      <c r="I43" s="56">
        <f>SUM($D42:I42)</f>
        <v/>
      </c>
      <c r="J43" s="56">
        <f>SUM($D42:J42)</f>
        <v/>
      </c>
      <c r="K43" s="56">
        <f>SUM($D42:K42)</f>
        <v/>
      </c>
      <c r="L43" s="56">
        <f>SUM($D42:L42)</f>
        <v/>
      </c>
      <c r="M43" s="56">
        <f>SUM($D42:M42)</f>
        <v/>
      </c>
      <c r="N43" s="56">
        <f>SUM($D42:N42)</f>
        <v/>
      </c>
    </row>
    <row r="44">
      <c r="B44" s="37" t="inlineStr">
        <is>
          <t>Аннуитет по году</t>
        </is>
      </c>
      <c r="C44" s="24" t="inlineStr">
        <is>
          <t>руб/м³</t>
        </is>
      </c>
      <c r="D44" s="66" t="n"/>
      <c r="E44" s="66">
        <f>SUM($D42:E42)/SUM($E$6:E$6)/(SUM($E30:E30)/E$4)</f>
        <v/>
      </c>
      <c r="F44" s="66">
        <f>SUM($D42:F42)/SUM($E$6:F$6)/(SUM($E30:F30)/F$4)</f>
        <v/>
      </c>
      <c r="G44" s="66">
        <f>SUM($D42:G42)/SUM($E$6:G$6)/(SUM($E30:G30)/G$4)</f>
        <v/>
      </c>
      <c r="H44" s="66">
        <f>SUM($D42:H42)/SUM($E$6:H$6)/(SUM($E30:H30)/H$4)</f>
        <v/>
      </c>
      <c r="I44" s="66">
        <f>SUM($D42:I42)/SUM($E$6:I$6)/(SUM($E30:I30)/I$4)</f>
        <v/>
      </c>
      <c r="J44" s="66">
        <f>SUM($D42:J42)/SUM($E$6:J$6)/(SUM($E30:J30)/J$4)</f>
        <v/>
      </c>
      <c r="K44" s="66">
        <f>SUM($D42:K42)/SUM($E$6:K$6)/(SUM($E30:K30)/K$4)</f>
        <v/>
      </c>
      <c r="L44" s="66">
        <f>SUM($D42:L42)/SUM($E$6:L$6)/(SUM($E30:L30)/L$4)</f>
        <v/>
      </c>
      <c r="M44" s="66">
        <f>SUM($D42:M42)/SUM($E$6:M$6)/(SUM($E30:M30)/M$4)</f>
        <v/>
      </c>
      <c r="N44" s="66">
        <f>SUM($D42:N42)/SUM($E$6:N$6)/(SUM($E30:N30)/N$4)</f>
        <v/>
      </c>
    </row>
    <row r="46">
      <c r="B46" s="5">
        <f>"Вариант 3:  "&amp;'Ввод данных'!F7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B47" s="22" t="inlineStr">
        <is>
          <t>КТГ</t>
        </is>
      </c>
      <c r="C47" s="24" t="inlineStr">
        <is>
          <t>коэф.</t>
        </is>
      </c>
      <c r="D47" s="59" t="n"/>
      <c r="E47" s="59">
        <f>'Данные по годам'!E17</f>
        <v/>
      </c>
      <c r="F47" s="59">
        <f>'Данные по годам'!F17</f>
        <v/>
      </c>
      <c r="G47" s="59">
        <f>'Данные по годам'!G17</f>
        <v/>
      </c>
      <c r="H47" s="59">
        <f>'Данные по годам'!H17</f>
        <v/>
      </c>
      <c r="I47" s="59">
        <f>'Данные по годам'!I17</f>
        <v/>
      </c>
      <c r="J47" s="59">
        <f>'Данные по годам'!J17</f>
        <v/>
      </c>
      <c r="K47" s="59">
        <f>'Данные по годам'!K17</f>
        <v/>
      </c>
      <c r="L47" s="59">
        <f>'Данные по годам'!L17</f>
        <v/>
      </c>
      <c r="M47" s="59">
        <f>'Данные по годам'!M17</f>
        <v/>
      </c>
      <c r="N47" s="59">
        <f>'Данные по годам'!N17</f>
        <v/>
      </c>
    </row>
    <row r="48">
      <c r="B48" s="22" t="inlineStr">
        <is>
          <t>Эффективное время</t>
        </is>
      </c>
      <c r="C48" s="24" t="inlineStr">
        <is>
          <t>час/год</t>
        </is>
      </c>
      <c r="D48" s="56" t="n"/>
      <c r="E48" s="56">
        <f>'Параметры'!C26*E47*(1-'Ввод данных'!F18/(60*'Параметры'!C33))</f>
        <v/>
      </c>
      <c r="F48" s="56">
        <f>'Параметры'!C26*F47*(1-'Ввод данных'!F18/(60*'Параметры'!C33))</f>
        <v/>
      </c>
      <c r="G48" s="56">
        <f>'Параметры'!C26*G47*(1-'Ввод данных'!F18/(60*'Параметры'!C33))</f>
        <v/>
      </c>
      <c r="H48" s="56">
        <f>'Параметры'!C26*H47*(1-'Ввод данных'!F18/(60*'Параметры'!C33))</f>
        <v/>
      </c>
      <c r="I48" s="56">
        <f>'Параметры'!C26*I47*(1-'Ввод данных'!F18/(60*'Параметры'!C33))</f>
        <v/>
      </c>
      <c r="J48" s="56">
        <f>'Параметры'!C26*J47*(1-'Ввод данных'!F18/(60*'Параметры'!C33))</f>
        <v/>
      </c>
      <c r="K48" s="56">
        <f>'Параметры'!C26*K47*(1-'Ввод данных'!F18/(60*'Параметры'!C33))</f>
        <v/>
      </c>
      <c r="L48" s="56">
        <f>'Параметры'!C26*L47*(1-'Ввод данных'!F18/(60*'Параметры'!C33))</f>
        <v/>
      </c>
      <c r="M48" s="56">
        <f>'Параметры'!C26*M47*(1-'Ввод данных'!F18/(60*'Параметры'!C33))</f>
        <v/>
      </c>
      <c r="N48" s="56">
        <f>'Параметры'!C26*N47*(1-'Ввод данных'!F18/(60*'Параметры'!C33))</f>
        <v/>
      </c>
    </row>
    <row r="49">
      <c r="B49" s="22" t="inlineStr">
        <is>
          <t>Производительность</t>
        </is>
      </c>
      <c r="C49" s="24" t="inlineStr">
        <is>
          <t>тыс.м³</t>
        </is>
      </c>
      <c r="D49" s="56" t="n"/>
      <c r="E49" s="56">
        <f>'Производительность'!F10*E48/1000</f>
        <v/>
      </c>
      <c r="F49" s="56">
        <f>'Производительность'!F10*F48/1000</f>
        <v/>
      </c>
      <c r="G49" s="56">
        <f>'Производительность'!F10*G48/1000</f>
        <v/>
      </c>
      <c r="H49" s="56">
        <f>'Производительность'!F10*H48/1000</f>
        <v/>
      </c>
      <c r="I49" s="56">
        <f>'Производительность'!F10*I48/1000</f>
        <v/>
      </c>
      <c r="J49" s="56">
        <f>'Производительность'!F10*J48/1000</f>
        <v/>
      </c>
      <c r="K49" s="56">
        <f>'Производительность'!F10*K48/1000</f>
        <v/>
      </c>
      <c r="L49" s="56">
        <f>'Производительность'!F10*L48/1000</f>
        <v/>
      </c>
      <c r="M49" s="56">
        <f>'Производительность'!F10*M48/1000</f>
        <v/>
      </c>
      <c r="N49" s="56">
        <f>'Производительность'!F10*N48/1000</f>
        <v/>
      </c>
    </row>
    <row r="50">
      <c r="B50" s="22" t="inlineStr">
        <is>
          <t>Дизтопливо</t>
        </is>
      </c>
      <c r="C50" s="24" t="inlineStr">
        <is>
          <t>тыс.руб</t>
        </is>
      </c>
      <c r="D50" s="56" t="n"/>
      <c r="E50" s="56">
        <f>E48*'Данные по годам'!E19*'Параметры'!C10*(1+'Параметры'!C14)^(E$4-1)/1000</f>
        <v/>
      </c>
      <c r="F50" s="56">
        <f>F48*'Данные по годам'!F19*'Параметры'!C10*(1+'Параметры'!C14)^(F$4-1)/1000</f>
        <v/>
      </c>
      <c r="G50" s="56">
        <f>G48*'Данные по годам'!G19*'Параметры'!C10*(1+'Параметры'!C14)^(G$4-1)/1000</f>
        <v/>
      </c>
      <c r="H50" s="56">
        <f>H48*'Данные по годам'!H19*'Параметры'!C10*(1+'Параметры'!C14)^(H$4-1)/1000</f>
        <v/>
      </c>
      <c r="I50" s="56">
        <f>I48*'Данные по годам'!I19*'Параметры'!C10*(1+'Параметры'!C14)^(I$4-1)/1000</f>
        <v/>
      </c>
      <c r="J50" s="56">
        <f>J48*'Данные по годам'!J19*'Параметры'!C10*(1+'Параметры'!C14)^(J$4-1)/1000</f>
        <v/>
      </c>
      <c r="K50" s="56">
        <f>K48*'Данные по годам'!K19*'Параметры'!C10*(1+'Параметры'!C14)^(K$4-1)/1000</f>
        <v/>
      </c>
      <c r="L50" s="56">
        <f>L48*'Данные по годам'!L19*'Параметры'!C10*(1+'Параметры'!C14)^(L$4-1)/1000</f>
        <v/>
      </c>
      <c r="M50" s="56">
        <f>M48*'Данные по годам'!M19*'Параметры'!C10*(1+'Параметры'!C14)^(M$4-1)/1000</f>
        <v/>
      </c>
      <c r="N50" s="56">
        <f>N48*'Данные по годам'!N19*'Параметры'!C10*(1+'Параметры'!C14)^(N$4-1)/1000</f>
        <v/>
      </c>
    </row>
    <row r="51">
      <c r="B51" s="22" t="inlineStr">
        <is>
          <t>ТОиР и сервис (по годам)</t>
        </is>
      </c>
      <c r="C51" s="24" t="inlineStr">
        <is>
          <t>тыс.руб</t>
        </is>
      </c>
      <c r="D51" s="56" t="n"/>
      <c r="E51" s="56">
        <f>'Данные по годам'!E18*IF('Данные по годам'!$D$18="CNY",'Параметры'!C20,IF('Данные по годам'!$D$18="USD",'Параметры'!C21,IF('Данные по годам'!$D$18="EUR",'Параметры'!C22,1)))</f>
        <v/>
      </c>
      <c r="F51" s="56">
        <f>'Данные по годам'!F18*IF('Данные по годам'!$D$18="CNY",'Параметры'!C20,IF('Данные по годам'!$D$18="USD",'Параметры'!C21,IF('Данные по годам'!$D$18="EUR",'Параметры'!C22,1)))</f>
        <v/>
      </c>
      <c r="G51" s="56">
        <f>'Данные по годам'!G18*IF('Данные по годам'!$D$18="CNY",'Параметры'!C20,IF('Данные по годам'!$D$18="USD",'Параметры'!C21,IF('Данные по годам'!$D$18="EUR",'Параметры'!C22,1)))</f>
        <v/>
      </c>
      <c r="H51" s="56">
        <f>'Данные по годам'!H18*IF('Данные по годам'!$D$18="CNY",'Параметры'!C20,IF('Данные по годам'!$D$18="USD",'Параметры'!C21,IF('Данные по годам'!$D$18="EUR",'Параметры'!C22,1)))</f>
        <v/>
      </c>
      <c r="I51" s="56">
        <f>'Данные по годам'!I18*IF('Данные по годам'!$D$18="CNY",'Параметры'!C20,IF('Данные по годам'!$D$18="USD",'Параметры'!C21,IF('Данные по годам'!$D$18="EUR",'Параметры'!C22,1)))</f>
        <v/>
      </c>
      <c r="J51" s="56">
        <f>'Данные по годам'!J18*IF('Данные по годам'!$D$18="CNY",'Параметры'!C20,IF('Данные по годам'!$D$18="USD",'Параметры'!C21,IF('Данные по годам'!$D$18="EUR",'Параметры'!C22,1)))</f>
        <v/>
      </c>
      <c r="K51" s="56">
        <f>'Данные по годам'!K18*IF('Данные по годам'!$D$18="CNY",'Параметры'!C20,IF('Данные по годам'!$D$18="USD",'Параметры'!C21,IF('Данные по годам'!$D$18="EUR",'Параметры'!C22,1)))</f>
        <v/>
      </c>
      <c r="L51" s="56">
        <f>'Данные по годам'!L18*IF('Данные по годам'!$D$18="CNY",'Параметры'!C20,IF('Данные по годам'!$D$18="USD",'Параметры'!C21,IF('Данные по годам'!$D$18="EUR",'Параметры'!C22,1)))</f>
        <v/>
      </c>
      <c r="M51" s="56">
        <f>'Данные по годам'!M18*IF('Данные по годам'!$D$18="CNY",'Параметры'!C20,IF('Данные по годам'!$D$18="USD",'Параметры'!C21,IF('Данные по годам'!$D$18="EUR",'Параметры'!C22,1)))</f>
        <v/>
      </c>
      <c r="N51" s="56">
        <f>'Данные по годам'!N18*IF('Данные по годам'!$D$18="CNY",'Параметры'!C20,IF('Данные по годам'!$D$18="USD",'Параметры'!C21,IF('Данные по годам'!$D$18="EUR",'Параметры'!C22,1)))</f>
        <v/>
      </c>
    </row>
    <row r="52">
      <c r="B52" s="22" t="inlineStr">
        <is>
          <t>Расходники на ковш</t>
        </is>
      </c>
      <c r="C52" s="24" t="inlineStr">
        <is>
          <t>тыс.руб</t>
        </is>
      </c>
      <c r="D52" s="56" t="n"/>
      <c r="E52" s="56">
        <f>'Данные по годам'!E20*E49*(1+'Параметры'!C15)^(E$4-1)</f>
        <v/>
      </c>
      <c r="F52" s="56">
        <f>'Данные по годам'!F20*F49*(1+'Параметры'!C15)^(F$4-1)</f>
        <v/>
      </c>
      <c r="G52" s="56">
        <f>'Данные по годам'!G20*G49*(1+'Параметры'!C15)^(G$4-1)</f>
        <v/>
      </c>
      <c r="H52" s="56">
        <f>'Данные по годам'!H20*H49*(1+'Параметры'!C15)^(H$4-1)</f>
        <v/>
      </c>
      <c r="I52" s="56">
        <f>'Данные по годам'!I20*I49*(1+'Параметры'!C15)^(I$4-1)</f>
        <v/>
      </c>
      <c r="J52" s="56">
        <f>'Данные по годам'!J20*J49*(1+'Параметры'!C15)^(J$4-1)</f>
        <v/>
      </c>
      <c r="K52" s="56">
        <f>'Данные по годам'!K20*K49*(1+'Параметры'!C15)^(K$4-1)</f>
        <v/>
      </c>
      <c r="L52" s="56">
        <f>'Данные по годам'!L20*L49*(1+'Параметры'!C15)^(L$4-1)</f>
        <v/>
      </c>
      <c r="M52" s="56">
        <f>'Данные по годам'!M20*M49*(1+'Параметры'!C15)^(M$4-1)</f>
        <v/>
      </c>
      <c r="N52" s="56">
        <f>'Данные по годам'!N20*N49*(1+'Параметры'!C15)^(N$4-1)</f>
        <v/>
      </c>
    </row>
    <row r="53">
      <c r="B53" s="22" t="inlineStr">
        <is>
          <t>Персонал</t>
        </is>
      </c>
      <c r="C53" s="24" t="inlineStr">
        <is>
          <t>тыс.руб</t>
        </is>
      </c>
      <c r="D53" s="56" t="n"/>
      <c r="E53" s="56">
        <f>'Ввод данных'!F20*(1+'Параметры'!C16)^(E$4-1)</f>
        <v/>
      </c>
      <c r="F53" s="56">
        <f>'Ввод данных'!F20*(1+'Параметры'!C16)^(F$4-1)</f>
        <v/>
      </c>
      <c r="G53" s="56">
        <f>'Ввод данных'!F20*(1+'Параметры'!C16)^(G$4-1)</f>
        <v/>
      </c>
      <c r="H53" s="56">
        <f>'Ввод данных'!F20*(1+'Параметры'!C16)^(H$4-1)</f>
        <v/>
      </c>
      <c r="I53" s="56">
        <f>'Ввод данных'!F20*(1+'Параметры'!C16)^(I$4-1)</f>
        <v/>
      </c>
      <c r="J53" s="56">
        <f>'Ввод данных'!F20*(1+'Параметры'!C16)^(J$4-1)</f>
        <v/>
      </c>
      <c r="K53" s="56">
        <f>'Ввод данных'!F20*(1+'Параметры'!C16)^(K$4-1)</f>
        <v/>
      </c>
      <c r="L53" s="56">
        <f>'Ввод данных'!F20*(1+'Параметры'!C16)^(L$4-1)</f>
        <v/>
      </c>
      <c r="M53" s="56">
        <f>'Ввод данных'!F20*(1+'Параметры'!C16)^(M$4-1)</f>
        <v/>
      </c>
      <c r="N53" s="56">
        <f>'Ввод данных'!F20*(1+'Параметры'!C16)^(N$4-1)</f>
        <v/>
      </c>
    </row>
    <row r="54">
      <c r="B54" s="22" t="inlineStr">
        <is>
          <t>Итого денежные затраты</t>
        </is>
      </c>
      <c r="C54" s="24" t="inlineStr">
        <is>
          <t>тыс.руб</t>
        </is>
      </c>
      <c r="D54" s="56" t="n"/>
      <c r="E54" s="65">
        <f>E50+E51+E52+E53</f>
        <v/>
      </c>
      <c r="F54" s="65">
        <f>F50+F51+F52+F53</f>
        <v/>
      </c>
      <c r="G54" s="65">
        <f>G50+G51+G52+G53</f>
        <v/>
      </c>
      <c r="H54" s="65">
        <f>H50+H51+H52+H53</f>
        <v/>
      </c>
      <c r="I54" s="65">
        <f>I50+I51+I52+I53</f>
        <v/>
      </c>
      <c r="J54" s="65">
        <f>J50+J51+J52+J53</f>
        <v/>
      </c>
      <c r="K54" s="65">
        <f>K50+K51+K52+K53</f>
        <v/>
      </c>
      <c r="L54" s="65">
        <f>L50+L51+L52+L53</f>
        <v/>
      </c>
      <c r="M54" s="65">
        <f>M50+M51+M52+M53</f>
        <v/>
      </c>
      <c r="N54" s="65">
        <f>N50+N51+N52+N53</f>
        <v/>
      </c>
    </row>
    <row r="55">
      <c r="B55" s="22" t="inlineStr">
        <is>
          <t>Амортизация (НУ)</t>
        </is>
      </c>
      <c r="C55" s="24" t="inlineStr">
        <is>
          <t>тыс.руб</t>
        </is>
      </c>
      <c r="D55" s="56" t="n"/>
      <c r="E55" s="56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5" s="56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5" s="56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5" s="56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5" s="56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5" s="56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5" s="56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5" s="56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5" s="56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5" s="56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6">
      <c r="B56" s="22" t="inlineStr">
        <is>
          <t>Налогооблагаемая база</t>
        </is>
      </c>
      <c r="C56" s="24" t="inlineStr">
        <is>
          <t>тыс.руб</t>
        </is>
      </c>
      <c r="D56" s="56" t="n"/>
      <c r="E56" s="56">
        <f>E54+E55</f>
        <v/>
      </c>
      <c r="F56" s="56">
        <f>F54+F55</f>
        <v/>
      </c>
      <c r="G56" s="56">
        <f>G54+G55</f>
        <v/>
      </c>
      <c r="H56" s="56">
        <f>H54+H55</f>
        <v/>
      </c>
      <c r="I56" s="56">
        <f>I54+I55</f>
        <v/>
      </c>
      <c r="J56" s="56">
        <f>J54+J55</f>
        <v/>
      </c>
      <c r="K56" s="56">
        <f>K54+K55</f>
        <v/>
      </c>
      <c r="L56" s="56">
        <f>L54+L55</f>
        <v/>
      </c>
      <c r="M56" s="56">
        <f>M54+M55</f>
        <v/>
      </c>
      <c r="N56" s="56">
        <f>N54+N55</f>
        <v/>
      </c>
    </row>
    <row r="57">
      <c r="B57" s="22" t="inlineStr">
        <is>
          <t>Налог на прибыль (щит)</t>
        </is>
      </c>
      <c r="C57" s="24" t="inlineStr">
        <is>
          <t>тыс.руб</t>
        </is>
      </c>
      <c r="D57" s="56" t="n"/>
      <c r="E57" s="56">
        <f>-E56*'Параметры'!C7</f>
        <v/>
      </c>
      <c r="F57" s="56">
        <f>-F56*'Параметры'!C7</f>
        <v/>
      </c>
      <c r="G57" s="56">
        <f>-G56*'Параметры'!C7</f>
        <v/>
      </c>
      <c r="H57" s="56">
        <f>-H56*'Параметры'!C7</f>
        <v/>
      </c>
      <c r="I57" s="56">
        <f>-I56*'Параметры'!C7</f>
        <v/>
      </c>
      <c r="J57" s="56">
        <f>-J56*'Параметры'!C7</f>
        <v/>
      </c>
      <c r="K57" s="56">
        <f>-K56*'Параметры'!C7</f>
        <v/>
      </c>
      <c r="L57" s="56">
        <f>-L56*'Параметры'!C7</f>
        <v/>
      </c>
      <c r="M57" s="56">
        <f>-M56*'Параметры'!C7</f>
        <v/>
      </c>
      <c r="N57" s="56">
        <f>-N56*'Параметры'!C7</f>
        <v/>
      </c>
    </row>
    <row r="58">
      <c r="B58" s="22" t="inlineStr">
        <is>
          <t>Операц. денежный поток</t>
        </is>
      </c>
      <c r="C58" s="24" t="inlineStr">
        <is>
          <t>тыс.руб</t>
        </is>
      </c>
      <c r="D58" s="56" t="n"/>
      <c r="E58" s="65">
        <f>E56+E57-E55</f>
        <v/>
      </c>
      <c r="F58" s="65">
        <f>F56+F57-F55</f>
        <v/>
      </c>
      <c r="G58" s="65">
        <f>G56+G57-G55</f>
        <v/>
      </c>
      <c r="H58" s="65">
        <f>H56+H57-H55</f>
        <v/>
      </c>
      <c r="I58" s="65">
        <f>I56+I57-I55</f>
        <v/>
      </c>
      <c r="J58" s="65">
        <f>J56+J57-J55</f>
        <v/>
      </c>
      <c r="K58" s="65">
        <f>K56+K57-K55</f>
        <v/>
      </c>
      <c r="L58" s="65">
        <f>L56+L57-L55</f>
        <v/>
      </c>
      <c r="M58" s="65">
        <f>M56+M57-M55</f>
        <v/>
      </c>
      <c r="N58" s="65">
        <f>N56+N57-N55</f>
        <v/>
      </c>
    </row>
    <row r="59">
      <c r="B59" s="22" t="inlineStr">
        <is>
          <t>Инвестиции / остаточная ст-ть</t>
        </is>
      </c>
      <c r="C59" s="24" t="inlineStr">
        <is>
          <t>тыс.руб</t>
        </is>
      </c>
      <c r="D59" s="56">
        <f>IF(D$4=0,'Производительность'!F5,IF(D$4='Параметры'!C8,-'Ввод данных'!F14*'Производительность'!F5,0))</f>
        <v/>
      </c>
      <c r="E59" s="56">
        <f>IF(E$4=0,'Производительность'!F5,IF(E$4='Параметры'!C8,-'Ввод данных'!F14*'Производительность'!F5,0))</f>
        <v/>
      </c>
      <c r="F59" s="56">
        <f>IF(F$4=0,'Производительность'!F5,IF(F$4='Параметры'!C8,-'Ввод данных'!F14*'Производительность'!F5,0))</f>
        <v/>
      </c>
      <c r="G59" s="56">
        <f>IF(G$4=0,'Производительность'!F5,IF(G$4='Параметры'!C8,-'Ввод данных'!F14*'Производительность'!F5,0))</f>
        <v/>
      </c>
      <c r="H59" s="56">
        <f>IF(H$4=0,'Производительность'!F5,IF(H$4='Параметры'!C8,-'Ввод данных'!F14*'Производительность'!F5,0))</f>
        <v/>
      </c>
      <c r="I59" s="56">
        <f>IF(I$4=0,'Производительность'!F5,IF(I$4='Параметры'!C8,-'Ввод данных'!F14*'Производительность'!F5,0))</f>
        <v/>
      </c>
      <c r="J59" s="56">
        <f>IF(J$4=0,'Производительность'!F5,IF(J$4='Параметры'!C8,-'Ввод данных'!F14*'Производительность'!F5,0))</f>
        <v/>
      </c>
      <c r="K59" s="56">
        <f>IF(K$4=0,'Производительность'!F5,IF(K$4='Параметры'!C8,-'Ввод данных'!F14*'Производительность'!F5,0))</f>
        <v/>
      </c>
      <c r="L59" s="56">
        <f>IF(L$4=0,'Производительность'!F5,IF(L$4='Параметры'!C8,-'Ввод данных'!F14*'Производительность'!F5,0))</f>
        <v/>
      </c>
      <c r="M59" s="56">
        <f>IF(M$4=0,'Производительность'!F5,IF(M$4='Параметры'!C8,-'Ввод данных'!F14*'Производительность'!F5,0))</f>
        <v/>
      </c>
      <c r="N59" s="56">
        <f>IF(N$4=0,'Производительность'!F5,IF(N$4='Параметры'!C8,-'Ввод данных'!F14*'Производительность'!F5,0))</f>
        <v/>
      </c>
    </row>
    <row r="60">
      <c r="B60" s="22" t="inlineStr">
        <is>
          <t>Чистый денежный поток</t>
        </is>
      </c>
      <c r="C60" s="24" t="inlineStr">
        <is>
          <t>тыс.руб</t>
        </is>
      </c>
      <c r="D60" s="65">
        <f>0+D59</f>
        <v/>
      </c>
      <c r="E60" s="65">
        <f>E58+E59</f>
        <v/>
      </c>
      <c r="F60" s="65">
        <f>F58+F59</f>
        <v/>
      </c>
      <c r="G60" s="65">
        <f>G58+G59</f>
        <v/>
      </c>
      <c r="H60" s="65">
        <f>H58+H59</f>
        <v/>
      </c>
      <c r="I60" s="65">
        <f>I58+I59</f>
        <v/>
      </c>
      <c r="J60" s="65">
        <f>J58+J59</f>
        <v/>
      </c>
      <c r="K60" s="65">
        <f>K58+K59</f>
        <v/>
      </c>
      <c r="L60" s="65">
        <f>L58+L59</f>
        <v/>
      </c>
      <c r="M60" s="65">
        <f>M58+M59</f>
        <v/>
      </c>
      <c r="N60" s="65">
        <f>N58+N59</f>
        <v/>
      </c>
    </row>
    <row r="61">
      <c r="B61" s="22" t="inlineStr">
        <is>
          <t>Дисконтированный поток</t>
        </is>
      </c>
      <c r="C61" s="24" t="inlineStr">
        <is>
          <t>тыс.руб</t>
        </is>
      </c>
      <c r="D61" s="56">
        <f>D60*D$6</f>
        <v/>
      </c>
      <c r="E61" s="56">
        <f>E60*E$6</f>
        <v/>
      </c>
      <c r="F61" s="56">
        <f>F60*F$6</f>
        <v/>
      </c>
      <c r="G61" s="56">
        <f>G60*G$6</f>
        <v/>
      </c>
      <c r="H61" s="56">
        <f>H60*H$6</f>
        <v/>
      </c>
      <c r="I61" s="56">
        <f>I60*I$6</f>
        <v/>
      </c>
      <c r="J61" s="56">
        <f>J60*J$6</f>
        <v/>
      </c>
      <c r="K61" s="56">
        <f>K60*K$6</f>
        <v/>
      </c>
      <c r="L61" s="56">
        <f>L60*L$6</f>
        <v/>
      </c>
      <c r="M61" s="56">
        <f>M60*M$6</f>
        <v/>
      </c>
      <c r="N61" s="56">
        <f>N60*N$6</f>
        <v/>
      </c>
    </row>
    <row r="62">
      <c r="B62" s="22" t="inlineStr">
        <is>
          <t>Кумул. дисконт. поток</t>
        </is>
      </c>
      <c r="C62" s="24" t="inlineStr">
        <is>
          <t>тыс.руб</t>
        </is>
      </c>
      <c r="D62" s="56">
        <f>SUM($D61:D61)</f>
        <v/>
      </c>
      <c r="E62" s="56">
        <f>SUM($D61:E61)</f>
        <v/>
      </c>
      <c r="F62" s="56">
        <f>SUM($D61:F61)</f>
        <v/>
      </c>
      <c r="G62" s="56">
        <f>SUM($D61:G61)</f>
        <v/>
      </c>
      <c r="H62" s="56">
        <f>SUM($D61:H61)</f>
        <v/>
      </c>
      <c r="I62" s="56">
        <f>SUM($D61:I61)</f>
        <v/>
      </c>
      <c r="J62" s="56">
        <f>SUM($D61:J61)</f>
        <v/>
      </c>
      <c r="K62" s="56">
        <f>SUM($D61:K61)</f>
        <v/>
      </c>
      <c r="L62" s="56">
        <f>SUM($D61:L61)</f>
        <v/>
      </c>
      <c r="M62" s="56">
        <f>SUM($D61:M61)</f>
        <v/>
      </c>
      <c r="N62" s="56">
        <f>SUM($D61:N61)</f>
        <v/>
      </c>
    </row>
    <row r="63">
      <c r="B63" s="37" t="inlineStr">
        <is>
          <t>Аннуитет по году</t>
        </is>
      </c>
      <c r="C63" s="24" t="inlineStr">
        <is>
          <t>руб/м³</t>
        </is>
      </c>
      <c r="D63" s="66" t="n"/>
      <c r="E63" s="66">
        <f>SUM($D61:E61)/SUM($E$6:E$6)/(SUM($E49:E49)/E$4)</f>
        <v/>
      </c>
      <c r="F63" s="66">
        <f>SUM($D61:F61)/SUM($E$6:F$6)/(SUM($E49:F49)/F$4)</f>
        <v/>
      </c>
      <c r="G63" s="66">
        <f>SUM($D61:G61)/SUM($E$6:G$6)/(SUM($E49:G49)/G$4)</f>
        <v/>
      </c>
      <c r="H63" s="66">
        <f>SUM($D61:H61)/SUM($E$6:H$6)/(SUM($E49:H49)/H$4)</f>
        <v/>
      </c>
      <c r="I63" s="66">
        <f>SUM($D61:I61)/SUM($E$6:I$6)/(SUM($E49:I49)/I$4)</f>
        <v/>
      </c>
      <c r="J63" s="66">
        <f>SUM($D61:J61)/SUM($E$6:J$6)/(SUM($E49:J49)/J$4)</f>
        <v/>
      </c>
      <c r="K63" s="66">
        <f>SUM($D61:K61)/SUM($E$6:K$6)/(SUM($E49:K49)/K$4)</f>
        <v/>
      </c>
      <c r="L63" s="66">
        <f>SUM($D61:L61)/SUM($E$6:L$6)/(SUM($E49:L49)/L$4)</f>
        <v/>
      </c>
      <c r="M63" s="66">
        <f>SUM($D61:M61)/SUM($E$6:M$6)/(SUM($E49:M49)/M$4)</f>
        <v/>
      </c>
      <c r="N63" s="66">
        <f>SUM($D61:N61)/SUM($E$6:N$6)/(SUM($E49:N49)/N$4)</f>
        <v/>
      </c>
    </row>
    <row r="65">
      <c r="B65" s="5">
        <f>"Вариант 4:  "&amp;'Ввод данных'!G7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B66" s="22" t="inlineStr">
        <is>
          <t>КТГ</t>
        </is>
      </c>
      <c r="C66" s="24" t="inlineStr">
        <is>
          <t>коэф.</t>
        </is>
      </c>
      <c r="D66" s="59" t="n"/>
      <c r="E66" s="59">
        <f>'Данные по годам'!E22</f>
        <v/>
      </c>
      <c r="F66" s="59">
        <f>'Данные по годам'!F22</f>
        <v/>
      </c>
      <c r="G66" s="59">
        <f>'Данные по годам'!G22</f>
        <v/>
      </c>
      <c r="H66" s="59">
        <f>'Данные по годам'!H22</f>
        <v/>
      </c>
      <c r="I66" s="59">
        <f>'Данные по годам'!I22</f>
        <v/>
      </c>
      <c r="J66" s="59">
        <f>'Данные по годам'!J22</f>
        <v/>
      </c>
      <c r="K66" s="59">
        <f>'Данные по годам'!K22</f>
        <v/>
      </c>
      <c r="L66" s="59">
        <f>'Данные по годам'!L22</f>
        <v/>
      </c>
      <c r="M66" s="59">
        <f>'Данные по годам'!M22</f>
        <v/>
      </c>
      <c r="N66" s="59">
        <f>'Данные по годам'!N22</f>
        <v/>
      </c>
    </row>
    <row r="67">
      <c r="B67" s="22" t="inlineStr">
        <is>
          <t>Эффективное время</t>
        </is>
      </c>
      <c r="C67" s="24" t="inlineStr">
        <is>
          <t>час/год</t>
        </is>
      </c>
      <c r="D67" s="56" t="n"/>
      <c r="E67" s="56">
        <f>'Параметры'!C26*E66*(1-'Ввод данных'!G18/(60*'Параметры'!C33))</f>
        <v/>
      </c>
      <c r="F67" s="56">
        <f>'Параметры'!C26*F66*(1-'Ввод данных'!G18/(60*'Параметры'!C33))</f>
        <v/>
      </c>
      <c r="G67" s="56">
        <f>'Параметры'!C26*G66*(1-'Ввод данных'!G18/(60*'Параметры'!C33))</f>
        <v/>
      </c>
      <c r="H67" s="56">
        <f>'Параметры'!C26*H66*(1-'Ввод данных'!G18/(60*'Параметры'!C33))</f>
        <v/>
      </c>
      <c r="I67" s="56">
        <f>'Параметры'!C26*I66*(1-'Ввод данных'!G18/(60*'Параметры'!C33))</f>
        <v/>
      </c>
      <c r="J67" s="56">
        <f>'Параметры'!C26*J66*(1-'Ввод данных'!G18/(60*'Параметры'!C33))</f>
        <v/>
      </c>
      <c r="K67" s="56">
        <f>'Параметры'!C26*K66*(1-'Ввод данных'!G18/(60*'Параметры'!C33))</f>
        <v/>
      </c>
      <c r="L67" s="56">
        <f>'Параметры'!C26*L66*(1-'Ввод данных'!G18/(60*'Параметры'!C33))</f>
        <v/>
      </c>
      <c r="M67" s="56">
        <f>'Параметры'!C26*M66*(1-'Ввод данных'!G18/(60*'Параметры'!C33))</f>
        <v/>
      </c>
      <c r="N67" s="56">
        <f>'Параметры'!C26*N66*(1-'Ввод данных'!G18/(60*'Параметры'!C33))</f>
        <v/>
      </c>
    </row>
    <row r="68">
      <c r="B68" s="22" t="inlineStr">
        <is>
          <t>Производительность</t>
        </is>
      </c>
      <c r="C68" s="24" t="inlineStr">
        <is>
          <t>тыс.м³</t>
        </is>
      </c>
      <c r="D68" s="56" t="n"/>
      <c r="E68" s="56">
        <f>'Производительность'!G10*E67/1000</f>
        <v/>
      </c>
      <c r="F68" s="56">
        <f>'Производительность'!G10*F67/1000</f>
        <v/>
      </c>
      <c r="G68" s="56">
        <f>'Производительность'!G10*G67/1000</f>
        <v/>
      </c>
      <c r="H68" s="56">
        <f>'Производительность'!G10*H67/1000</f>
        <v/>
      </c>
      <c r="I68" s="56">
        <f>'Производительность'!G10*I67/1000</f>
        <v/>
      </c>
      <c r="J68" s="56">
        <f>'Производительность'!G10*J67/1000</f>
        <v/>
      </c>
      <c r="K68" s="56">
        <f>'Производительность'!G10*K67/1000</f>
        <v/>
      </c>
      <c r="L68" s="56">
        <f>'Производительность'!G10*L67/1000</f>
        <v/>
      </c>
      <c r="M68" s="56">
        <f>'Производительность'!G10*M67/1000</f>
        <v/>
      </c>
      <c r="N68" s="56">
        <f>'Производительность'!G10*N67/1000</f>
        <v/>
      </c>
    </row>
    <row r="69">
      <c r="B69" s="22" t="inlineStr">
        <is>
          <t>Дизтопливо</t>
        </is>
      </c>
      <c r="C69" s="24" t="inlineStr">
        <is>
          <t>тыс.руб</t>
        </is>
      </c>
      <c r="D69" s="56" t="n"/>
      <c r="E69" s="56">
        <f>E67*'Данные по годам'!E24*'Параметры'!C10*(1+'Параметры'!C14)^(E$4-1)/1000</f>
        <v/>
      </c>
      <c r="F69" s="56">
        <f>F67*'Данные по годам'!F24*'Параметры'!C10*(1+'Параметры'!C14)^(F$4-1)/1000</f>
        <v/>
      </c>
      <c r="G69" s="56">
        <f>G67*'Данные по годам'!G24*'Параметры'!C10*(1+'Параметры'!C14)^(G$4-1)/1000</f>
        <v/>
      </c>
      <c r="H69" s="56">
        <f>H67*'Данные по годам'!H24*'Параметры'!C10*(1+'Параметры'!C14)^(H$4-1)/1000</f>
        <v/>
      </c>
      <c r="I69" s="56">
        <f>I67*'Данные по годам'!I24*'Параметры'!C10*(1+'Параметры'!C14)^(I$4-1)/1000</f>
        <v/>
      </c>
      <c r="J69" s="56">
        <f>J67*'Данные по годам'!J24*'Параметры'!C10*(1+'Параметры'!C14)^(J$4-1)/1000</f>
        <v/>
      </c>
      <c r="K69" s="56">
        <f>K67*'Данные по годам'!K24*'Параметры'!C10*(1+'Параметры'!C14)^(K$4-1)/1000</f>
        <v/>
      </c>
      <c r="L69" s="56">
        <f>L67*'Данные по годам'!L24*'Параметры'!C10*(1+'Параметры'!C14)^(L$4-1)/1000</f>
        <v/>
      </c>
      <c r="M69" s="56">
        <f>M67*'Данные по годам'!M24*'Параметры'!C10*(1+'Параметры'!C14)^(M$4-1)/1000</f>
        <v/>
      </c>
      <c r="N69" s="56">
        <f>N67*'Данные по годам'!N24*'Параметры'!C10*(1+'Параметры'!C14)^(N$4-1)/1000</f>
        <v/>
      </c>
    </row>
    <row r="70">
      <c r="B70" s="22" t="inlineStr">
        <is>
          <t>ТОиР и сервис (по годам)</t>
        </is>
      </c>
      <c r="C70" s="24" t="inlineStr">
        <is>
          <t>тыс.руб</t>
        </is>
      </c>
      <c r="D70" s="56" t="n"/>
      <c r="E70" s="56">
        <f>'Данные по годам'!E23*IF('Данные по годам'!$D$23="CNY",'Параметры'!C20,IF('Данные по годам'!$D$23="USD",'Параметры'!C21,IF('Данные по годам'!$D$23="EUR",'Параметры'!C22,1)))</f>
        <v/>
      </c>
      <c r="F70" s="56">
        <f>'Данные по годам'!F23*IF('Данные по годам'!$D$23="CNY",'Параметры'!C20,IF('Данные по годам'!$D$23="USD",'Параметры'!C21,IF('Данные по годам'!$D$23="EUR",'Параметры'!C22,1)))</f>
        <v/>
      </c>
      <c r="G70" s="56">
        <f>'Данные по годам'!G23*IF('Данные по годам'!$D$23="CNY",'Параметры'!C20,IF('Данные по годам'!$D$23="USD",'Параметры'!C21,IF('Данные по годам'!$D$23="EUR",'Параметры'!C22,1)))</f>
        <v/>
      </c>
      <c r="H70" s="56">
        <f>'Данные по годам'!H23*IF('Данные по годам'!$D$23="CNY",'Параметры'!C20,IF('Данные по годам'!$D$23="USD",'Параметры'!C21,IF('Данные по годам'!$D$23="EUR",'Параметры'!C22,1)))</f>
        <v/>
      </c>
      <c r="I70" s="56">
        <f>'Данные по годам'!I23*IF('Данные по годам'!$D$23="CNY",'Параметры'!C20,IF('Данные по годам'!$D$23="USD",'Параметры'!C21,IF('Данные по годам'!$D$23="EUR",'Параметры'!C22,1)))</f>
        <v/>
      </c>
      <c r="J70" s="56">
        <f>'Данные по годам'!J23*IF('Данные по годам'!$D$23="CNY",'Параметры'!C20,IF('Данные по годам'!$D$23="USD",'Параметры'!C21,IF('Данные по годам'!$D$23="EUR",'Параметры'!C22,1)))</f>
        <v/>
      </c>
      <c r="K70" s="56">
        <f>'Данные по годам'!K23*IF('Данные по годам'!$D$23="CNY",'Параметры'!C20,IF('Данные по годам'!$D$23="USD",'Параметры'!C21,IF('Данные по годам'!$D$23="EUR",'Параметры'!C22,1)))</f>
        <v/>
      </c>
      <c r="L70" s="56">
        <f>'Данные по годам'!L23*IF('Данные по годам'!$D$23="CNY",'Параметры'!C20,IF('Данные по годам'!$D$23="USD",'Параметры'!C21,IF('Данные по годам'!$D$23="EUR",'Параметры'!C22,1)))</f>
        <v/>
      </c>
      <c r="M70" s="56">
        <f>'Данные по годам'!M23*IF('Данные по годам'!$D$23="CNY",'Параметры'!C20,IF('Данные по годам'!$D$23="USD",'Параметры'!C21,IF('Данные по годам'!$D$23="EUR",'Параметры'!C22,1)))</f>
        <v/>
      </c>
      <c r="N70" s="56">
        <f>'Данные по годам'!N23*IF('Данные по годам'!$D$23="CNY",'Параметры'!C20,IF('Данные по годам'!$D$23="USD",'Параметры'!C21,IF('Данные по годам'!$D$23="EUR",'Параметры'!C22,1)))</f>
        <v/>
      </c>
    </row>
    <row r="71">
      <c r="B71" s="22" t="inlineStr">
        <is>
          <t>Расходники на ковш</t>
        </is>
      </c>
      <c r="C71" s="24" t="inlineStr">
        <is>
          <t>тыс.руб</t>
        </is>
      </c>
      <c r="D71" s="56" t="n"/>
      <c r="E71" s="56">
        <f>'Данные по годам'!E25*E68*(1+'Параметры'!C15)^(E$4-1)</f>
        <v/>
      </c>
      <c r="F71" s="56">
        <f>'Данные по годам'!F25*F68*(1+'Параметры'!C15)^(F$4-1)</f>
        <v/>
      </c>
      <c r="G71" s="56">
        <f>'Данные по годам'!G25*G68*(1+'Параметры'!C15)^(G$4-1)</f>
        <v/>
      </c>
      <c r="H71" s="56">
        <f>'Данные по годам'!H25*H68*(1+'Параметры'!C15)^(H$4-1)</f>
        <v/>
      </c>
      <c r="I71" s="56">
        <f>'Данные по годам'!I25*I68*(1+'Параметры'!C15)^(I$4-1)</f>
        <v/>
      </c>
      <c r="J71" s="56">
        <f>'Данные по годам'!J25*J68*(1+'Параметры'!C15)^(J$4-1)</f>
        <v/>
      </c>
      <c r="K71" s="56">
        <f>'Данные по годам'!K25*K68*(1+'Параметры'!C15)^(K$4-1)</f>
        <v/>
      </c>
      <c r="L71" s="56">
        <f>'Данные по годам'!L25*L68*(1+'Параметры'!C15)^(L$4-1)</f>
        <v/>
      </c>
      <c r="M71" s="56">
        <f>'Данные по годам'!M25*M68*(1+'Параметры'!C15)^(M$4-1)</f>
        <v/>
      </c>
      <c r="N71" s="56">
        <f>'Данные по годам'!N25*N68*(1+'Параметры'!C15)^(N$4-1)</f>
        <v/>
      </c>
    </row>
    <row r="72">
      <c r="B72" s="22" t="inlineStr">
        <is>
          <t>Персонал</t>
        </is>
      </c>
      <c r="C72" s="24" t="inlineStr">
        <is>
          <t>тыс.руб</t>
        </is>
      </c>
      <c r="D72" s="56" t="n"/>
      <c r="E72" s="56">
        <f>'Ввод данных'!G20*(1+'Параметры'!C16)^(E$4-1)</f>
        <v/>
      </c>
      <c r="F72" s="56">
        <f>'Ввод данных'!G20*(1+'Параметры'!C16)^(F$4-1)</f>
        <v/>
      </c>
      <c r="G72" s="56">
        <f>'Ввод данных'!G20*(1+'Параметры'!C16)^(G$4-1)</f>
        <v/>
      </c>
      <c r="H72" s="56">
        <f>'Ввод данных'!G20*(1+'Параметры'!C16)^(H$4-1)</f>
        <v/>
      </c>
      <c r="I72" s="56">
        <f>'Ввод данных'!G20*(1+'Параметры'!C16)^(I$4-1)</f>
        <v/>
      </c>
      <c r="J72" s="56">
        <f>'Ввод данных'!G20*(1+'Параметры'!C16)^(J$4-1)</f>
        <v/>
      </c>
      <c r="K72" s="56">
        <f>'Ввод данных'!G20*(1+'Параметры'!C16)^(K$4-1)</f>
        <v/>
      </c>
      <c r="L72" s="56">
        <f>'Ввод данных'!G20*(1+'Параметры'!C16)^(L$4-1)</f>
        <v/>
      </c>
      <c r="M72" s="56">
        <f>'Ввод данных'!G20*(1+'Параметры'!C16)^(M$4-1)</f>
        <v/>
      </c>
      <c r="N72" s="56">
        <f>'Ввод данных'!G20*(1+'Параметры'!C16)^(N$4-1)</f>
        <v/>
      </c>
    </row>
    <row r="73">
      <c r="B73" s="22" t="inlineStr">
        <is>
          <t>Итого денежные затраты</t>
        </is>
      </c>
      <c r="C73" s="24" t="inlineStr">
        <is>
          <t>тыс.руб</t>
        </is>
      </c>
      <c r="D73" s="56" t="n"/>
      <c r="E73" s="65">
        <f>E69+E70+E71+E72</f>
        <v/>
      </c>
      <c r="F73" s="65">
        <f>F69+F70+F71+F72</f>
        <v/>
      </c>
      <c r="G73" s="65">
        <f>G69+G70+G71+G72</f>
        <v/>
      </c>
      <c r="H73" s="65">
        <f>H69+H70+H71+H72</f>
        <v/>
      </c>
      <c r="I73" s="65">
        <f>I69+I70+I71+I72</f>
        <v/>
      </c>
      <c r="J73" s="65">
        <f>J69+J70+J71+J72</f>
        <v/>
      </c>
      <c r="K73" s="65">
        <f>K69+K70+K71+K72</f>
        <v/>
      </c>
      <c r="L73" s="65">
        <f>L69+L70+L71+L72</f>
        <v/>
      </c>
      <c r="M73" s="65">
        <f>M69+M70+M71+M72</f>
        <v/>
      </c>
      <c r="N73" s="65">
        <f>N69+N70+N71+N72</f>
        <v/>
      </c>
    </row>
    <row r="74">
      <c r="B74" s="22" t="inlineStr">
        <is>
          <t>Амортизация (НУ)</t>
        </is>
      </c>
      <c r="C74" s="24" t="inlineStr">
        <is>
          <t>тыс.руб</t>
        </is>
      </c>
      <c r="D74" s="56" t="n"/>
      <c r="E74" s="56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4" s="56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4" s="56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4" s="56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4" s="56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4" s="56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4" s="56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4" s="56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4" s="56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4" s="56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5">
      <c r="B75" s="22" t="inlineStr">
        <is>
          <t>Налогооблагаемая база</t>
        </is>
      </c>
      <c r="C75" s="24" t="inlineStr">
        <is>
          <t>тыс.руб</t>
        </is>
      </c>
      <c r="D75" s="56" t="n"/>
      <c r="E75" s="56">
        <f>E73+E74</f>
        <v/>
      </c>
      <c r="F75" s="56">
        <f>F73+F74</f>
        <v/>
      </c>
      <c r="G75" s="56">
        <f>G73+G74</f>
        <v/>
      </c>
      <c r="H75" s="56">
        <f>H73+H74</f>
        <v/>
      </c>
      <c r="I75" s="56">
        <f>I73+I74</f>
        <v/>
      </c>
      <c r="J75" s="56">
        <f>J73+J74</f>
        <v/>
      </c>
      <c r="K75" s="56">
        <f>K73+K74</f>
        <v/>
      </c>
      <c r="L75" s="56">
        <f>L73+L74</f>
        <v/>
      </c>
      <c r="M75" s="56">
        <f>M73+M74</f>
        <v/>
      </c>
      <c r="N75" s="56">
        <f>N73+N74</f>
        <v/>
      </c>
    </row>
    <row r="76">
      <c r="B76" s="22" t="inlineStr">
        <is>
          <t>Налог на прибыль (щит)</t>
        </is>
      </c>
      <c r="C76" s="24" t="inlineStr">
        <is>
          <t>тыс.руб</t>
        </is>
      </c>
      <c r="D76" s="56" t="n"/>
      <c r="E76" s="56">
        <f>-E75*'Параметры'!C7</f>
        <v/>
      </c>
      <c r="F76" s="56">
        <f>-F75*'Параметры'!C7</f>
        <v/>
      </c>
      <c r="G76" s="56">
        <f>-G75*'Параметры'!C7</f>
        <v/>
      </c>
      <c r="H76" s="56">
        <f>-H75*'Параметры'!C7</f>
        <v/>
      </c>
      <c r="I76" s="56">
        <f>-I75*'Параметры'!C7</f>
        <v/>
      </c>
      <c r="J76" s="56">
        <f>-J75*'Параметры'!C7</f>
        <v/>
      </c>
      <c r="K76" s="56">
        <f>-K75*'Параметры'!C7</f>
        <v/>
      </c>
      <c r="L76" s="56">
        <f>-L75*'Параметры'!C7</f>
        <v/>
      </c>
      <c r="M76" s="56">
        <f>-M75*'Параметры'!C7</f>
        <v/>
      </c>
      <c r="N76" s="56">
        <f>-N75*'Параметры'!C7</f>
        <v/>
      </c>
    </row>
    <row r="77">
      <c r="B77" s="22" t="inlineStr">
        <is>
          <t>Операц. денежный поток</t>
        </is>
      </c>
      <c r="C77" s="24" t="inlineStr">
        <is>
          <t>тыс.руб</t>
        </is>
      </c>
      <c r="D77" s="56" t="n"/>
      <c r="E77" s="65">
        <f>E75+E76-E74</f>
        <v/>
      </c>
      <c r="F77" s="65">
        <f>F75+F76-F74</f>
        <v/>
      </c>
      <c r="G77" s="65">
        <f>G75+G76-G74</f>
        <v/>
      </c>
      <c r="H77" s="65">
        <f>H75+H76-H74</f>
        <v/>
      </c>
      <c r="I77" s="65">
        <f>I75+I76-I74</f>
        <v/>
      </c>
      <c r="J77" s="65">
        <f>J75+J76-J74</f>
        <v/>
      </c>
      <c r="K77" s="65">
        <f>K75+K76-K74</f>
        <v/>
      </c>
      <c r="L77" s="65">
        <f>L75+L76-L74</f>
        <v/>
      </c>
      <c r="M77" s="65">
        <f>M75+M76-M74</f>
        <v/>
      </c>
      <c r="N77" s="65">
        <f>N75+N76-N74</f>
        <v/>
      </c>
    </row>
    <row r="78">
      <c r="B78" s="22" t="inlineStr">
        <is>
          <t>Инвестиции / остаточная ст-ть</t>
        </is>
      </c>
      <c r="C78" s="24" t="inlineStr">
        <is>
          <t>тыс.руб</t>
        </is>
      </c>
      <c r="D78" s="56">
        <f>IF(D$4=0,'Производительность'!G5,IF(D$4='Параметры'!C8,-'Ввод данных'!G14*'Производительность'!G5,0))</f>
        <v/>
      </c>
      <c r="E78" s="56">
        <f>IF(E$4=0,'Производительность'!G5,IF(E$4='Параметры'!C8,-'Ввод данных'!G14*'Производительность'!G5,0))</f>
        <v/>
      </c>
      <c r="F78" s="56">
        <f>IF(F$4=0,'Производительность'!G5,IF(F$4='Параметры'!C8,-'Ввод данных'!G14*'Производительность'!G5,0))</f>
        <v/>
      </c>
      <c r="G78" s="56">
        <f>IF(G$4=0,'Производительность'!G5,IF(G$4='Параметры'!C8,-'Ввод данных'!G14*'Производительность'!G5,0))</f>
        <v/>
      </c>
      <c r="H78" s="56">
        <f>IF(H$4=0,'Производительность'!G5,IF(H$4='Параметры'!C8,-'Ввод данных'!G14*'Производительность'!G5,0))</f>
        <v/>
      </c>
      <c r="I78" s="56">
        <f>IF(I$4=0,'Производительность'!G5,IF(I$4='Параметры'!C8,-'Ввод данных'!G14*'Производительность'!G5,0))</f>
        <v/>
      </c>
      <c r="J78" s="56">
        <f>IF(J$4=0,'Производительность'!G5,IF(J$4='Параметры'!C8,-'Ввод данных'!G14*'Производительность'!G5,0))</f>
        <v/>
      </c>
      <c r="K78" s="56">
        <f>IF(K$4=0,'Производительность'!G5,IF(K$4='Параметры'!C8,-'Ввод данных'!G14*'Производительность'!G5,0))</f>
        <v/>
      </c>
      <c r="L78" s="56">
        <f>IF(L$4=0,'Производительность'!G5,IF(L$4='Параметры'!C8,-'Ввод данных'!G14*'Производительность'!G5,0))</f>
        <v/>
      </c>
      <c r="M78" s="56">
        <f>IF(M$4=0,'Производительность'!G5,IF(M$4='Параметры'!C8,-'Ввод данных'!G14*'Производительность'!G5,0))</f>
        <v/>
      </c>
      <c r="N78" s="56">
        <f>IF(N$4=0,'Производительность'!G5,IF(N$4='Параметры'!C8,-'Ввод данных'!G14*'Производительность'!G5,0))</f>
        <v/>
      </c>
    </row>
    <row r="79">
      <c r="B79" s="22" t="inlineStr">
        <is>
          <t>Чистый денежный поток</t>
        </is>
      </c>
      <c r="C79" s="24" t="inlineStr">
        <is>
          <t>тыс.руб</t>
        </is>
      </c>
      <c r="D79" s="65">
        <f>0+D78</f>
        <v/>
      </c>
      <c r="E79" s="65">
        <f>E77+E78</f>
        <v/>
      </c>
      <c r="F79" s="65">
        <f>F77+F78</f>
        <v/>
      </c>
      <c r="G79" s="65">
        <f>G77+G78</f>
        <v/>
      </c>
      <c r="H79" s="65">
        <f>H77+H78</f>
        <v/>
      </c>
      <c r="I79" s="65">
        <f>I77+I78</f>
        <v/>
      </c>
      <c r="J79" s="65">
        <f>J77+J78</f>
        <v/>
      </c>
      <c r="K79" s="65">
        <f>K77+K78</f>
        <v/>
      </c>
      <c r="L79" s="65">
        <f>L77+L78</f>
        <v/>
      </c>
      <c r="M79" s="65">
        <f>M77+M78</f>
        <v/>
      </c>
      <c r="N79" s="65">
        <f>N77+N78</f>
        <v/>
      </c>
    </row>
    <row r="80">
      <c r="B80" s="22" t="inlineStr">
        <is>
          <t>Дисконтированный поток</t>
        </is>
      </c>
      <c r="C80" s="24" t="inlineStr">
        <is>
          <t>тыс.руб</t>
        </is>
      </c>
      <c r="D80" s="56">
        <f>D79*D$6</f>
        <v/>
      </c>
      <c r="E80" s="56">
        <f>E79*E$6</f>
        <v/>
      </c>
      <c r="F80" s="56">
        <f>F79*F$6</f>
        <v/>
      </c>
      <c r="G80" s="56">
        <f>G79*G$6</f>
        <v/>
      </c>
      <c r="H80" s="56">
        <f>H79*H$6</f>
        <v/>
      </c>
      <c r="I80" s="56">
        <f>I79*I$6</f>
        <v/>
      </c>
      <c r="J80" s="56">
        <f>J79*J$6</f>
        <v/>
      </c>
      <c r="K80" s="56">
        <f>K79*K$6</f>
        <v/>
      </c>
      <c r="L80" s="56">
        <f>L79*L$6</f>
        <v/>
      </c>
      <c r="M80" s="56">
        <f>M79*M$6</f>
        <v/>
      </c>
      <c r="N80" s="56">
        <f>N79*N$6</f>
        <v/>
      </c>
    </row>
    <row r="81">
      <c r="B81" s="22" t="inlineStr">
        <is>
          <t>Кумул. дисконт. поток</t>
        </is>
      </c>
      <c r="C81" s="24" t="inlineStr">
        <is>
          <t>тыс.руб</t>
        </is>
      </c>
      <c r="D81" s="56">
        <f>SUM($D80:D80)</f>
        <v/>
      </c>
      <c r="E81" s="56">
        <f>SUM($D80:E80)</f>
        <v/>
      </c>
      <c r="F81" s="56">
        <f>SUM($D80:F80)</f>
        <v/>
      </c>
      <c r="G81" s="56">
        <f>SUM($D80:G80)</f>
        <v/>
      </c>
      <c r="H81" s="56">
        <f>SUM($D80:H80)</f>
        <v/>
      </c>
      <c r="I81" s="56">
        <f>SUM($D80:I80)</f>
        <v/>
      </c>
      <c r="J81" s="56">
        <f>SUM($D80:J80)</f>
        <v/>
      </c>
      <c r="K81" s="56">
        <f>SUM($D80:K80)</f>
        <v/>
      </c>
      <c r="L81" s="56">
        <f>SUM($D80:L80)</f>
        <v/>
      </c>
      <c r="M81" s="56">
        <f>SUM($D80:M80)</f>
        <v/>
      </c>
      <c r="N81" s="56">
        <f>SUM($D80:N80)</f>
        <v/>
      </c>
    </row>
    <row r="82">
      <c r="B82" s="37" t="inlineStr">
        <is>
          <t>Аннуитет по году</t>
        </is>
      </c>
      <c r="C82" s="24" t="inlineStr">
        <is>
          <t>руб/м³</t>
        </is>
      </c>
      <c r="D82" s="66" t="n"/>
      <c r="E82" s="66">
        <f>SUM($D80:E80)/SUM($E$6:E$6)/(SUM($E68:E68)/E$4)</f>
        <v/>
      </c>
      <c r="F82" s="66">
        <f>SUM($D80:F80)/SUM($E$6:F$6)/(SUM($E68:F68)/F$4)</f>
        <v/>
      </c>
      <c r="G82" s="66">
        <f>SUM($D80:G80)/SUM($E$6:G$6)/(SUM($E68:G68)/G$4)</f>
        <v/>
      </c>
      <c r="H82" s="66">
        <f>SUM($D80:H80)/SUM($E$6:H$6)/(SUM($E68:H68)/H$4)</f>
        <v/>
      </c>
      <c r="I82" s="66">
        <f>SUM($D80:I80)/SUM($E$6:I$6)/(SUM($E68:I68)/I$4)</f>
        <v/>
      </c>
      <c r="J82" s="66">
        <f>SUM($D80:J80)/SUM($E$6:J$6)/(SUM($E68:J68)/J$4)</f>
        <v/>
      </c>
      <c r="K82" s="66">
        <f>SUM($D80:K80)/SUM($E$6:K$6)/(SUM($E68:K68)/K$4)</f>
        <v/>
      </c>
      <c r="L82" s="66">
        <f>SUM($D80:L80)/SUM($E$6:L$6)/(SUM($E68:L68)/L$4)</f>
        <v/>
      </c>
      <c r="M82" s="66">
        <f>SUM($D80:M80)/SUM($E$6:M$6)/(SUM($E68:M68)/M$4)</f>
        <v/>
      </c>
      <c r="N82" s="66">
        <f>SUM($D80:N80)/SUM($E$6:N$6)/(SUM($E68:N68)/N$4)</f>
        <v/>
      </c>
    </row>
    <row r="84">
      <c r="B84" s="5">
        <f>"Вариант 5:  "&amp;'Ввод данных'!H7</f>
        <v/>
      </c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B85" s="22" t="inlineStr">
        <is>
          <t>КТГ</t>
        </is>
      </c>
      <c r="C85" s="24" t="inlineStr">
        <is>
          <t>коэф.</t>
        </is>
      </c>
      <c r="D85" s="59" t="n"/>
      <c r="E85" s="59">
        <f>'Данные по годам'!E27</f>
        <v/>
      </c>
      <c r="F85" s="59">
        <f>'Данные по годам'!F27</f>
        <v/>
      </c>
      <c r="G85" s="59">
        <f>'Данные по годам'!G27</f>
        <v/>
      </c>
      <c r="H85" s="59">
        <f>'Данные по годам'!H27</f>
        <v/>
      </c>
      <c r="I85" s="59">
        <f>'Данные по годам'!I27</f>
        <v/>
      </c>
      <c r="J85" s="59">
        <f>'Данные по годам'!J27</f>
        <v/>
      </c>
      <c r="K85" s="59">
        <f>'Данные по годам'!K27</f>
        <v/>
      </c>
      <c r="L85" s="59">
        <f>'Данные по годам'!L27</f>
        <v/>
      </c>
      <c r="M85" s="59">
        <f>'Данные по годам'!M27</f>
        <v/>
      </c>
      <c r="N85" s="59">
        <f>'Данные по годам'!N27</f>
        <v/>
      </c>
    </row>
    <row r="86">
      <c r="B86" s="22" t="inlineStr">
        <is>
          <t>Эффективное время</t>
        </is>
      </c>
      <c r="C86" s="24" t="inlineStr">
        <is>
          <t>час/год</t>
        </is>
      </c>
      <c r="D86" s="56" t="n"/>
      <c r="E86" s="56">
        <f>'Параметры'!C26*E85*(1-'Ввод данных'!H18/(60*'Параметры'!C33))</f>
        <v/>
      </c>
      <c r="F86" s="56">
        <f>'Параметры'!C26*F85*(1-'Ввод данных'!H18/(60*'Параметры'!C33))</f>
        <v/>
      </c>
      <c r="G86" s="56">
        <f>'Параметры'!C26*G85*(1-'Ввод данных'!H18/(60*'Параметры'!C33))</f>
        <v/>
      </c>
      <c r="H86" s="56">
        <f>'Параметры'!C26*H85*(1-'Ввод данных'!H18/(60*'Параметры'!C33))</f>
        <v/>
      </c>
      <c r="I86" s="56">
        <f>'Параметры'!C26*I85*(1-'Ввод данных'!H18/(60*'Параметры'!C33))</f>
        <v/>
      </c>
      <c r="J86" s="56">
        <f>'Параметры'!C26*J85*(1-'Ввод данных'!H18/(60*'Параметры'!C33))</f>
        <v/>
      </c>
      <c r="K86" s="56">
        <f>'Параметры'!C26*K85*(1-'Ввод данных'!H18/(60*'Параметры'!C33))</f>
        <v/>
      </c>
      <c r="L86" s="56">
        <f>'Параметры'!C26*L85*(1-'Ввод данных'!H18/(60*'Параметры'!C33))</f>
        <v/>
      </c>
      <c r="M86" s="56">
        <f>'Параметры'!C26*M85*(1-'Ввод данных'!H18/(60*'Параметры'!C33))</f>
        <v/>
      </c>
      <c r="N86" s="56">
        <f>'Параметры'!C26*N85*(1-'Ввод данных'!H18/(60*'Параметры'!C33))</f>
        <v/>
      </c>
    </row>
    <row r="87">
      <c r="B87" s="22" t="inlineStr">
        <is>
          <t>Производительность</t>
        </is>
      </c>
      <c r="C87" s="24" t="inlineStr">
        <is>
          <t>тыс.м³</t>
        </is>
      </c>
      <c r="D87" s="56" t="n"/>
      <c r="E87" s="56">
        <f>'Производительность'!H10*E86/1000</f>
        <v/>
      </c>
      <c r="F87" s="56">
        <f>'Производительность'!H10*F86/1000</f>
        <v/>
      </c>
      <c r="G87" s="56">
        <f>'Производительность'!H10*G86/1000</f>
        <v/>
      </c>
      <c r="H87" s="56">
        <f>'Производительность'!H10*H86/1000</f>
        <v/>
      </c>
      <c r="I87" s="56">
        <f>'Производительность'!H10*I86/1000</f>
        <v/>
      </c>
      <c r="J87" s="56">
        <f>'Производительность'!H10*J86/1000</f>
        <v/>
      </c>
      <c r="K87" s="56">
        <f>'Производительность'!H10*K86/1000</f>
        <v/>
      </c>
      <c r="L87" s="56">
        <f>'Производительность'!H10*L86/1000</f>
        <v/>
      </c>
      <c r="M87" s="56">
        <f>'Производительность'!H10*M86/1000</f>
        <v/>
      </c>
      <c r="N87" s="56">
        <f>'Производительность'!H10*N86/1000</f>
        <v/>
      </c>
    </row>
    <row r="88">
      <c r="B88" s="22" t="inlineStr">
        <is>
          <t>Дизтопливо</t>
        </is>
      </c>
      <c r="C88" s="24" t="inlineStr">
        <is>
          <t>тыс.руб</t>
        </is>
      </c>
      <c r="D88" s="56" t="n"/>
      <c r="E88" s="56">
        <f>E86*'Данные по годам'!E29*'Параметры'!C10*(1+'Параметры'!C14)^(E$4-1)/1000</f>
        <v/>
      </c>
      <c r="F88" s="56">
        <f>F86*'Данные по годам'!F29*'Параметры'!C10*(1+'Параметры'!C14)^(F$4-1)/1000</f>
        <v/>
      </c>
      <c r="G88" s="56">
        <f>G86*'Данные по годам'!G29*'Параметры'!C10*(1+'Параметры'!C14)^(G$4-1)/1000</f>
        <v/>
      </c>
      <c r="H88" s="56">
        <f>H86*'Данные по годам'!H29*'Параметры'!C10*(1+'Параметры'!C14)^(H$4-1)/1000</f>
        <v/>
      </c>
      <c r="I88" s="56">
        <f>I86*'Данные по годам'!I29*'Параметры'!C10*(1+'Параметры'!C14)^(I$4-1)/1000</f>
        <v/>
      </c>
      <c r="J88" s="56">
        <f>J86*'Данные по годам'!J29*'Параметры'!C10*(1+'Параметры'!C14)^(J$4-1)/1000</f>
        <v/>
      </c>
      <c r="K88" s="56">
        <f>K86*'Данные по годам'!K29*'Параметры'!C10*(1+'Параметры'!C14)^(K$4-1)/1000</f>
        <v/>
      </c>
      <c r="L88" s="56">
        <f>L86*'Данные по годам'!L29*'Параметры'!C10*(1+'Параметры'!C14)^(L$4-1)/1000</f>
        <v/>
      </c>
      <c r="M88" s="56">
        <f>M86*'Данные по годам'!M29*'Параметры'!C10*(1+'Параметры'!C14)^(M$4-1)/1000</f>
        <v/>
      </c>
      <c r="N88" s="56">
        <f>N86*'Данные по годам'!N29*'Параметры'!C10*(1+'Параметры'!C14)^(N$4-1)/1000</f>
        <v/>
      </c>
    </row>
    <row r="89">
      <c r="B89" s="22" t="inlineStr">
        <is>
          <t>ТОиР и сервис (по годам)</t>
        </is>
      </c>
      <c r="C89" s="24" t="inlineStr">
        <is>
          <t>тыс.руб</t>
        </is>
      </c>
      <c r="D89" s="56" t="n"/>
      <c r="E89" s="56">
        <f>'Данные по годам'!E28*IF('Данные по годам'!$D$28="CNY",'Параметры'!C20,IF('Данные по годам'!$D$28="USD",'Параметры'!C21,IF('Данные по годам'!$D$28="EUR",'Параметры'!C22,1)))</f>
        <v/>
      </c>
      <c r="F89" s="56">
        <f>'Данные по годам'!F28*IF('Данные по годам'!$D$28="CNY",'Параметры'!C20,IF('Данные по годам'!$D$28="USD",'Параметры'!C21,IF('Данные по годам'!$D$28="EUR",'Параметры'!C22,1)))</f>
        <v/>
      </c>
      <c r="G89" s="56">
        <f>'Данные по годам'!G28*IF('Данные по годам'!$D$28="CNY",'Параметры'!C20,IF('Данные по годам'!$D$28="USD",'Параметры'!C21,IF('Данные по годам'!$D$28="EUR",'Параметры'!C22,1)))</f>
        <v/>
      </c>
      <c r="H89" s="56">
        <f>'Данные по годам'!H28*IF('Данные по годам'!$D$28="CNY",'Параметры'!C20,IF('Данные по годам'!$D$28="USD",'Параметры'!C21,IF('Данные по годам'!$D$28="EUR",'Параметры'!C22,1)))</f>
        <v/>
      </c>
      <c r="I89" s="56">
        <f>'Данные по годам'!I28*IF('Данные по годам'!$D$28="CNY",'Параметры'!C20,IF('Данные по годам'!$D$28="USD",'Параметры'!C21,IF('Данные по годам'!$D$28="EUR",'Параметры'!C22,1)))</f>
        <v/>
      </c>
      <c r="J89" s="56">
        <f>'Данные по годам'!J28*IF('Данные по годам'!$D$28="CNY",'Параметры'!C20,IF('Данные по годам'!$D$28="USD",'Параметры'!C21,IF('Данные по годам'!$D$28="EUR",'Параметры'!C22,1)))</f>
        <v/>
      </c>
      <c r="K89" s="56">
        <f>'Данные по годам'!K28*IF('Данные по годам'!$D$28="CNY",'Параметры'!C20,IF('Данные по годам'!$D$28="USD",'Параметры'!C21,IF('Данные по годам'!$D$28="EUR",'Параметры'!C22,1)))</f>
        <v/>
      </c>
      <c r="L89" s="56">
        <f>'Данные по годам'!L28*IF('Данные по годам'!$D$28="CNY",'Параметры'!C20,IF('Данные по годам'!$D$28="USD",'Параметры'!C21,IF('Данные по годам'!$D$28="EUR",'Параметры'!C22,1)))</f>
        <v/>
      </c>
      <c r="M89" s="56">
        <f>'Данные по годам'!M28*IF('Данные по годам'!$D$28="CNY",'Параметры'!C20,IF('Данные по годам'!$D$28="USD",'Параметры'!C21,IF('Данные по годам'!$D$28="EUR",'Параметры'!C22,1)))</f>
        <v/>
      </c>
      <c r="N89" s="56">
        <f>'Данные по годам'!N28*IF('Данные по годам'!$D$28="CNY",'Параметры'!C20,IF('Данные по годам'!$D$28="USD",'Параметры'!C21,IF('Данные по годам'!$D$28="EUR",'Параметры'!C22,1)))</f>
        <v/>
      </c>
    </row>
    <row r="90">
      <c r="B90" s="22" t="inlineStr">
        <is>
          <t>Расходники на ковш</t>
        </is>
      </c>
      <c r="C90" s="24" t="inlineStr">
        <is>
          <t>тыс.руб</t>
        </is>
      </c>
      <c r="D90" s="56" t="n"/>
      <c r="E90" s="56">
        <f>'Данные по годам'!E30*E87*(1+'Параметры'!C15)^(E$4-1)</f>
        <v/>
      </c>
      <c r="F90" s="56">
        <f>'Данные по годам'!F30*F87*(1+'Параметры'!C15)^(F$4-1)</f>
        <v/>
      </c>
      <c r="G90" s="56">
        <f>'Данные по годам'!G30*G87*(1+'Параметры'!C15)^(G$4-1)</f>
        <v/>
      </c>
      <c r="H90" s="56">
        <f>'Данные по годам'!H30*H87*(1+'Параметры'!C15)^(H$4-1)</f>
        <v/>
      </c>
      <c r="I90" s="56">
        <f>'Данные по годам'!I30*I87*(1+'Параметры'!C15)^(I$4-1)</f>
        <v/>
      </c>
      <c r="J90" s="56">
        <f>'Данные по годам'!J30*J87*(1+'Параметры'!C15)^(J$4-1)</f>
        <v/>
      </c>
      <c r="K90" s="56">
        <f>'Данные по годам'!K30*K87*(1+'Параметры'!C15)^(K$4-1)</f>
        <v/>
      </c>
      <c r="L90" s="56">
        <f>'Данные по годам'!L30*L87*(1+'Параметры'!C15)^(L$4-1)</f>
        <v/>
      </c>
      <c r="M90" s="56">
        <f>'Данные по годам'!M30*M87*(1+'Параметры'!C15)^(M$4-1)</f>
        <v/>
      </c>
      <c r="N90" s="56">
        <f>'Данные по годам'!N30*N87*(1+'Параметры'!C15)^(N$4-1)</f>
        <v/>
      </c>
    </row>
    <row r="91">
      <c r="B91" s="22" t="inlineStr">
        <is>
          <t>Персонал</t>
        </is>
      </c>
      <c r="C91" s="24" t="inlineStr">
        <is>
          <t>тыс.руб</t>
        </is>
      </c>
      <c r="D91" s="56" t="n"/>
      <c r="E91" s="56">
        <f>'Ввод данных'!H20*(1+'Параметры'!C16)^(E$4-1)</f>
        <v/>
      </c>
      <c r="F91" s="56">
        <f>'Ввод данных'!H20*(1+'Параметры'!C16)^(F$4-1)</f>
        <v/>
      </c>
      <c r="G91" s="56">
        <f>'Ввод данных'!H20*(1+'Параметры'!C16)^(G$4-1)</f>
        <v/>
      </c>
      <c r="H91" s="56">
        <f>'Ввод данных'!H20*(1+'Параметры'!C16)^(H$4-1)</f>
        <v/>
      </c>
      <c r="I91" s="56">
        <f>'Ввод данных'!H20*(1+'Параметры'!C16)^(I$4-1)</f>
        <v/>
      </c>
      <c r="J91" s="56">
        <f>'Ввод данных'!H20*(1+'Параметры'!C16)^(J$4-1)</f>
        <v/>
      </c>
      <c r="K91" s="56">
        <f>'Ввод данных'!H20*(1+'Параметры'!C16)^(K$4-1)</f>
        <v/>
      </c>
      <c r="L91" s="56">
        <f>'Ввод данных'!H20*(1+'Параметры'!C16)^(L$4-1)</f>
        <v/>
      </c>
      <c r="M91" s="56">
        <f>'Ввод данных'!H20*(1+'Параметры'!C16)^(M$4-1)</f>
        <v/>
      </c>
      <c r="N91" s="56">
        <f>'Ввод данных'!H20*(1+'Параметры'!C16)^(N$4-1)</f>
        <v/>
      </c>
    </row>
    <row r="92">
      <c r="B92" s="22" t="inlineStr">
        <is>
          <t>Итого денежные затраты</t>
        </is>
      </c>
      <c r="C92" s="24" t="inlineStr">
        <is>
          <t>тыс.руб</t>
        </is>
      </c>
      <c r="D92" s="56" t="n"/>
      <c r="E92" s="65">
        <f>E88+E89+E90+E91</f>
        <v/>
      </c>
      <c r="F92" s="65">
        <f>F88+F89+F90+F91</f>
        <v/>
      </c>
      <c r="G92" s="65">
        <f>G88+G89+G90+G91</f>
        <v/>
      </c>
      <c r="H92" s="65">
        <f>H88+H89+H90+H91</f>
        <v/>
      </c>
      <c r="I92" s="65">
        <f>I88+I89+I90+I91</f>
        <v/>
      </c>
      <c r="J92" s="65">
        <f>J88+J89+J90+J91</f>
        <v/>
      </c>
      <c r="K92" s="65">
        <f>K88+K89+K90+K91</f>
        <v/>
      </c>
      <c r="L92" s="65">
        <f>L88+L89+L90+L91</f>
        <v/>
      </c>
      <c r="M92" s="65">
        <f>M88+M89+M90+M91</f>
        <v/>
      </c>
      <c r="N92" s="65">
        <f>N88+N89+N90+N91</f>
        <v/>
      </c>
    </row>
    <row r="93">
      <c r="B93" s="22" t="inlineStr">
        <is>
          <t>Амортизация (НУ)</t>
        </is>
      </c>
      <c r="C93" s="24" t="inlineStr">
        <is>
          <t>тыс.руб</t>
        </is>
      </c>
      <c r="D93" s="56" t="n"/>
      <c r="E93" s="56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3" s="56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3" s="56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3" s="56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3" s="56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3" s="56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3" s="56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3" s="56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3" s="56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3" s="56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4">
      <c r="B94" s="22" t="inlineStr">
        <is>
          <t>Налогооблагаемая база</t>
        </is>
      </c>
      <c r="C94" s="24" t="inlineStr">
        <is>
          <t>тыс.руб</t>
        </is>
      </c>
      <c r="D94" s="56" t="n"/>
      <c r="E94" s="56">
        <f>E92+E93</f>
        <v/>
      </c>
      <c r="F94" s="56">
        <f>F92+F93</f>
        <v/>
      </c>
      <c r="G94" s="56">
        <f>G92+G93</f>
        <v/>
      </c>
      <c r="H94" s="56">
        <f>H92+H93</f>
        <v/>
      </c>
      <c r="I94" s="56">
        <f>I92+I93</f>
        <v/>
      </c>
      <c r="J94" s="56">
        <f>J92+J93</f>
        <v/>
      </c>
      <c r="K94" s="56">
        <f>K92+K93</f>
        <v/>
      </c>
      <c r="L94" s="56">
        <f>L92+L93</f>
        <v/>
      </c>
      <c r="M94" s="56">
        <f>M92+M93</f>
        <v/>
      </c>
      <c r="N94" s="56">
        <f>N92+N93</f>
        <v/>
      </c>
    </row>
    <row r="95">
      <c r="B95" s="22" t="inlineStr">
        <is>
          <t>Налог на прибыль (щит)</t>
        </is>
      </c>
      <c r="C95" s="24" t="inlineStr">
        <is>
          <t>тыс.руб</t>
        </is>
      </c>
      <c r="D95" s="56" t="n"/>
      <c r="E95" s="56">
        <f>-E94*'Параметры'!C7</f>
        <v/>
      </c>
      <c r="F95" s="56">
        <f>-F94*'Параметры'!C7</f>
        <v/>
      </c>
      <c r="G95" s="56">
        <f>-G94*'Параметры'!C7</f>
        <v/>
      </c>
      <c r="H95" s="56">
        <f>-H94*'Параметры'!C7</f>
        <v/>
      </c>
      <c r="I95" s="56">
        <f>-I94*'Параметры'!C7</f>
        <v/>
      </c>
      <c r="J95" s="56">
        <f>-J94*'Параметры'!C7</f>
        <v/>
      </c>
      <c r="K95" s="56">
        <f>-K94*'Параметры'!C7</f>
        <v/>
      </c>
      <c r="L95" s="56">
        <f>-L94*'Параметры'!C7</f>
        <v/>
      </c>
      <c r="M95" s="56">
        <f>-M94*'Параметры'!C7</f>
        <v/>
      </c>
      <c r="N95" s="56">
        <f>-N94*'Параметры'!C7</f>
        <v/>
      </c>
    </row>
    <row r="96">
      <c r="B96" s="22" t="inlineStr">
        <is>
          <t>Операц. денежный поток</t>
        </is>
      </c>
      <c r="C96" s="24" t="inlineStr">
        <is>
          <t>тыс.руб</t>
        </is>
      </c>
      <c r="D96" s="56" t="n"/>
      <c r="E96" s="65">
        <f>E94+E95-E93</f>
        <v/>
      </c>
      <c r="F96" s="65">
        <f>F94+F95-F93</f>
        <v/>
      </c>
      <c r="G96" s="65">
        <f>G94+G95-G93</f>
        <v/>
      </c>
      <c r="H96" s="65">
        <f>H94+H95-H93</f>
        <v/>
      </c>
      <c r="I96" s="65">
        <f>I94+I95-I93</f>
        <v/>
      </c>
      <c r="J96" s="65">
        <f>J94+J95-J93</f>
        <v/>
      </c>
      <c r="K96" s="65">
        <f>K94+K95-K93</f>
        <v/>
      </c>
      <c r="L96" s="65">
        <f>L94+L95-L93</f>
        <v/>
      </c>
      <c r="M96" s="65">
        <f>M94+M95-M93</f>
        <v/>
      </c>
      <c r="N96" s="65">
        <f>N94+N95-N93</f>
        <v/>
      </c>
    </row>
    <row r="97">
      <c r="B97" s="22" t="inlineStr">
        <is>
          <t>Инвестиции / остаточная ст-ть</t>
        </is>
      </c>
      <c r="C97" s="24" t="inlineStr">
        <is>
          <t>тыс.руб</t>
        </is>
      </c>
      <c r="D97" s="56">
        <f>IF(D$4=0,'Производительность'!H5,IF(D$4='Параметры'!C8,-'Ввод данных'!H14*'Производительность'!H5,0))</f>
        <v/>
      </c>
      <c r="E97" s="56">
        <f>IF(E$4=0,'Производительность'!H5,IF(E$4='Параметры'!C8,-'Ввод данных'!H14*'Производительность'!H5,0))</f>
        <v/>
      </c>
      <c r="F97" s="56">
        <f>IF(F$4=0,'Производительность'!H5,IF(F$4='Параметры'!C8,-'Ввод данных'!H14*'Производительность'!H5,0))</f>
        <v/>
      </c>
      <c r="G97" s="56">
        <f>IF(G$4=0,'Производительность'!H5,IF(G$4='Параметры'!C8,-'Ввод данных'!H14*'Производительность'!H5,0))</f>
        <v/>
      </c>
      <c r="H97" s="56">
        <f>IF(H$4=0,'Производительность'!H5,IF(H$4='Параметры'!C8,-'Ввод данных'!H14*'Производительность'!H5,0))</f>
        <v/>
      </c>
      <c r="I97" s="56">
        <f>IF(I$4=0,'Производительность'!H5,IF(I$4='Параметры'!C8,-'Ввод данных'!H14*'Производительность'!H5,0))</f>
        <v/>
      </c>
      <c r="J97" s="56">
        <f>IF(J$4=0,'Производительность'!H5,IF(J$4='Параметры'!C8,-'Ввод данных'!H14*'Производительность'!H5,0))</f>
        <v/>
      </c>
      <c r="K97" s="56">
        <f>IF(K$4=0,'Производительность'!H5,IF(K$4='Параметры'!C8,-'Ввод данных'!H14*'Производительность'!H5,0))</f>
        <v/>
      </c>
      <c r="L97" s="56">
        <f>IF(L$4=0,'Производительность'!H5,IF(L$4='Параметры'!C8,-'Ввод данных'!H14*'Производительность'!H5,0))</f>
        <v/>
      </c>
      <c r="M97" s="56">
        <f>IF(M$4=0,'Производительность'!H5,IF(M$4='Параметры'!C8,-'Ввод данных'!H14*'Производительность'!H5,0))</f>
        <v/>
      </c>
      <c r="N97" s="56">
        <f>IF(N$4=0,'Производительность'!H5,IF(N$4='Параметры'!C8,-'Ввод данных'!H14*'Производительность'!H5,0))</f>
        <v/>
      </c>
    </row>
    <row r="98">
      <c r="B98" s="22" t="inlineStr">
        <is>
          <t>Чистый денежный поток</t>
        </is>
      </c>
      <c r="C98" s="24" t="inlineStr">
        <is>
          <t>тыс.руб</t>
        </is>
      </c>
      <c r="D98" s="65">
        <f>0+D97</f>
        <v/>
      </c>
      <c r="E98" s="65">
        <f>E96+E97</f>
        <v/>
      </c>
      <c r="F98" s="65">
        <f>F96+F97</f>
        <v/>
      </c>
      <c r="G98" s="65">
        <f>G96+G97</f>
        <v/>
      </c>
      <c r="H98" s="65">
        <f>H96+H97</f>
        <v/>
      </c>
      <c r="I98" s="65">
        <f>I96+I97</f>
        <v/>
      </c>
      <c r="J98" s="65">
        <f>J96+J97</f>
        <v/>
      </c>
      <c r="K98" s="65">
        <f>K96+K97</f>
        <v/>
      </c>
      <c r="L98" s="65">
        <f>L96+L97</f>
        <v/>
      </c>
      <c r="M98" s="65">
        <f>M96+M97</f>
        <v/>
      </c>
      <c r="N98" s="65">
        <f>N96+N97</f>
        <v/>
      </c>
    </row>
    <row r="99">
      <c r="B99" s="22" t="inlineStr">
        <is>
          <t>Дисконтированный поток</t>
        </is>
      </c>
      <c r="C99" s="24" t="inlineStr">
        <is>
          <t>тыс.руб</t>
        </is>
      </c>
      <c r="D99" s="56">
        <f>D98*D$6</f>
        <v/>
      </c>
      <c r="E99" s="56">
        <f>E98*E$6</f>
        <v/>
      </c>
      <c r="F99" s="56">
        <f>F98*F$6</f>
        <v/>
      </c>
      <c r="G99" s="56">
        <f>G98*G$6</f>
        <v/>
      </c>
      <c r="H99" s="56">
        <f>H98*H$6</f>
        <v/>
      </c>
      <c r="I99" s="56">
        <f>I98*I$6</f>
        <v/>
      </c>
      <c r="J99" s="56">
        <f>J98*J$6</f>
        <v/>
      </c>
      <c r="K99" s="56">
        <f>K98*K$6</f>
        <v/>
      </c>
      <c r="L99" s="56">
        <f>L98*L$6</f>
        <v/>
      </c>
      <c r="M99" s="56">
        <f>M98*M$6</f>
        <v/>
      </c>
      <c r="N99" s="56">
        <f>N98*N$6</f>
        <v/>
      </c>
    </row>
    <row r="100">
      <c r="B100" s="22" t="inlineStr">
        <is>
          <t>Кумул. дисконт. поток</t>
        </is>
      </c>
      <c r="C100" s="24" t="inlineStr">
        <is>
          <t>тыс.руб</t>
        </is>
      </c>
      <c r="D100" s="56">
        <f>SUM($D99:D99)</f>
        <v/>
      </c>
      <c r="E100" s="56">
        <f>SUM($D99:E99)</f>
        <v/>
      </c>
      <c r="F100" s="56">
        <f>SUM($D99:F99)</f>
        <v/>
      </c>
      <c r="G100" s="56">
        <f>SUM($D99:G99)</f>
        <v/>
      </c>
      <c r="H100" s="56">
        <f>SUM($D99:H99)</f>
        <v/>
      </c>
      <c r="I100" s="56">
        <f>SUM($D99:I99)</f>
        <v/>
      </c>
      <c r="J100" s="56">
        <f>SUM($D99:J99)</f>
        <v/>
      </c>
      <c r="K100" s="56">
        <f>SUM($D99:K99)</f>
        <v/>
      </c>
      <c r="L100" s="56">
        <f>SUM($D99:L99)</f>
        <v/>
      </c>
      <c r="M100" s="56">
        <f>SUM($D99:M99)</f>
        <v/>
      </c>
      <c r="N100" s="56">
        <f>SUM($D99:N99)</f>
        <v/>
      </c>
    </row>
    <row r="101">
      <c r="B101" s="37" t="inlineStr">
        <is>
          <t>Аннуитет по году</t>
        </is>
      </c>
      <c r="C101" s="24" t="inlineStr">
        <is>
          <t>руб/м³</t>
        </is>
      </c>
      <c r="D101" s="66" t="n"/>
      <c r="E101" s="66">
        <f>SUM($D99:E99)/SUM($E$6:E$6)/(SUM($E87:E87)/E$4)</f>
        <v/>
      </c>
      <c r="F101" s="66">
        <f>SUM($D99:F99)/SUM($E$6:F$6)/(SUM($E87:F87)/F$4)</f>
        <v/>
      </c>
      <c r="G101" s="66">
        <f>SUM($D99:G99)/SUM($E$6:G$6)/(SUM($E87:G87)/G$4)</f>
        <v/>
      </c>
      <c r="H101" s="66">
        <f>SUM($D99:H99)/SUM($E$6:H$6)/(SUM($E87:H87)/H$4)</f>
        <v/>
      </c>
      <c r="I101" s="66">
        <f>SUM($D99:I99)/SUM($E$6:I$6)/(SUM($E87:I87)/I$4)</f>
        <v/>
      </c>
      <c r="J101" s="66">
        <f>SUM($D99:J99)/SUM($E$6:J$6)/(SUM($E87:J87)/J$4)</f>
        <v/>
      </c>
      <c r="K101" s="66">
        <f>SUM($D99:K99)/SUM($E$6:K$6)/(SUM($E87:K87)/K$4)</f>
        <v/>
      </c>
      <c r="L101" s="66">
        <f>SUM($D99:L99)/SUM($E$6:L$6)/(SUM($E87:L87)/L$4)</f>
        <v/>
      </c>
      <c r="M101" s="66">
        <f>SUM($D99:M99)/SUM($E$6:M$6)/(SUM($E87:M87)/M$4)</f>
        <v/>
      </c>
      <c r="N101" s="66">
        <f>SUM($D99:N99)/SUM($E$6:N$6)/(SUM($E87:N87)/N$4)</f>
        <v/>
      </c>
    </row>
    <row r="103">
      <c r="B103" s="5">
        <f>"Вариант 6:  "&amp;'Ввод данных'!I7</f>
        <v/>
      </c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B104" s="22" t="inlineStr">
        <is>
          <t>КТГ</t>
        </is>
      </c>
      <c r="C104" s="24" t="inlineStr">
        <is>
          <t>коэф.</t>
        </is>
      </c>
      <c r="D104" s="59" t="n"/>
      <c r="E104" s="59">
        <f>'Данные по годам'!E32</f>
        <v/>
      </c>
      <c r="F104" s="59">
        <f>'Данные по годам'!F32</f>
        <v/>
      </c>
      <c r="G104" s="59">
        <f>'Данные по годам'!G32</f>
        <v/>
      </c>
      <c r="H104" s="59">
        <f>'Данные по годам'!H32</f>
        <v/>
      </c>
      <c r="I104" s="59">
        <f>'Данные по годам'!I32</f>
        <v/>
      </c>
      <c r="J104" s="59">
        <f>'Данные по годам'!J32</f>
        <v/>
      </c>
      <c r="K104" s="59">
        <f>'Данные по годам'!K32</f>
        <v/>
      </c>
      <c r="L104" s="59">
        <f>'Данные по годам'!L32</f>
        <v/>
      </c>
      <c r="M104" s="59">
        <f>'Данные по годам'!M32</f>
        <v/>
      </c>
      <c r="N104" s="59">
        <f>'Данные по годам'!N32</f>
        <v/>
      </c>
    </row>
    <row r="105">
      <c r="B105" s="22" t="inlineStr">
        <is>
          <t>Эффективное время</t>
        </is>
      </c>
      <c r="C105" s="24" t="inlineStr">
        <is>
          <t>час/год</t>
        </is>
      </c>
      <c r="D105" s="56" t="n"/>
      <c r="E105" s="56">
        <f>'Параметры'!C26*E104*(1-'Ввод данных'!I18/(60*'Параметры'!C33))</f>
        <v/>
      </c>
      <c r="F105" s="56">
        <f>'Параметры'!C26*F104*(1-'Ввод данных'!I18/(60*'Параметры'!C33))</f>
        <v/>
      </c>
      <c r="G105" s="56">
        <f>'Параметры'!C26*G104*(1-'Ввод данных'!I18/(60*'Параметры'!C33))</f>
        <v/>
      </c>
      <c r="H105" s="56">
        <f>'Параметры'!C26*H104*(1-'Ввод данных'!I18/(60*'Параметры'!C33))</f>
        <v/>
      </c>
      <c r="I105" s="56">
        <f>'Параметры'!C26*I104*(1-'Ввод данных'!I18/(60*'Параметры'!C33))</f>
        <v/>
      </c>
      <c r="J105" s="56">
        <f>'Параметры'!C26*J104*(1-'Ввод данных'!I18/(60*'Параметры'!C33))</f>
        <v/>
      </c>
      <c r="K105" s="56">
        <f>'Параметры'!C26*K104*(1-'Ввод данных'!I18/(60*'Параметры'!C33))</f>
        <v/>
      </c>
      <c r="L105" s="56">
        <f>'Параметры'!C26*L104*(1-'Ввод данных'!I18/(60*'Параметры'!C33))</f>
        <v/>
      </c>
      <c r="M105" s="56">
        <f>'Параметры'!C26*M104*(1-'Ввод данных'!I18/(60*'Параметры'!C33))</f>
        <v/>
      </c>
      <c r="N105" s="56">
        <f>'Параметры'!C26*N104*(1-'Ввод данных'!I18/(60*'Параметры'!C33))</f>
        <v/>
      </c>
    </row>
    <row r="106">
      <c r="B106" s="22" t="inlineStr">
        <is>
          <t>Производительность</t>
        </is>
      </c>
      <c r="C106" s="24" t="inlineStr">
        <is>
          <t>тыс.м³</t>
        </is>
      </c>
      <c r="D106" s="56" t="n"/>
      <c r="E106" s="56">
        <f>'Производительность'!I10*E105/1000</f>
        <v/>
      </c>
      <c r="F106" s="56">
        <f>'Производительность'!I10*F105/1000</f>
        <v/>
      </c>
      <c r="G106" s="56">
        <f>'Производительность'!I10*G105/1000</f>
        <v/>
      </c>
      <c r="H106" s="56">
        <f>'Производительность'!I10*H105/1000</f>
        <v/>
      </c>
      <c r="I106" s="56">
        <f>'Производительность'!I10*I105/1000</f>
        <v/>
      </c>
      <c r="J106" s="56">
        <f>'Производительность'!I10*J105/1000</f>
        <v/>
      </c>
      <c r="K106" s="56">
        <f>'Производительность'!I10*K105/1000</f>
        <v/>
      </c>
      <c r="L106" s="56">
        <f>'Производительность'!I10*L105/1000</f>
        <v/>
      </c>
      <c r="M106" s="56">
        <f>'Производительность'!I10*M105/1000</f>
        <v/>
      </c>
      <c r="N106" s="56">
        <f>'Производительность'!I10*N105/1000</f>
        <v/>
      </c>
    </row>
    <row r="107">
      <c r="B107" s="22" t="inlineStr">
        <is>
          <t>Дизтопливо</t>
        </is>
      </c>
      <c r="C107" s="24" t="inlineStr">
        <is>
          <t>тыс.руб</t>
        </is>
      </c>
      <c r="D107" s="56" t="n"/>
      <c r="E107" s="56">
        <f>E105*'Данные по годам'!E34*'Параметры'!C10*(1+'Параметры'!C14)^(E$4-1)/1000</f>
        <v/>
      </c>
      <c r="F107" s="56">
        <f>F105*'Данные по годам'!F34*'Параметры'!C10*(1+'Параметры'!C14)^(F$4-1)/1000</f>
        <v/>
      </c>
      <c r="G107" s="56">
        <f>G105*'Данные по годам'!G34*'Параметры'!C10*(1+'Параметры'!C14)^(G$4-1)/1000</f>
        <v/>
      </c>
      <c r="H107" s="56">
        <f>H105*'Данные по годам'!H34*'Параметры'!C10*(1+'Параметры'!C14)^(H$4-1)/1000</f>
        <v/>
      </c>
      <c r="I107" s="56">
        <f>I105*'Данные по годам'!I34*'Параметры'!C10*(1+'Параметры'!C14)^(I$4-1)/1000</f>
        <v/>
      </c>
      <c r="J107" s="56">
        <f>J105*'Данные по годам'!J34*'Параметры'!C10*(1+'Параметры'!C14)^(J$4-1)/1000</f>
        <v/>
      </c>
      <c r="K107" s="56">
        <f>K105*'Данные по годам'!K34*'Параметры'!C10*(1+'Параметры'!C14)^(K$4-1)/1000</f>
        <v/>
      </c>
      <c r="L107" s="56">
        <f>L105*'Данные по годам'!L34*'Параметры'!C10*(1+'Параметры'!C14)^(L$4-1)/1000</f>
        <v/>
      </c>
      <c r="M107" s="56">
        <f>M105*'Данные по годам'!M34*'Параметры'!C10*(1+'Параметры'!C14)^(M$4-1)/1000</f>
        <v/>
      </c>
      <c r="N107" s="56">
        <f>N105*'Данные по годам'!N34*'Параметры'!C10*(1+'Параметры'!C14)^(N$4-1)/1000</f>
        <v/>
      </c>
    </row>
    <row r="108">
      <c r="B108" s="22" t="inlineStr">
        <is>
          <t>ТОиР и сервис (по годам)</t>
        </is>
      </c>
      <c r="C108" s="24" t="inlineStr">
        <is>
          <t>тыс.руб</t>
        </is>
      </c>
      <c r="D108" s="56" t="n"/>
      <c r="E108" s="56">
        <f>'Данные по годам'!E33*IF('Данные по годам'!$D$33="CNY",'Параметры'!C20,IF('Данные по годам'!$D$33="USD",'Параметры'!C21,IF('Данные по годам'!$D$33="EUR",'Параметры'!C22,1)))</f>
        <v/>
      </c>
      <c r="F108" s="56">
        <f>'Данные по годам'!F33*IF('Данные по годам'!$D$33="CNY",'Параметры'!C20,IF('Данные по годам'!$D$33="USD",'Параметры'!C21,IF('Данные по годам'!$D$33="EUR",'Параметры'!C22,1)))</f>
        <v/>
      </c>
      <c r="G108" s="56">
        <f>'Данные по годам'!G33*IF('Данные по годам'!$D$33="CNY",'Параметры'!C20,IF('Данные по годам'!$D$33="USD",'Параметры'!C21,IF('Данные по годам'!$D$33="EUR",'Параметры'!C22,1)))</f>
        <v/>
      </c>
      <c r="H108" s="56">
        <f>'Данные по годам'!H33*IF('Данные по годам'!$D$33="CNY",'Параметры'!C20,IF('Данные по годам'!$D$33="USD",'Параметры'!C21,IF('Данные по годам'!$D$33="EUR",'Параметры'!C22,1)))</f>
        <v/>
      </c>
      <c r="I108" s="56">
        <f>'Данные по годам'!I33*IF('Данные по годам'!$D$33="CNY",'Параметры'!C20,IF('Данные по годам'!$D$33="USD",'Параметры'!C21,IF('Данные по годам'!$D$33="EUR",'Параметры'!C22,1)))</f>
        <v/>
      </c>
      <c r="J108" s="56">
        <f>'Данные по годам'!J33*IF('Данные по годам'!$D$33="CNY",'Параметры'!C20,IF('Данные по годам'!$D$33="USD",'Параметры'!C21,IF('Данные по годам'!$D$33="EUR",'Параметры'!C22,1)))</f>
        <v/>
      </c>
      <c r="K108" s="56">
        <f>'Данные по годам'!K33*IF('Данные по годам'!$D$33="CNY",'Параметры'!C20,IF('Данные по годам'!$D$33="USD",'Параметры'!C21,IF('Данные по годам'!$D$33="EUR",'Параметры'!C22,1)))</f>
        <v/>
      </c>
      <c r="L108" s="56">
        <f>'Данные по годам'!L33*IF('Данные по годам'!$D$33="CNY",'Параметры'!C20,IF('Данные по годам'!$D$33="USD",'Параметры'!C21,IF('Данные по годам'!$D$33="EUR",'Параметры'!C22,1)))</f>
        <v/>
      </c>
      <c r="M108" s="56">
        <f>'Данные по годам'!M33*IF('Данные по годам'!$D$33="CNY",'Параметры'!C20,IF('Данные по годам'!$D$33="USD",'Параметры'!C21,IF('Данные по годам'!$D$33="EUR",'Параметры'!C22,1)))</f>
        <v/>
      </c>
      <c r="N108" s="56">
        <f>'Данные по годам'!N33*IF('Данные по годам'!$D$33="CNY",'Параметры'!C20,IF('Данные по годам'!$D$33="USD",'Параметры'!C21,IF('Данные по годам'!$D$33="EUR",'Параметры'!C22,1)))</f>
        <v/>
      </c>
    </row>
    <row r="109">
      <c r="B109" s="22" t="inlineStr">
        <is>
          <t>Расходники на ковш</t>
        </is>
      </c>
      <c r="C109" s="24" t="inlineStr">
        <is>
          <t>тыс.руб</t>
        </is>
      </c>
      <c r="D109" s="56" t="n"/>
      <c r="E109" s="56">
        <f>'Данные по годам'!E35*E106*(1+'Параметры'!C15)^(E$4-1)</f>
        <v/>
      </c>
      <c r="F109" s="56">
        <f>'Данные по годам'!F35*F106*(1+'Параметры'!C15)^(F$4-1)</f>
        <v/>
      </c>
      <c r="G109" s="56">
        <f>'Данные по годам'!G35*G106*(1+'Параметры'!C15)^(G$4-1)</f>
        <v/>
      </c>
      <c r="H109" s="56">
        <f>'Данные по годам'!H35*H106*(1+'Параметры'!C15)^(H$4-1)</f>
        <v/>
      </c>
      <c r="I109" s="56">
        <f>'Данные по годам'!I35*I106*(1+'Параметры'!C15)^(I$4-1)</f>
        <v/>
      </c>
      <c r="J109" s="56">
        <f>'Данные по годам'!J35*J106*(1+'Параметры'!C15)^(J$4-1)</f>
        <v/>
      </c>
      <c r="K109" s="56">
        <f>'Данные по годам'!K35*K106*(1+'Параметры'!C15)^(K$4-1)</f>
        <v/>
      </c>
      <c r="L109" s="56">
        <f>'Данные по годам'!L35*L106*(1+'Параметры'!C15)^(L$4-1)</f>
        <v/>
      </c>
      <c r="M109" s="56">
        <f>'Данные по годам'!M35*M106*(1+'Параметры'!C15)^(M$4-1)</f>
        <v/>
      </c>
      <c r="N109" s="56">
        <f>'Данные по годам'!N35*N106*(1+'Параметры'!C15)^(N$4-1)</f>
        <v/>
      </c>
    </row>
    <row r="110">
      <c r="B110" s="22" t="inlineStr">
        <is>
          <t>Персонал</t>
        </is>
      </c>
      <c r="C110" s="24" t="inlineStr">
        <is>
          <t>тыс.руб</t>
        </is>
      </c>
      <c r="D110" s="56" t="n"/>
      <c r="E110" s="56">
        <f>'Ввод данных'!I20*(1+'Параметры'!C16)^(E$4-1)</f>
        <v/>
      </c>
      <c r="F110" s="56">
        <f>'Ввод данных'!I20*(1+'Параметры'!C16)^(F$4-1)</f>
        <v/>
      </c>
      <c r="G110" s="56">
        <f>'Ввод данных'!I20*(1+'Параметры'!C16)^(G$4-1)</f>
        <v/>
      </c>
      <c r="H110" s="56">
        <f>'Ввод данных'!I20*(1+'Параметры'!C16)^(H$4-1)</f>
        <v/>
      </c>
      <c r="I110" s="56">
        <f>'Ввод данных'!I20*(1+'Параметры'!C16)^(I$4-1)</f>
        <v/>
      </c>
      <c r="J110" s="56">
        <f>'Ввод данных'!I20*(1+'Параметры'!C16)^(J$4-1)</f>
        <v/>
      </c>
      <c r="K110" s="56">
        <f>'Ввод данных'!I20*(1+'Параметры'!C16)^(K$4-1)</f>
        <v/>
      </c>
      <c r="L110" s="56">
        <f>'Ввод данных'!I20*(1+'Параметры'!C16)^(L$4-1)</f>
        <v/>
      </c>
      <c r="M110" s="56">
        <f>'Ввод данных'!I20*(1+'Параметры'!C16)^(M$4-1)</f>
        <v/>
      </c>
      <c r="N110" s="56">
        <f>'Ввод данных'!I20*(1+'Параметры'!C16)^(N$4-1)</f>
        <v/>
      </c>
    </row>
    <row r="111">
      <c r="B111" s="22" t="inlineStr">
        <is>
          <t>Итого денежные затраты</t>
        </is>
      </c>
      <c r="C111" s="24" t="inlineStr">
        <is>
          <t>тыс.руб</t>
        </is>
      </c>
      <c r="D111" s="56" t="n"/>
      <c r="E111" s="65">
        <f>E107+E108+E109+E110</f>
        <v/>
      </c>
      <c r="F111" s="65">
        <f>F107+F108+F109+F110</f>
        <v/>
      </c>
      <c r="G111" s="65">
        <f>G107+G108+G109+G110</f>
        <v/>
      </c>
      <c r="H111" s="65">
        <f>H107+H108+H109+H110</f>
        <v/>
      </c>
      <c r="I111" s="65">
        <f>I107+I108+I109+I110</f>
        <v/>
      </c>
      <c r="J111" s="65">
        <f>J107+J108+J109+J110</f>
        <v/>
      </c>
      <c r="K111" s="65">
        <f>K107+K108+K109+K110</f>
        <v/>
      </c>
      <c r="L111" s="65">
        <f>L107+L108+L109+L110</f>
        <v/>
      </c>
      <c r="M111" s="65">
        <f>M107+M108+M109+M110</f>
        <v/>
      </c>
      <c r="N111" s="65">
        <f>N107+N108+N109+N110</f>
        <v/>
      </c>
    </row>
    <row r="112">
      <c r="B112" s="22" t="inlineStr">
        <is>
          <t>Амортизация (НУ)</t>
        </is>
      </c>
      <c r="C112" s="24" t="inlineStr">
        <is>
          <t>тыс.руб</t>
        </is>
      </c>
      <c r="D112" s="56" t="n"/>
      <c r="E112" s="56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2" s="56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2" s="56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2" s="56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2" s="56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2" s="56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2" s="56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2" s="56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2" s="56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2" s="56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3">
      <c r="B113" s="22" t="inlineStr">
        <is>
          <t>Налогооблагаемая база</t>
        </is>
      </c>
      <c r="C113" s="24" t="inlineStr">
        <is>
          <t>тыс.руб</t>
        </is>
      </c>
      <c r="D113" s="56" t="n"/>
      <c r="E113" s="56">
        <f>E111+E112</f>
        <v/>
      </c>
      <c r="F113" s="56">
        <f>F111+F112</f>
        <v/>
      </c>
      <c r="G113" s="56">
        <f>G111+G112</f>
        <v/>
      </c>
      <c r="H113" s="56">
        <f>H111+H112</f>
        <v/>
      </c>
      <c r="I113" s="56">
        <f>I111+I112</f>
        <v/>
      </c>
      <c r="J113" s="56">
        <f>J111+J112</f>
        <v/>
      </c>
      <c r="K113" s="56">
        <f>K111+K112</f>
        <v/>
      </c>
      <c r="L113" s="56">
        <f>L111+L112</f>
        <v/>
      </c>
      <c r="M113" s="56">
        <f>M111+M112</f>
        <v/>
      </c>
      <c r="N113" s="56">
        <f>N111+N112</f>
        <v/>
      </c>
    </row>
    <row r="114">
      <c r="B114" s="22" t="inlineStr">
        <is>
          <t>Налог на прибыль (щит)</t>
        </is>
      </c>
      <c r="C114" s="24" t="inlineStr">
        <is>
          <t>тыс.руб</t>
        </is>
      </c>
      <c r="D114" s="56" t="n"/>
      <c r="E114" s="56">
        <f>-E113*'Параметры'!C7</f>
        <v/>
      </c>
      <c r="F114" s="56">
        <f>-F113*'Параметры'!C7</f>
        <v/>
      </c>
      <c r="G114" s="56">
        <f>-G113*'Параметры'!C7</f>
        <v/>
      </c>
      <c r="H114" s="56">
        <f>-H113*'Параметры'!C7</f>
        <v/>
      </c>
      <c r="I114" s="56">
        <f>-I113*'Параметры'!C7</f>
        <v/>
      </c>
      <c r="J114" s="56">
        <f>-J113*'Параметры'!C7</f>
        <v/>
      </c>
      <c r="K114" s="56">
        <f>-K113*'Параметры'!C7</f>
        <v/>
      </c>
      <c r="L114" s="56">
        <f>-L113*'Параметры'!C7</f>
        <v/>
      </c>
      <c r="M114" s="56">
        <f>-M113*'Параметры'!C7</f>
        <v/>
      </c>
      <c r="N114" s="56">
        <f>-N113*'Параметры'!C7</f>
        <v/>
      </c>
    </row>
    <row r="115">
      <c r="B115" s="22" t="inlineStr">
        <is>
          <t>Операц. денежный поток</t>
        </is>
      </c>
      <c r="C115" s="24" t="inlineStr">
        <is>
          <t>тыс.руб</t>
        </is>
      </c>
      <c r="D115" s="56" t="n"/>
      <c r="E115" s="65">
        <f>E113+E114-E112</f>
        <v/>
      </c>
      <c r="F115" s="65">
        <f>F113+F114-F112</f>
        <v/>
      </c>
      <c r="G115" s="65">
        <f>G113+G114-G112</f>
        <v/>
      </c>
      <c r="H115" s="65">
        <f>H113+H114-H112</f>
        <v/>
      </c>
      <c r="I115" s="65">
        <f>I113+I114-I112</f>
        <v/>
      </c>
      <c r="J115" s="65">
        <f>J113+J114-J112</f>
        <v/>
      </c>
      <c r="K115" s="65">
        <f>K113+K114-K112</f>
        <v/>
      </c>
      <c r="L115" s="65">
        <f>L113+L114-L112</f>
        <v/>
      </c>
      <c r="M115" s="65">
        <f>M113+M114-M112</f>
        <v/>
      </c>
      <c r="N115" s="65">
        <f>N113+N114-N112</f>
        <v/>
      </c>
    </row>
    <row r="116">
      <c r="B116" s="22" t="inlineStr">
        <is>
          <t>Инвестиции / остаточная ст-ть</t>
        </is>
      </c>
      <c r="C116" s="24" t="inlineStr">
        <is>
          <t>тыс.руб</t>
        </is>
      </c>
      <c r="D116" s="56">
        <f>IF(D$4=0,'Производительность'!I5,IF(D$4='Параметры'!C8,-'Ввод данных'!I14*'Производительность'!I5,0))</f>
        <v/>
      </c>
      <c r="E116" s="56">
        <f>IF(E$4=0,'Производительность'!I5,IF(E$4='Параметры'!C8,-'Ввод данных'!I14*'Производительность'!I5,0))</f>
        <v/>
      </c>
      <c r="F116" s="56">
        <f>IF(F$4=0,'Производительность'!I5,IF(F$4='Параметры'!C8,-'Ввод данных'!I14*'Производительность'!I5,0))</f>
        <v/>
      </c>
      <c r="G116" s="56">
        <f>IF(G$4=0,'Производительность'!I5,IF(G$4='Параметры'!C8,-'Ввод данных'!I14*'Производительность'!I5,0))</f>
        <v/>
      </c>
      <c r="H116" s="56">
        <f>IF(H$4=0,'Производительность'!I5,IF(H$4='Параметры'!C8,-'Ввод данных'!I14*'Производительность'!I5,0))</f>
        <v/>
      </c>
      <c r="I116" s="56">
        <f>IF(I$4=0,'Производительность'!I5,IF(I$4='Параметры'!C8,-'Ввод данных'!I14*'Производительность'!I5,0))</f>
        <v/>
      </c>
      <c r="J116" s="56">
        <f>IF(J$4=0,'Производительность'!I5,IF(J$4='Параметры'!C8,-'Ввод данных'!I14*'Производительность'!I5,0))</f>
        <v/>
      </c>
      <c r="K116" s="56">
        <f>IF(K$4=0,'Производительность'!I5,IF(K$4='Параметры'!C8,-'Ввод данных'!I14*'Производительность'!I5,0))</f>
        <v/>
      </c>
      <c r="L116" s="56">
        <f>IF(L$4=0,'Производительность'!I5,IF(L$4='Параметры'!C8,-'Ввод данных'!I14*'Производительность'!I5,0))</f>
        <v/>
      </c>
      <c r="M116" s="56">
        <f>IF(M$4=0,'Производительность'!I5,IF(M$4='Параметры'!C8,-'Ввод данных'!I14*'Производительность'!I5,0))</f>
        <v/>
      </c>
      <c r="N116" s="56">
        <f>IF(N$4=0,'Производительность'!I5,IF(N$4='Параметры'!C8,-'Ввод данных'!I14*'Производительность'!I5,0))</f>
        <v/>
      </c>
    </row>
    <row r="117">
      <c r="B117" s="22" t="inlineStr">
        <is>
          <t>Чистый денежный поток</t>
        </is>
      </c>
      <c r="C117" s="24" t="inlineStr">
        <is>
          <t>тыс.руб</t>
        </is>
      </c>
      <c r="D117" s="65">
        <f>0+D116</f>
        <v/>
      </c>
      <c r="E117" s="65">
        <f>E115+E116</f>
        <v/>
      </c>
      <c r="F117" s="65">
        <f>F115+F116</f>
        <v/>
      </c>
      <c r="G117" s="65">
        <f>G115+G116</f>
        <v/>
      </c>
      <c r="H117" s="65">
        <f>H115+H116</f>
        <v/>
      </c>
      <c r="I117" s="65">
        <f>I115+I116</f>
        <v/>
      </c>
      <c r="J117" s="65">
        <f>J115+J116</f>
        <v/>
      </c>
      <c r="K117" s="65">
        <f>K115+K116</f>
        <v/>
      </c>
      <c r="L117" s="65">
        <f>L115+L116</f>
        <v/>
      </c>
      <c r="M117" s="65">
        <f>M115+M116</f>
        <v/>
      </c>
      <c r="N117" s="65">
        <f>N115+N116</f>
        <v/>
      </c>
    </row>
    <row r="118">
      <c r="B118" s="22" t="inlineStr">
        <is>
          <t>Дисконтированный поток</t>
        </is>
      </c>
      <c r="C118" s="24" t="inlineStr">
        <is>
          <t>тыс.руб</t>
        </is>
      </c>
      <c r="D118" s="56">
        <f>D117*D$6</f>
        <v/>
      </c>
      <c r="E118" s="56">
        <f>E117*E$6</f>
        <v/>
      </c>
      <c r="F118" s="56">
        <f>F117*F$6</f>
        <v/>
      </c>
      <c r="G118" s="56">
        <f>G117*G$6</f>
        <v/>
      </c>
      <c r="H118" s="56">
        <f>H117*H$6</f>
        <v/>
      </c>
      <c r="I118" s="56">
        <f>I117*I$6</f>
        <v/>
      </c>
      <c r="J118" s="56">
        <f>J117*J$6</f>
        <v/>
      </c>
      <c r="K118" s="56">
        <f>K117*K$6</f>
        <v/>
      </c>
      <c r="L118" s="56">
        <f>L117*L$6</f>
        <v/>
      </c>
      <c r="M118" s="56">
        <f>M117*M$6</f>
        <v/>
      </c>
      <c r="N118" s="56">
        <f>N117*N$6</f>
        <v/>
      </c>
    </row>
    <row r="119">
      <c r="B119" s="22" t="inlineStr">
        <is>
          <t>Кумул. дисконт. поток</t>
        </is>
      </c>
      <c r="C119" s="24" t="inlineStr">
        <is>
          <t>тыс.руб</t>
        </is>
      </c>
      <c r="D119" s="56">
        <f>SUM($D118:D118)</f>
        <v/>
      </c>
      <c r="E119" s="56">
        <f>SUM($D118:E118)</f>
        <v/>
      </c>
      <c r="F119" s="56">
        <f>SUM($D118:F118)</f>
        <v/>
      </c>
      <c r="G119" s="56">
        <f>SUM($D118:G118)</f>
        <v/>
      </c>
      <c r="H119" s="56">
        <f>SUM($D118:H118)</f>
        <v/>
      </c>
      <c r="I119" s="56">
        <f>SUM($D118:I118)</f>
        <v/>
      </c>
      <c r="J119" s="56">
        <f>SUM($D118:J118)</f>
        <v/>
      </c>
      <c r="K119" s="56">
        <f>SUM($D118:K118)</f>
        <v/>
      </c>
      <c r="L119" s="56">
        <f>SUM($D118:L118)</f>
        <v/>
      </c>
      <c r="M119" s="56">
        <f>SUM($D118:M118)</f>
        <v/>
      </c>
      <c r="N119" s="56">
        <f>SUM($D118:N118)</f>
        <v/>
      </c>
    </row>
    <row r="120">
      <c r="B120" s="37" t="inlineStr">
        <is>
          <t>Аннуитет по году</t>
        </is>
      </c>
      <c r="C120" s="24" t="inlineStr">
        <is>
          <t>руб/м³</t>
        </is>
      </c>
      <c r="D120" s="66" t="n"/>
      <c r="E120" s="66">
        <f>SUM($D118:E118)/SUM($E$6:E$6)/(SUM($E106:E106)/E$4)</f>
        <v/>
      </c>
      <c r="F120" s="66">
        <f>SUM($D118:F118)/SUM($E$6:F$6)/(SUM($E106:F106)/F$4)</f>
        <v/>
      </c>
      <c r="G120" s="66">
        <f>SUM($D118:G118)/SUM($E$6:G$6)/(SUM($E106:G106)/G$4)</f>
        <v/>
      </c>
      <c r="H120" s="66">
        <f>SUM($D118:H118)/SUM($E$6:H$6)/(SUM($E106:H106)/H$4)</f>
        <v/>
      </c>
      <c r="I120" s="66">
        <f>SUM($D118:I118)/SUM($E$6:I$6)/(SUM($E106:I106)/I$4)</f>
        <v/>
      </c>
      <c r="J120" s="66">
        <f>SUM($D118:J118)/SUM($E$6:J$6)/(SUM($E106:J106)/J$4)</f>
        <v/>
      </c>
      <c r="K120" s="66">
        <f>SUM($D118:K118)/SUM($E$6:K$6)/(SUM($E106:K106)/K$4)</f>
        <v/>
      </c>
      <c r="L120" s="66">
        <f>SUM($D118:L118)/SUM($E$6:L$6)/(SUM($E106:L106)/L$4)</f>
        <v/>
      </c>
      <c r="M120" s="66">
        <f>SUM($D118:M118)/SUM($E$6:M$6)/(SUM($E106:M106)/M$4)</f>
        <v/>
      </c>
      <c r="N120" s="66">
        <f>SUM($D118:N118)/SUM($E$6:N$6)/(SUM($E106:N106)/N$4)</f>
        <v/>
      </c>
    </row>
  </sheetData>
  <mergeCells count="8">
    <mergeCell ref="B46:N46"/>
    <mergeCell ref="B84:N84"/>
    <mergeCell ref="B27:N27"/>
    <mergeCell ref="B1:N1"/>
    <mergeCell ref="B8:N8"/>
    <mergeCell ref="B65:N65"/>
    <mergeCell ref="B2:N2"/>
    <mergeCell ref="B103:N10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56">
        <f>SUMPRODUCT('Денежный поток'!E12:N12,'Денежный поток'!$E$6:$N$6)</f>
        <v/>
      </c>
      <c r="E6" s="56">
        <f>SUMPRODUCT('Денежный поток'!E31:N31,'Денежный поток'!$E$6:$N$6)</f>
        <v/>
      </c>
      <c r="F6" s="56">
        <f>SUMPRODUCT('Денежный поток'!E50:N50,'Денежный поток'!$E$6:$N$6)</f>
        <v/>
      </c>
      <c r="G6" s="56">
        <f>SUMPRODUCT('Денежный поток'!E69:N69,'Денежный поток'!$E$6:$N$6)</f>
        <v/>
      </c>
      <c r="H6" s="56">
        <f>SUMPRODUCT('Денежный поток'!E88:N88,'Денежный поток'!$E$6:$N$6)</f>
        <v/>
      </c>
      <c r="I6" s="56">
        <f>SUMPRODUCT('Денежный поток'!E107:N107,'Денежный поток'!$E$6:$N$6)</f>
        <v/>
      </c>
    </row>
    <row r="7">
      <c r="B7" s="22" t="inlineStr">
        <is>
          <t>NPV ТОиР (по годам, вкл. капремонты)</t>
        </is>
      </c>
      <c r="C7" s="24" t="inlineStr">
        <is>
          <t>тыс.руб</t>
        </is>
      </c>
      <c r="D7" s="56">
        <f>SUMPRODUCT('Денежный поток'!E13:N13,'Денежный поток'!$E$6:$N$6)</f>
        <v/>
      </c>
      <c r="E7" s="56">
        <f>SUMPRODUCT('Денежный поток'!E32:N32,'Денежный поток'!$E$6:$N$6)</f>
        <v/>
      </c>
      <c r="F7" s="56">
        <f>SUMPRODUCT('Денежный поток'!E51:N51,'Денежный поток'!$E$6:$N$6)</f>
        <v/>
      </c>
      <c r="G7" s="56">
        <f>SUMPRODUCT('Денежный поток'!E70:N70,'Денежный поток'!$E$6:$N$6)</f>
        <v/>
      </c>
      <c r="H7" s="56">
        <f>SUMPRODUCT('Денежный поток'!E89:N89,'Денежный поток'!$E$6:$N$6)</f>
        <v/>
      </c>
      <c r="I7" s="56">
        <f>SUMPRODUCT('Денежный поток'!E108:N108,'Денежный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56">
        <f>SUMPRODUCT('Денежный поток'!E14:N14,'Денежный поток'!$E$6:$N$6)</f>
        <v/>
      </c>
      <c r="E8" s="56">
        <f>SUMPRODUCT('Денежный поток'!E33:N33,'Денежный поток'!$E$6:$N$6)</f>
        <v/>
      </c>
      <c r="F8" s="56">
        <f>SUMPRODUCT('Денежный поток'!E52:N52,'Денежный поток'!$E$6:$N$6)</f>
        <v/>
      </c>
      <c r="G8" s="56">
        <f>SUMPRODUCT('Денежный поток'!E71:N71,'Денежный поток'!$E$6:$N$6)</f>
        <v/>
      </c>
      <c r="H8" s="56">
        <f>SUMPRODUCT('Денежный поток'!E90:N90,'Денежный поток'!$E$6:$N$6)</f>
        <v/>
      </c>
      <c r="I8" s="56">
        <f>SUMPRODUCT('Денежный поток'!E109:N109,'Денежный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56">
        <f>SUMPRODUCT('Денежный поток'!E15:N15,'Денежный поток'!$E$6:$N$6)</f>
        <v/>
      </c>
      <c r="E9" s="56">
        <f>SUMPRODUCT('Денежный поток'!E34:N34,'Денежный поток'!$E$6:$N$6)</f>
        <v/>
      </c>
      <c r="F9" s="56">
        <f>SUMPRODUCT('Денежный поток'!E53:N53,'Денежный поток'!$E$6:$N$6)</f>
        <v/>
      </c>
      <c r="G9" s="56">
        <f>SUMPRODUCT('Денежный поток'!E72:N72,'Денежный поток'!$E$6:$N$6)</f>
        <v/>
      </c>
      <c r="H9" s="56">
        <f>SUMPRODUCT('Денежный поток'!E91:N91,'Денежный поток'!$E$6:$N$6)</f>
        <v/>
      </c>
      <c r="I9" s="56">
        <f>SUMPRODUCT('Денежный поток'!E110:N110,'Денежный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56">
        <f>SUMPRODUCT('Денежный поток'!E19:N19,'Денежный поток'!$E$6:$N$6)</f>
        <v/>
      </c>
      <c r="E10" s="56">
        <f>SUMPRODUCT('Денежный поток'!E38:N38,'Денежный поток'!$E$6:$N$6)</f>
        <v/>
      </c>
      <c r="F10" s="56">
        <f>SUMPRODUCT('Денежный поток'!E57:N57,'Денежный поток'!$E$6:$N$6)</f>
        <v/>
      </c>
      <c r="G10" s="56">
        <f>SUMPRODUCT('Денежный поток'!E76:N76,'Денежный поток'!$E$6:$N$6)</f>
        <v/>
      </c>
      <c r="H10" s="56">
        <f>SUMPRODUCT('Денежный поток'!E95:N95,'Денежный поток'!$E$6:$N$6)</f>
        <v/>
      </c>
      <c r="I10" s="56">
        <f>SUMPRODUCT('Денежный поток'!E114:N114,'Денежный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56">
        <f>'Производительность'!D5*(1-'Ввод данных'!D14*'Денежный поток'!$N$6)</f>
        <v/>
      </c>
      <c r="E11" s="56">
        <f>'Производительность'!E5*(1-'Ввод данных'!E14*'Денежный поток'!$N$6)</f>
        <v/>
      </c>
      <c r="F11" s="56">
        <f>'Производительность'!F5*(1-'Ввод данных'!F14*'Денежный поток'!$N$6)</f>
        <v/>
      </c>
      <c r="G11" s="56">
        <f>'Производительность'!G5*(1-'Ввод данных'!G14*'Денежный поток'!$N$6)</f>
        <v/>
      </c>
      <c r="H11" s="56">
        <f>'Производительность'!H5*(1-'Ввод данных'!H14*'Денежный поток'!$N$6)</f>
        <v/>
      </c>
      <c r="I11" s="56">
        <f>'Производительность'!I5*(1-'Ввод данных'!I14*'Денежный поток'!$N$6)</f>
        <v/>
      </c>
    </row>
    <row r="12">
      <c r="B12" s="55" t="inlineStr">
        <is>
          <t>NPV операционных затрат</t>
        </is>
      </c>
      <c r="C12" s="24" t="inlineStr">
        <is>
          <t>тыс.руб</t>
        </is>
      </c>
      <c r="D12" s="65">
        <f>D6+D7+D8+D9+D10</f>
        <v/>
      </c>
      <c r="E12" s="65">
        <f>E6+E7+E8+E9+E10</f>
        <v/>
      </c>
      <c r="F12" s="65">
        <f>F6+F7+F8+F9+F10</f>
        <v/>
      </c>
      <c r="G12" s="65">
        <f>G6+G7+G8+G9+G10</f>
        <v/>
      </c>
      <c r="H12" s="65">
        <f>H6+H7+H8+H9+H10</f>
        <v/>
      </c>
      <c r="I12" s="65">
        <f>I6+I7+I8+I9+I10</f>
        <v/>
      </c>
    </row>
    <row r="13">
      <c r="B13" s="37" t="inlineStr">
        <is>
          <t>NPV полной стоимости владения</t>
        </is>
      </c>
      <c r="C13" s="24" t="inlineStr">
        <is>
          <t>тыс.руб</t>
        </is>
      </c>
      <c r="D13" s="60">
        <f>D11+D12</f>
        <v/>
      </c>
      <c r="E13" s="60">
        <f>E11+E12</f>
        <v/>
      </c>
      <c r="F13" s="60">
        <f>F11+F12</f>
        <v/>
      </c>
      <c r="G13" s="60">
        <f>G11+G12</f>
        <v/>
      </c>
      <c r="H13" s="60">
        <f>H11+H12</f>
        <v/>
      </c>
      <c r="I13" s="60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56">
        <f>AVERAGE('Денежный поток'!E11:N11)</f>
        <v/>
      </c>
      <c r="E14" s="56">
        <f>AVERAGE('Денежный поток'!E30:N30)</f>
        <v/>
      </c>
      <c r="F14" s="56">
        <f>AVERAGE('Денежный поток'!E49:N49)</f>
        <v/>
      </c>
      <c r="G14" s="56">
        <f>AVERAGE('Денежный поток'!E68:N68)</f>
        <v/>
      </c>
      <c r="H14" s="56">
        <f>AVERAGE('Денежный поток'!E87:N87)</f>
        <v/>
      </c>
      <c r="I14" s="56">
        <f>AVERAGE('Денежный поток'!E106:N106)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57">
        <f>D11/'Параметры'!C37/D14</f>
        <v/>
      </c>
      <c r="E16" s="57">
        <f>E11/'Параметры'!C37/E14</f>
        <v/>
      </c>
      <c r="F16" s="57">
        <f>F11/'Параметры'!C37/F14</f>
        <v/>
      </c>
      <c r="G16" s="57">
        <f>G11/'Параметры'!C37/G14</f>
        <v/>
      </c>
      <c r="H16" s="57">
        <f>H11/'Параметры'!C37/H14</f>
        <v/>
      </c>
      <c r="I16" s="57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57">
        <f>D6/'Параметры'!C37/D14</f>
        <v/>
      </c>
      <c r="E17" s="57">
        <f>E6/'Параметры'!C37/E14</f>
        <v/>
      </c>
      <c r="F17" s="57">
        <f>F6/'Параметры'!C37/F14</f>
        <v/>
      </c>
      <c r="G17" s="57">
        <f>G6/'Параметры'!C37/G14</f>
        <v/>
      </c>
      <c r="H17" s="57">
        <f>H6/'Параметры'!C37/H14</f>
        <v/>
      </c>
      <c r="I17" s="57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57">
        <f>D7/'Параметры'!C37/D14</f>
        <v/>
      </c>
      <c r="E18" s="57">
        <f>E7/'Параметры'!C37/E14</f>
        <v/>
      </c>
      <c r="F18" s="57">
        <f>F7/'Параметры'!C37/F14</f>
        <v/>
      </c>
      <c r="G18" s="57">
        <f>G7/'Параметры'!C37/G14</f>
        <v/>
      </c>
      <c r="H18" s="57">
        <f>H7/'Параметры'!C37/H14</f>
        <v/>
      </c>
      <c r="I18" s="57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57">
        <f>D8/'Параметры'!C37/D14</f>
        <v/>
      </c>
      <c r="E19" s="57">
        <f>E8/'Параметры'!C37/E14</f>
        <v/>
      </c>
      <c r="F19" s="57">
        <f>F8/'Параметры'!C37/F14</f>
        <v/>
      </c>
      <c r="G19" s="57">
        <f>G8/'Параметры'!C37/G14</f>
        <v/>
      </c>
      <c r="H19" s="57">
        <f>H8/'Параметры'!C37/H14</f>
        <v/>
      </c>
      <c r="I19" s="57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57">
        <f>D9/'Параметры'!C37/D14</f>
        <v/>
      </c>
      <c r="E20" s="57">
        <f>E9/'Параметры'!C37/E14</f>
        <v/>
      </c>
      <c r="F20" s="57">
        <f>F9/'Параметры'!C37/F14</f>
        <v/>
      </c>
      <c r="G20" s="57">
        <f>G9/'Параметры'!C37/G14</f>
        <v/>
      </c>
      <c r="H20" s="57">
        <f>H9/'Параметры'!C37/H14</f>
        <v/>
      </c>
      <c r="I20" s="57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57">
        <f>D10/'Параметры'!C37/D14</f>
        <v/>
      </c>
      <c r="E21" s="57">
        <f>E10/'Параметры'!C37/E14</f>
        <v/>
      </c>
      <c r="F21" s="57">
        <f>F10/'Параметры'!C37/F14</f>
        <v/>
      </c>
      <c r="G21" s="57">
        <f>G10/'Параметры'!C37/G14</f>
        <v/>
      </c>
      <c r="H21" s="57">
        <f>H10/'Параметры'!C37/H14</f>
        <v/>
      </c>
      <c r="I21" s="57">
        <f>I10/'Параметры'!C37/I14</f>
        <v/>
      </c>
    </row>
    <row r="22">
      <c r="B22" s="55" t="inlineStr">
        <is>
          <t>Операционный аннуитет</t>
        </is>
      </c>
      <c r="C22" s="24" t="inlineStr">
        <is>
          <t>руб/м³</t>
        </is>
      </c>
      <c r="D22" s="67">
        <f>D12/'Параметры'!C37/D14</f>
        <v/>
      </c>
      <c r="E22" s="67">
        <f>E12/'Параметры'!C37/E14</f>
        <v/>
      </c>
      <c r="F22" s="67">
        <f>F12/'Параметры'!C37/F14</f>
        <v/>
      </c>
      <c r="G22" s="67">
        <f>G12/'Параметры'!C37/G14</f>
        <v/>
      </c>
      <c r="H22" s="67">
        <f>H12/'Параметры'!C37/H14</f>
        <v/>
      </c>
      <c r="I22" s="67">
        <f>I12/'Параметры'!C37/I14</f>
        <v/>
      </c>
    </row>
    <row r="23">
      <c r="B23" s="37" t="inlineStr">
        <is>
          <t>ОБЩИЙ АННУИТЕТ</t>
        </is>
      </c>
      <c r="C23" s="24" t="inlineStr">
        <is>
          <t>руб/м³</t>
        </is>
      </c>
      <c r="D23" s="68">
        <f>D13/'Параметры'!C37/D14</f>
        <v/>
      </c>
      <c r="E23" s="68">
        <f>E13/'Параметры'!C37/E14</f>
        <v/>
      </c>
      <c r="F23" s="68">
        <f>F13/'Параметры'!C37/F14</f>
        <v/>
      </c>
      <c r="G23" s="68">
        <f>G13/'Параметры'!C37/G14</f>
        <v/>
      </c>
      <c r="H23" s="68">
        <f>H13/'Параметры'!C37/H14</f>
        <v/>
      </c>
      <c r="I23" s="68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55" t="inlineStr">
        <is>
          <t>Удельный аннуитет на тонну</t>
        </is>
      </c>
      <c r="C25" s="24" t="inlineStr">
        <is>
          <t>руб/т</t>
        </is>
      </c>
      <c r="D25" s="67">
        <f>D23/'Параметры'!C27</f>
        <v/>
      </c>
      <c r="E25" s="67">
        <f>E23/'Параметры'!C27</f>
        <v/>
      </c>
      <c r="F25" s="67">
        <f>F23/'Параметры'!C27</f>
        <v/>
      </c>
      <c r="G25" s="67">
        <f>G23/'Параметры'!C27</f>
        <v/>
      </c>
      <c r="H25" s="67">
        <f>H23/'Параметры'!C27</f>
        <v/>
      </c>
      <c r="I25" s="67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57">
        <f>AVERAGE('Денежный поток'!E16:N16)/D14</f>
        <v/>
      </c>
      <c r="E26" s="57">
        <f>AVERAGE('Денежный поток'!E35:N35)/E14</f>
        <v/>
      </c>
      <c r="F26" s="57">
        <f>AVERAGE('Денежный поток'!E54:N54)/F14</f>
        <v/>
      </c>
      <c r="G26" s="57">
        <f>AVERAGE('Денежный поток'!E73:N73)/G14</f>
        <v/>
      </c>
      <c r="H26" s="57">
        <f>AVERAGE('Денежный поток'!E92:N92)/H14</f>
        <v/>
      </c>
      <c r="I26" s="57">
        <f>AVERAGE('Денежный поток'!E111:N111)/I14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59">
        <f>D16/D23</f>
        <v/>
      </c>
      <c r="E27" s="59">
        <f>E16/E23</f>
        <v/>
      </c>
      <c r="F27" s="59">
        <f>F16/F23</f>
        <v/>
      </c>
      <c r="G27" s="59">
        <f>G16/G23</f>
        <v/>
      </c>
      <c r="H27" s="59">
        <f>H16/H23</f>
        <v/>
      </c>
      <c r="I27" s="59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56">
        <f>'Производительность'!D5</f>
        <v/>
      </c>
      <c r="E5" s="56">
        <f>'Производительность'!E5</f>
        <v/>
      </c>
      <c r="F5" s="56">
        <f>'Производительность'!F5</f>
        <v/>
      </c>
      <c r="G5" s="56">
        <f>'Производительность'!G5</f>
        <v/>
      </c>
      <c r="H5" s="56">
        <f>'Производительность'!H5</f>
        <v/>
      </c>
      <c r="I5" s="56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56">
        <f>'Расчёт аннуитета'!D14</f>
        <v/>
      </c>
      <c r="E6" s="56">
        <f>'Расчёт аннуитета'!E14</f>
        <v/>
      </c>
      <c r="F6" s="56">
        <f>'Расчёт аннуитета'!F14</f>
        <v/>
      </c>
      <c r="G6" s="56">
        <f>'Расчёт аннуитета'!G14</f>
        <v/>
      </c>
      <c r="H6" s="56">
        <f>'Расчёт аннуитета'!H14</f>
        <v/>
      </c>
      <c r="I6" s="56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59">
        <f>'Производительность'!D13</f>
        <v/>
      </c>
      <c r="E7" s="59">
        <f>'Производительность'!E13</f>
        <v/>
      </c>
      <c r="F7" s="59">
        <f>'Производительность'!F13</f>
        <v/>
      </c>
      <c r="G7" s="59">
        <f>'Производительность'!G13</f>
        <v/>
      </c>
      <c r="H7" s="59">
        <f>'Производительность'!H13</f>
        <v/>
      </c>
      <c r="I7" s="59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56">
        <f>'Расчёт аннуитета'!D13</f>
        <v/>
      </c>
      <c r="E8" s="56">
        <f>'Расчёт аннуитета'!E13</f>
        <v/>
      </c>
      <c r="F8" s="56">
        <f>'Расчёт аннуитета'!F13</f>
        <v/>
      </c>
      <c r="G8" s="56">
        <f>'Расчёт аннуитета'!G13</f>
        <v/>
      </c>
      <c r="H8" s="56">
        <f>'Расчёт аннуитета'!H13</f>
        <v/>
      </c>
      <c r="I8" s="56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57">
        <f>'Расчёт аннуитета'!D26</f>
        <v/>
      </c>
      <c r="E9" s="57">
        <f>'Расчёт аннуитета'!E26</f>
        <v/>
      </c>
      <c r="F9" s="57">
        <f>'Расчёт аннуитета'!F26</f>
        <v/>
      </c>
      <c r="G9" s="57">
        <f>'Расчёт аннуитета'!G26</f>
        <v/>
      </c>
      <c r="H9" s="57">
        <f>'Расчёт аннуитета'!H26</f>
        <v/>
      </c>
      <c r="I9" s="57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57">
        <f>'Расчёт аннуитета'!D16</f>
        <v/>
      </c>
      <c r="E10" s="57">
        <f>'Расчёт аннуитета'!E16</f>
        <v/>
      </c>
      <c r="F10" s="57">
        <f>'Расчёт аннуитета'!F16</f>
        <v/>
      </c>
      <c r="G10" s="57">
        <f>'Расчёт аннуитета'!G16</f>
        <v/>
      </c>
      <c r="H10" s="57">
        <f>'Расчёт аннуитета'!H16</f>
        <v/>
      </c>
      <c r="I10" s="57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57">
        <f>'Расчёт аннуитета'!D22</f>
        <v/>
      </c>
      <c r="E11" s="57">
        <f>'Расчёт аннуитета'!E22</f>
        <v/>
      </c>
      <c r="F11" s="57">
        <f>'Расчёт аннуитета'!F22</f>
        <v/>
      </c>
      <c r="G11" s="57">
        <f>'Расчёт аннуитета'!G22</f>
        <v/>
      </c>
      <c r="H11" s="57">
        <f>'Расчёт аннуитета'!H22</f>
        <v/>
      </c>
      <c r="I11" s="57">
        <f>'Расчёт аннуитета'!I22</f>
        <v/>
      </c>
    </row>
    <row r="12">
      <c r="B12" s="55" t="inlineStr">
        <is>
          <t>ОБЩИЙ АННУИТЕТ</t>
        </is>
      </c>
      <c r="C12" s="24" t="inlineStr">
        <is>
          <t>руб/м³</t>
        </is>
      </c>
      <c r="D12" s="69">
        <f>'Расчёт аннуитета'!D23</f>
        <v/>
      </c>
      <c r="E12" s="69">
        <f>'Расчёт аннуитета'!E23</f>
        <v/>
      </c>
      <c r="F12" s="69">
        <f>'Расчёт аннуитета'!F23</f>
        <v/>
      </c>
      <c r="G12" s="69">
        <f>'Расчёт аннуитета'!G23</f>
        <v/>
      </c>
      <c r="H12" s="69">
        <f>'Расчёт аннуитета'!H23</f>
        <v/>
      </c>
      <c r="I12" s="69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57">
        <f>'Расчёт аннуитета'!D25</f>
        <v/>
      </c>
      <c r="E13" s="57">
        <f>'Расчёт аннуитета'!E25</f>
        <v/>
      </c>
      <c r="F13" s="57">
        <f>'Расчёт аннуитета'!F25</f>
        <v/>
      </c>
      <c r="G13" s="57">
        <f>'Расчёт аннуитета'!G25</f>
        <v/>
      </c>
      <c r="H13" s="57">
        <f>'Расчёт аннуитета'!H25</f>
        <v/>
      </c>
      <c r="I13" s="57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70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71" t="inlineStr">
        <is>
          <t>Отклонение от лучшего</t>
        </is>
      </c>
      <c r="D16" s="72">
        <f>D12/MIN(D12:I12)-1</f>
        <v/>
      </c>
      <c r="E16" s="72">
        <f>E12/MIN(D12:I12)-1</f>
        <v/>
      </c>
      <c r="F16" s="72">
        <f>F12/MIN(D12:I12)-1</f>
        <v/>
      </c>
      <c r="G16" s="72">
        <f>G12/MIN(D12:I12)-1</f>
        <v/>
      </c>
      <c r="H16" s="72">
        <f>H12/MIN(D12:I12)-1</f>
        <v/>
      </c>
      <c r="I16" s="72">
        <f>I12/MIN(D12:I12)-1</f>
        <v/>
      </c>
    </row>
    <row r="18">
      <c r="B18" s="73" t="inlineStr">
        <is>
          <t>РЕКОМЕНДУЕМЫЙ ВАРИАНТ:</t>
        </is>
      </c>
      <c r="C18" s="74">
        <f>INDEX(D4:I4,MATCH(MIN(D12:I12),D12:I12,0))&amp;"  ("&amp;TEXT(MIN(D12:I12),"0.00")&amp;" руб/м³)"</f>
        <v/>
      </c>
      <c r="D18" s="75" t="n"/>
      <c r="E18" s="75" t="n"/>
      <c r="F18" s="75" t="n"/>
      <c r="G18" s="75" t="n"/>
      <c r="H18" s="75" t="n"/>
      <c r="I18" s="75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76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57">
        <f>'Расчёт аннуитета'!D16</f>
        <v/>
      </c>
      <c r="E22" s="57">
        <f>'Расчёт аннуитета'!E16</f>
        <v/>
      </c>
      <c r="F22" s="57">
        <f>'Расчёт аннуитета'!F16</f>
        <v/>
      </c>
      <c r="G22" s="57">
        <f>'Расчёт аннуитета'!G16</f>
        <v/>
      </c>
      <c r="H22" s="57">
        <f>'Расчёт аннуитета'!H16</f>
        <v/>
      </c>
      <c r="I22" s="57">
        <f>'Расчёт аннуитета'!I16</f>
        <v/>
      </c>
    </row>
    <row r="23">
      <c r="B23" s="22" t="inlineStr">
        <is>
          <t>Дизтопливо</t>
        </is>
      </c>
      <c r="D23" s="57">
        <f>'Расчёт аннуитета'!D17</f>
        <v/>
      </c>
      <c r="E23" s="57">
        <f>'Расчёт аннуитета'!E17</f>
        <v/>
      </c>
      <c r="F23" s="57">
        <f>'Расчёт аннуитета'!F17</f>
        <v/>
      </c>
      <c r="G23" s="57">
        <f>'Расчёт аннуитета'!G17</f>
        <v/>
      </c>
      <c r="H23" s="57">
        <f>'Расчёт аннуитета'!H17</f>
        <v/>
      </c>
      <c r="I23" s="57">
        <f>'Расчёт аннуитета'!I17</f>
        <v/>
      </c>
    </row>
    <row r="24">
      <c r="B24" s="22" t="inlineStr">
        <is>
          <t>ТОиР + капремонты</t>
        </is>
      </c>
      <c r="D24" s="57">
        <f>'Расчёт аннуитета'!D18</f>
        <v/>
      </c>
      <c r="E24" s="57">
        <f>'Расчёт аннуитета'!E18</f>
        <v/>
      </c>
      <c r="F24" s="57">
        <f>'Расчёт аннуитета'!F18</f>
        <v/>
      </c>
      <c r="G24" s="57">
        <f>'Расчёт аннуитета'!G18</f>
        <v/>
      </c>
      <c r="H24" s="57">
        <f>'Расчёт аннуитета'!H18</f>
        <v/>
      </c>
      <c r="I24" s="57">
        <f>'Расчёт аннуитета'!I18</f>
        <v/>
      </c>
    </row>
    <row r="25">
      <c r="B25" s="22" t="inlineStr">
        <is>
          <t>Расходники на ковш</t>
        </is>
      </c>
      <c r="D25" s="57">
        <f>'Расчёт аннуитета'!D19</f>
        <v/>
      </c>
      <c r="E25" s="57">
        <f>'Расчёт аннуитета'!E19</f>
        <v/>
      </c>
      <c r="F25" s="57">
        <f>'Расчёт аннуитета'!F19</f>
        <v/>
      </c>
      <c r="G25" s="57">
        <f>'Расчёт аннуитета'!G19</f>
        <v/>
      </c>
      <c r="H25" s="57">
        <f>'Расчёт аннуитета'!H19</f>
        <v/>
      </c>
      <c r="I25" s="57">
        <f>'Расчёт аннуитета'!I19</f>
        <v/>
      </c>
    </row>
    <row r="26">
      <c r="B26" s="22" t="inlineStr">
        <is>
          <t>Персонал</t>
        </is>
      </c>
      <c r="D26" s="57">
        <f>'Расчёт аннуитета'!D20</f>
        <v/>
      </c>
      <c r="E26" s="57">
        <f>'Расчёт аннуитета'!E20</f>
        <v/>
      </c>
      <c r="F26" s="57">
        <f>'Расчёт аннуитета'!F20</f>
        <v/>
      </c>
      <c r="G26" s="57">
        <f>'Расчёт аннуитета'!G20</f>
        <v/>
      </c>
      <c r="H26" s="57">
        <f>'Расчёт аннуитета'!H20</f>
        <v/>
      </c>
      <c r="I26" s="57">
        <f>'Расчёт аннуитета'!I20</f>
        <v/>
      </c>
    </row>
    <row r="27">
      <c r="B27" s="22" t="inlineStr">
        <is>
          <t>Налог (щит)</t>
        </is>
      </c>
      <c r="D27" s="57">
        <f>'Расчёт аннуитета'!D21</f>
        <v/>
      </c>
      <c r="E27" s="57">
        <f>'Расчёт аннуитета'!E21</f>
        <v/>
      </c>
      <c r="F27" s="57">
        <f>'Расчёт аннуитета'!F21</f>
        <v/>
      </c>
      <c r="G27" s="57">
        <f>'Расчёт аннуитета'!G21</f>
        <v/>
      </c>
      <c r="H27" s="57">
        <f>'Расчёт аннуитета'!H21</f>
        <v/>
      </c>
      <c r="I27" s="57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РАСШИРЕННАЯ АНАЛИТИКА РЕЗУЛЬТАТОВ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Многокритериальная оценка, разложение затрат, диапазон риска, эффективность.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МНОГОКРИТЕРИАЛЬНАЯ ОЦЕНКА (levelized cost + драйверы)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Цена (CAPEX)</t>
        </is>
      </c>
      <c r="C6" s="24" t="inlineStr">
        <is>
          <t>тыс.руб</t>
        </is>
      </c>
      <c r="D6" s="56">
        <f>'Производительность'!D5</f>
        <v/>
      </c>
      <c r="E6" s="56">
        <f>'Производительность'!E5</f>
        <v/>
      </c>
      <c r="F6" s="56">
        <f>'Производительность'!F5</f>
        <v/>
      </c>
      <c r="G6" s="56">
        <f>'Производительность'!G5</f>
        <v/>
      </c>
      <c r="H6" s="56">
        <f>'Производительность'!H5</f>
        <v/>
      </c>
      <c r="I6" s="56">
        <f>'Производительность'!I5</f>
        <v/>
      </c>
    </row>
    <row r="7">
      <c r="B7" s="22" t="inlineStr">
        <is>
          <t>Средний годовой объём</t>
        </is>
      </c>
      <c r="C7" s="24" t="inlineStr">
        <is>
          <t>тыс.м³</t>
        </is>
      </c>
      <c r="D7" s="56">
        <f>'Расчёт аннуитета'!D14</f>
        <v/>
      </c>
      <c r="E7" s="56">
        <f>'Расчёт аннуитета'!E14</f>
        <v/>
      </c>
      <c r="F7" s="56">
        <f>'Расчёт аннуитета'!F14</f>
        <v/>
      </c>
      <c r="G7" s="56">
        <f>'Расчёт аннуитета'!G14</f>
        <v/>
      </c>
      <c r="H7" s="56">
        <f>'Расчёт аннуитета'!H14</f>
        <v/>
      </c>
      <c r="I7" s="56">
        <f>'Расчёт аннуитета'!I14</f>
        <v/>
      </c>
    </row>
    <row r="8">
      <c r="B8" s="22" t="inlineStr">
        <is>
          <t>КТГ средний</t>
        </is>
      </c>
      <c r="C8" s="24" t="inlineStr">
        <is>
          <t>коэф.</t>
        </is>
      </c>
      <c r="D8" s="59">
        <f>AVERAGE('Данные по годам'!E7:N7)</f>
        <v/>
      </c>
      <c r="E8" s="59">
        <f>AVERAGE('Данные по годам'!E12:N12)</f>
        <v/>
      </c>
      <c r="F8" s="59">
        <f>AVERAGE('Данные по годам'!E17:N17)</f>
        <v/>
      </c>
      <c r="G8" s="59">
        <f>AVERAGE('Данные по годам'!E22:N22)</f>
        <v/>
      </c>
      <c r="H8" s="59">
        <f>AVERAGE('Данные по годам'!E27:N27)</f>
        <v/>
      </c>
      <c r="I8" s="59">
        <f>AVERAGE('Данные по годам'!E32:N32)</f>
        <v/>
      </c>
    </row>
    <row r="9">
      <c r="B9" s="37" t="inlineStr">
        <is>
          <t>Аннуитет</t>
        </is>
      </c>
      <c r="C9" s="24" t="inlineStr">
        <is>
          <t>руб/м³</t>
        </is>
      </c>
      <c r="D9" s="68">
        <f>'Расчёт аннуитета'!D23</f>
        <v/>
      </c>
      <c r="E9" s="68">
        <f>'Расчёт аннуитета'!E23</f>
        <v/>
      </c>
      <c r="F9" s="68">
        <f>'Расчёт аннуитета'!F23</f>
        <v/>
      </c>
      <c r="G9" s="68">
        <f>'Расчёт аннуитета'!G23</f>
        <v/>
      </c>
      <c r="H9" s="68">
        <f>'Расчёт аннуитета'!H23</f>
        <v/>
      </c>
      <c r="I9" s="68">
        <f>'Расчёт аннуитета'!I23</f>
        <v/>
      </c>
    </row>
    <row r="10">
      <c r="B10" s="22" t="inlineStr">
        <is>
          <t>Аннуитет</t>
        </is>
      </c>
      <c r="C10" s="24" t="inlineStr">
        <is>
          <t>руб/т</t>
        </is>
      </c>
      <c r="D10" s="57">
        <f>'Расчёт аннуитета'!D25</f>
        <v/>
      </c>
      <c r="E10" s="57">
        <f>'Расчёт аннуитета'!E25</f>
        <v/>
      </c>
      <c r="F10" s="57">
        <f>'Расчёт аннуитета'!F25</f>
        <v/>
      </c>
      <c r="G10" s="57">
        <f>'Расчёт аннуитета'!G25</f>
        <v/>
      </c>
      <c r="H10" s="57">
        <f>'Расчёт аннуитета'!H25</f>
        <v/>
      </c>
      <c r="I10" s="57">
        <f>'Расчёт аннуитета'!I25</f>
        <v/>
      </c>
    </row>
    <row r="11">
      <c r="B11" s="22" t="inlineStr">
        <is>
          <t>NPV стоимости владения</t>
        </is>
      </c>
      <c r="C11" s="24" t="inlineStr">
        <is>
          <t>тыс.руб</t>
        </is>
      </c>
      <c r="D11" s="56">
        <f>'Расчёт аннуитета'!D13</f>
        <v/>
      </c>
      <c r="E11" s="56">
        <f>'Расчёт аннуитета'!E13</f>
        <v/>
      </c>
      <c r="F11" s="56">
        <f>'Расчёт аннуитета'!F13</f>
        <v/>
      </c>
      <c r="G11" s="56">
        <f>'Расчёт аннуитета'!G13</f>
        <v/>
      </c>
      <c r="H11" s="56">
        <f>'Расчёт аннуитета'!H13</f>
        <v/>
      </c>
      <c r="I11" s="56">
        <f>'Расчёт аннуитета'!I13</f>
        <v/>
      </c>
    </row>
    <row r="12">
      <c r="B12" s="22" t="inlineStr">
        <is>
          <t>Доля CAPEX</t>
        </is>
      </c>
      <c r="C12" s="24" t="inlineStr">
        <is>
          <t>%</t>
        </is>
      </c>
      <c r="D12" s="59">
        <f>'Расчёт аннуитета'!D16/'Расчёт аннуитета'!D23</f>
        <v/>
      </c>
      <c r="E12" s="59">
        <f>'Расчёт аннуитета'!E16/'Расчёт аннуитета'!E23</f>
        <v/>
      </c>
      <c r="F12" s="59">
        <f>'Расчёт аннуитета'!F16/'Расчёт аннуитета'!F23</f>
        <v/>
      </c>
      <c r="G12" s="59">
        <f>'Расчёт аннуитета'!G16/'Расчёт аннуитета'!G23</f>
        <v/>
      </c>
      <c r="H12" s="59">
        <f>'Расчёт аннуитета'!H16/'Расчёт аннуитета'!H23</f>
        <v/>
      </c>
      <c r="I12" s="59">
        <f>'Расчёт аннуитета'!I16/'Расчёт аннуитета'!I23</f>
        <v/>
      </c>
    </row>
    <row r="13">
      <c r="B13" s="22" t="inlineStr">
        <is>
          <t>Доля топлива</t>
        </is>
      </c>
      <c r="C13" s="24" t="inlineStr">
        <is>
          <t>%</t>
        </is>
      </c>
      <c r="D13" s="59">
        <f>'Расчёт аннуитета'!D17/'Расчёт аннуитета'!D23</f>
        <v/>
      </c>
      <c r="E13" s="59">
        <f>'Расчёт аннуитета'!E17/'Расчёт аннуитета'!E23</f>
        <v/>
      </c>
      <c r="F13" s="59">
        <f>'Расчёт аннуитета'!F17/'Расчёт аннуитета'!F23</f>
        <v/>
      </c>
      <c r="G13" s="59">
        <f>'Расчёт аннуитета'!G17/'Расчёт аннуитета'!G23</f>
        <v/>
      </c>
      <c r="H13" s="59">
        <f>'Расчёт аннуитета'!H17/'Расчёт аннуитета'!H23</f>
        <v/>
      </c>
      <c r="I13" s="59">
        <f>'Расчёт аннуитета'!I17/'Расчёт аннуитета'!I23</f>
        <v/>
      </c>
    </row>
    <row r="14">
      <c r="B14" s="22" t="inlineStr">
        <is>
          <t>Доля ТОиР</t>
        </is>
      </c>
      <c r="C14" s="24" t="inlineStr">
        <is>
          <t>%</t>
        </is>
      </c>
      <c r="D14" s="59">
        <f>'Расчёт аннуитета'!D18/'Расчёт аннуитета'!D23</f>
        <v/>
      </c>
      <c r="E14" s="59">
        <f>'Расчёт аннуитета'!E18/'Расчёт аннуитета'!E23</f>
        <v/>
      </c>
      <c r="F14" s="59">
        <f>'Расчёт аннуитета'!F18/'Расчёт аннуитета'!F23</f>
        <v/>
      </c>
      <c r="G14" s="59">
        <f>'Расчёт аннуитета'!G18/'Расчёт аннуитета'!G23</f>
        <v/>
      </c>
      <c r="H14" s="59">
        <f>'Расчёт аннуитета'!H18/'Расчёт аннуитета'!H23</f>
        <v/>
      </c>
      <c r="I14" s="59">
        <f>'Расчёт аннуитета'!I18/'Расчёт аннуитета'!I23</f>
        <v/>
      </c>
    </row>
    <row r="15">
      <c r="B15" s="37" t="inlineStr">
        <is>
          <t>Место в рейтинге</t>
        </is>
      </c>
      <c r="C15" s="24" t="inlineStr"/>
      <c r="D15" s="60">
        <f>RANK(D9,D9:I9,1)</f>
        <v/>
      </c>
      <c r="E15" s="60">
        <f>RANK(E9,D9:I9,1)</f>
        <v/>
      </c>
      <c r="F15" s="60">
        <f>RANK(F9,D9:I9,1)</f>
        <v/>
      </c>
      <c r="G15" s="60">
        <f>RANK(G9,D9:I9,1)</f>
        <v/>
      </c>
      <c r="H15" s="60">
        <f>RANK(H9,D9:I9,1)</f>
        <v/>
      </c>
      <c r="I15" s="60">
        <f>RANK(I9,D9:I9,1)</f>
        <v/>
      </c>
    </row>
    <row r="16">
      <c r="B16" s="5" t="inlineStr">
        <is>
          <t>РАЗЛОЖЕНИЕ ПРЕВЫШЕНИЯ АННУИТЕТА НАД ЛУЧШИМ (руб/м³)</t>
        </is>
      </c>
      <c r="C16" s="4" t="n"/>
      <c r="D16" s="4" t="n"/>
      <c r="E16" s="4" t="n"/>
      <c r="F16" s="4" t="n"/>
      <c r="G16" s="4" t="n"/>
      <c r="H16" s="4" t="n"/>
      <c r="I16" s="4" t="n"/>
    </row>
    <row r="17">
      <c r="B17" s="22" t="inlineStr">
        <is>
          <t>Δ инвестиции</t>
        </is>
      </c>
      <c r="C17" s="24" t="inlineStr">
        <is>
          <t>руб/м³</t>
        </is>
      </c>
      <c r="D17" s="57">
        <f>'Расчёт аннуитета'!D16-MIN(D16:I16)</f>
        <v/>
      </c>
      <c r="E17" s="57">
        <f>'Расчёт аннуитета'!E16-MIN(D16:I16)</f>
        <v/>
      </c>
      <c r="F17" s="57">
        <f>'Расчёт аннуитета'!F16-MIN(D16:I16)</f>
        <v/>
      </c>
      <c r="G17" s="57">
        <f>'Расчёт аннуитета'!G16-MIN(D16:I16)</f>
        <v/>
      </c>
      <c r="H17" s="57">
        <f>'Расчёт аннуитета'!H16-MIN(D16:I16)</f>
        <v/>
      </c>
      <c r="I17" s="57">
        <f>'Расчёт аннуитета'!I16-MIN(D16:I16)</f>
        <v/>
      </c>
    </row>
    <row r="18">
      <c r="B18" s="22" t="inlineStr">
        <is>
          <t>Δ топливо</t>
        </is>
      </c>
      <c r="C18" s="24" t="inlineStr">
        <is>
          <t>руб/м³</t>
        </is>
      </c>
      <c r="D18" s="57">
        <f>'Расчёт аннуитета'!D17-MIN(D17:I17)</f>
        <v/>
      </c>
      <c r="E18" s="57">
        <f>'Расчёт аннуитета'!E17-MIN(D17:I17)</f>
        <v/>
      </c>
      <c r="F18" s="57">
        <f>'Расчёт аннуитета'!F17-MIN(D17:I17)</f>
        <v/>
      </c>
      <c r="G18" s="57">
        <f>'Расчёт аннуитета'!G17-MIN(D17:I17)</f>
        <v/>
      </c>
      <c r="H18" s="57">
        <f>'Расчёт аннуитета'!H17-MIN(D17:I17)</f>
        <v/>
      </c>
      <c r="I18" s="57">
        <f>'Расчёт аннуитета'!I17-MIN(D17:I17)</f>
        <v/>
      </c>
    </row>
    <row r="19">
      <c r="B19" s="22" t="inlineStr">
        <is>
          <t>Δ ТОиР</t>
        </is>
      </c>
      <c r="C19" s="24" t="inlineStr">
        <is>
          <t>руб/м³</t>
        </is>
      </c>
      <c r="D19" s="57">
        <f>'Расчёт аннуитета'!D18-MIN(D18:I18)</f>
        <v/>
      </c>
      <c r="E19" s="57">
        <f>'Расчёт аннуитета'!E18-MIN(D18:I18)</f>
        <v/>
      </c>
      <c r="F19" s="57">
        <f>'Расчёт аннуитета'!F18-MIN(D18:I18)</f>
        <v/>
      </c>
      <c r="G19" s="57">
        <f>'Расчёт аннуитета'!G18-MIN(D18:I18)</f>
        <v/>
      </c>
      <c r="H19" s="57">
        <f>'Расчёт аннуитета'!H18-MIN(D18:I18)</f>
        <v/>
      </c>
      <c r="I19" s="57">
        <f>'Расчёт аннуитета'!I18-MIN(D18:I18)</f>
        <v/>
      </c>
    </row>
    <row r="20">
      <c r="B20" s="22" t="inlineStr">
        <is>
          <t>Δ персонал</t>
        </is>
      </c>
      <c r="C20" s="24" t="inlineStr">
        <is>
          <t>руб/м³</t>
        </is>
      </c>
      <c r="D20" s="57">
        <f>'Расчёт аннуитета'!D20-MIN(D20:I20)</f>
        <v/>
      </c>
      <c r="E20" s="57">
        <f>'Расчёт аннуитета'!E20-MIN(D20:I20)</f>
        <v/>
      </c>
      <c r="F20" s="57">
        <f>'Расчёт аннуитета'!F20-MIN(D20:I20)</f>
        <v/>
      </c>
      <c r="G20" s="57">
        <f>'Расчёт аннуитета'!G20-MIN(D20:I20)</f>
        <v/>
      </c>
      <c r="H20" s="57">
        <f>'Расчёт аннуитета'!H20-MIN(D20:I20)</f>
        <v/>
      </c>
      <c r="I20" s="57">
        <f>'Расчёт аннуитета'!I20-MIN(D20:I20)</f>
        <v/>
      </c>
    </row>
    <row r="21">
      <c r="B21" s="22" t="inlineStr">
        <is>
          <t>Δ налог (щит)</t>
        </is>
      </c>
      <c r="C21" s="24" t="inlineStr">
        <is>
          <t>руб/м³</t>
        </is>
      </c>
      <c r="D21" s="57">
        <f>'Расчёт аннуитета'!D21-MIN(D21:I21)</f>
        <v/>
      </c>
      <c r="E21" s="57">
        <f>'Расчёт аннуитета'!E21-MIN(D21:I21)</f>
        <v/>
      </c>
      <c r="F21" s="57">
        <f>'Расчёт аннуитета'!F21-MIN(D21:I21)</f>
        <v/>
      </c>
      <c r="G21" s="57">
        <f>'Расчёт аннуитета'!G21-MIN(D21:I21)</f>
        <v/>
      </c>
      <c r="H21" s="57">
        <f>'Расчёт аннуитета'!H21-MIN(D21:I21)</f>
        <v/>
      </c>
      <c r="I21" s="57">
        <f>'Расчёт аннуитета'!I21-MIN(D21:I21)</f>
        <v/>
      </c>
    </row>
    <row r="22">
      <c r="B22" s="37" t="inlineStr">
        <is>
          <t>ИТОГО превышение над лучшим</t>
        </is>
      </c>
      <c r="C22" s="24" t="inlineStr">
        <is>
          <t>руб/м³</t>
        </is>
      </c>
      <c r="D22" s="68">
        <f>D9-MIN(D9:I9)</f>
        <v/>
      </c>
      <c r="E22" s="68">
        <f>E9-MIN(D9:I9)</f>
        <v/>
      </c>
      <c r="F22" s="68">
        <f>F9-MIN(D9:I9)</f>
        <v/>
      </c>
      <c r="G22" s="68">
        <f>G9-MIN(D9:I9)</f>
        <v/>
      </c>
      <c r="H22" s="68">
        <f>H9-MIN(D9:I9)</f>
        <v/>
      </c>
      <c r="I22" s="68">
        <f>I9-MIN(D9:I9)</f>
        <v/>
      </c>
    </row>
    <row r="23">
      <c r="B23" s="5" t="inlineStr">
        <is>
          <t>ДИАПАЗОН РИСКА АННУИТЕТА (руб/м³)</t>
        </is>
      </c>
      <c r="C23" s="4" t="n"/>
      <c r="D23" s="4" t="n"/>
      <c r="E23" s="4" t="n"/>
      <c r="F23" s="4" t="n"/>
      <c r="G23" s="4" t="n"/>
      <c r="H23" s="4" t="n"/>
      <c r="I23" s="4" t="n"/>
    </row>
    <row r="24">
      <c r="B24" s="22" t="inlineStr">
        <is>
          <t>Оптимистичный (КТГ +10%, ДТ −20%)</t>
        </is>
      </c>
      <c r="C24" s="24" t="inlineStr">
        <is>
          <t>руб/м³</t>
        </is>
      </c>
      <c r="D24" s="57">
        <f>('Расчёт аннуитета'!D16+'Расчёт аннуитета'!D18+'Расчёт аннуитета'!D20+'Расчёт аннуитета'!D21)/1.1+('Расчёт аннуитета'!D17+'Расчёт аннуитета'!D19)-0.2*'Расчёт аннуитета'!D17</f>
        <v/>
      </c>
      <c r="E24" s="57">
        <f>('Расчёт аннуитета'!E16+'Расчёт аннуитета'!E18+'Расчёт аннуитета'!E20+'Расчёт аннуитета'!E21)/1.1+('Расчёт аннуитета'!E17+'Расчёт аннуитета'!E19)-0.2*'Расчёт аннуитета'!E17</f>
        <v/>
      </c>
      <c r="F24" s="57">
        <f>('Расчёт аннуитета'!F16+'Расчёт аннуитета'!F18+'Расчёт аннуитета'!F20+'Расчёт аннуитета'!F21)/1.1+('Расчёт аннуитета'!F17+'Расчёт аннуитета'!F19)-0.2*'Расчёт аннуитета'!F17</f>
        <v/>
      </c>
      <c r="G24" s="57">
        <f>('Расчёт аннуитета'!G16+'Расчёт аннуитета'!G18+'Расчёт аннуитета'!G20+'Расчёт аннуитета'!G21)/1.1+('Расчёт аннуитета'!G17+'Расчёт аннуитета'!G19)-0.2*'Расчёт аннуитета'!G17</f>
        <v/>
      </c>
      <c r="H24" s="57">
        <f>('Расчёт аннуитета'!H16+'Расчёт аннуитета'!H18+'Расчёт аннуитета'!H20+'Расчёт аннуитета'!H21)/1.1+('Расчёт аннуитета'!H17+'Расчёт аннуитета'!H19)-0.2*'Расчёт аннуитета'!H17</f>
        <v/>
      </c>
      <c r="I24" s="57">
        <f>('Расчёт аннуитета'!I16+'Расчёт аннуитета'!I18+'Расчёт аннуитета'!I20+'Расчёт аннуитета'!I21)/1.1+('Расчёт аннуитета'!I17+'Расчёт аннуитета'!I19)-0.2*'Расчёт аннуитета'!I17</f>
        <v/>
      </c>
    </row>
    <row r="25">
      <c r="B25" s="37" t="inlineStr">
        <is>
          <t>Базовый</t>
        </is>
      </c>
      <c r="C25" s="24" t="inlineStr">
        <is>
          <t>руб/м³</t>
        </is>
      </c>
      <c r="D25" s="68">
        <f>'Расчёт аннуитета'!D23</f>
        <v/>
      </c>
      <c r="E25" s="68">
        <f>'Расчёт аннуитета'!E23</f>
        <v/>
      </c>
      <c r="F25" s="68">
        <f>'Расчёт аннуитета'!F23</f>
        <v/>
      </c>
      <c r="G25" s="68">
        <f>'Расчёт аннуитета'!G23</f>
        <v/>
      </c>
      <c r="H25" s="68">
        <f>'Расчёт аннуитета'!H23</f>
        <v/>
      </c>
      <c r="I25" s="68">
        <f>'Расчёт аннуитета'!I23</f>
        <v/>
      </c>
    </row>
    <row r="26">
      <c r="B26" s="22" t="inlineStr">
        <is>
          <t>Пессимистичный (КТГ −10%, ДТ +20%)</t>
        </is>
      </c>
      <c r="C26" s="24" t="inlineStr">
        <is>
          <t>руб/м³</t>
        </is>
      </c>
      <c r="D26" s="57">
        <f>('Расчёт аннуитета'!D16+'Расчёт аннуитета'!D18+'Расчёт аннуитета'!D20+'Расчёт аннуитета'!D21)/0.9+('Расчёт аннуитета'!D17+'Расчёт аннуитета'!D19)+0.2*'Расчёт аннуитета'!D17</f>
        <v/>
      </c>
      <c r="E26" s="57">
        <f>('Расчёт аннуитета'!E16+'Расчёт аннуитета'!E18+'Расчёт аннуитета'!E20+'Расчёт аннуитета'!E21)/0.9+('Расчёт аннуитета'!E17+'Расчёт аннуитета'!E19)+0.2*'Расчёт аннуитета'!E17</f>
        <v/>
      </c>
      <c r="F26" s="57">
        <f>('Расчёт аннуитета'!F16+'Расчёт аннуитета'!F18+'Расчёт аннуитета'!F20+'Расчёт аннуитета'!F21)/0.9+('Расчёт аннуитета'!F17+'Расчёт аннуитета'!F19)+0.2*'Расчёт аннуитета'!F17</f>
        <v/>
      </c>
      <c r="G26" s="57">
        <f>('Расчёт аннуитета'!G16+'Расчёт аннуитета'!G18+'Расчёт аннуитета'!G20+'Расчёт аннуитета'!G21)/0.9+('Расчёт аннуитета'!G17+'Расчёт аннуитета'!G19)+0.2*'Расчёт аннуитета'!G17</f>
        <v/>
      </c>
      <c r="H26" s="57">
        <f>('Расчёт аннуитета'!H16+'Расчёт аннуитета'!H18+'Расчёт аннуитета'!H20+'Расчёт аннуитета'!H21)/0.9+('Расчёт аннуитета'!H17+'Расчёт аннуитета'!H19)+0.2*'Расчёт аннуитета'!H17</f>
        <v/>
      </c>
      <c r="I26" s="57">
        <f>('Расчёт аннуитета'!I16+'Расчёт аннуитета'!I18+'Расчёт аннуитета'!I20+'Расчёт аннуитета'!I21)/0.9+('Расчёт аннуитета'!I17+'Расчёт аннуитета'!I19)+0.2*'Расчёт аннуитета'!I17</f>
        <v/>
      </c>
    </row>
    <row r="27">
      <c r="B27" s="22" t="inlineStr">
        <is>
          <t>Ширина диапазона (риск)</t>
        </is>
      </c>
      <c r="C27" s="24" t="inlineStr">
        <is>
          <t>руб/м³</t>
        </is>
      </c>
      <c r="D27" s="57">
        <f>D26-D24</f>
        <v/>
      </c>
      <c r="E27" s="57">
        <f>E26-E24</f>
        <v/>
      </c>
      <c r="F27" s="57">
        <f>F26-F24</f>
        <v/>
      </c>
      <c r="G27" s="57">
        <f>G26-G24</f>
        <v/>
      </c>
      <c r="H27" s="57">
        <f>H26-H24</f>
        <v/>
      </c>
      <c r="I27" s="57">
        <f>I26-I24</f>
        <v/>
      </c>
    </row>
    <row r="28">
      <c r="B28" s="5" t="inlineStr">
        <is>
          <t>ЭФФЕКТИВНОСТЬ И ЦЕННОСТЬ ГОТОВНОСТИ</t>
        </is>
      </c>
      <c r="C28" s="4" t="n"/>
      <c r="D28" s="4" t="n"/>
      <c r="E28" s="4" t="n"/>
      <c r="F28" s="4" t="n"/>
      <c r="G28" s="4" t="n"/>
      <c r="H28" s="4" t="n"/>
      <c r="I28" s="4" t="n"/>
    </row>
    <row r="29">
      <c r="B29" s="22" t="inlineStr">
        <is>
          <t>Топливоёмкость</t>
        </is>
      </c>
      <c r="C29" s="24" t="inlineStr">
        <is>
          <t>кг/м³</t>
        </is>
      </c>
      <c r="D29" s="57">
        <f>'Расчёт аннуитета'!D17/'Параметры'!C10</f>
        <v/>
      </c>
      <c r="E29" s="57">
        <f>'Расчёт аннуитета'!E17/'Параметры'!C10</f>
        <v/>
      </c>
      <c r="F29" s="57">
        <f>'Расчёт аннуитета'!F17/'Параметры'!C10</f>
        <v/>
      </c>
      <c r="G29" s="57">
        <f>'Расчёт аннуитета'!G17/'Параметры'!C10</f>
        <v/>
      </c>
      <c r="H29" s="57">
        <f>'Расчёт аннуитета'!H17/'Параметры'!C10</f>
        <v/>
      </c>
      <c r="I29" s="57">
        <f>'Расчёт аннуитета'!I17/'Параметры'!C10</f>
        <v/>
      </c>
    </row>
    <row r="30">
      <c r="B30" s="22" t="inlineStr">
        <is>
          <t>Топливо на м³</t>
        </is>
      </c>
      <c r="C30" s="24" t="inlineStr">
        <is>
          <t>руб/м³</t>
        </is>
      </c>
      <c r="D30" s="57">
        <f>'Расчёт аннуитета'!D17</f>
        <v/>
      </c>
      <c r="E30" s="57">
        <f>'Расчёт аннуитета'!E17</f>
        <v/>
      </c>
      <c r="F30" s="57">
        <f>'Расчёт аннуитета'!F17</f>
        <v/>
      </c>
      <c r="G30" s="57">
        <f>'Расчёт аннуитета'!G17</f>
        <v/>
      </c>
      <c r="H30" s="57">
        <f>'Расчёт аннуитета'!H17</f>
        <v/>
      </c>
      <c r="I30" s="57">
        <f>'Расчёт аннуитета'!I17</f>
        <v/>
      </c>
    </row>
    <row r="31">
      <c r="B31" s="22" t="inlineStr">
        <is>
          <t>Эффект +1 п.п. КТГ на аннуитет</t>
        </is>
      </c>
      <c r="C31" s="24" t="inlineStr">
        <is>
          <t>руб/м³</t>
        </is>
      </c>
      <c r="D31" s="57">
        <f>-('Расчёт аннуитета'!D16+'Расчёт аннуитета'!D18+'Расчёт аннуитета'!D20+'Расчёт аннуитета'!D21)*0.01/AVERAGE('Данные по годам'!E7:N7)</f>
        <v/>
      </c>
      <c r="E31" s="57">
        <f>-('Расчёт аннуитета'!E16+'Расчёт аннуитета'!E18+'Расчёт аннуитета'!E20+'Расчёт аннуитета'!E21)*0.01/AVERAGE('Данные по годам'!E12:N12)</f>
        <v/>
      </c>
      <c r="F31" s="57">
        <f>-('Расчёт аннуитета'!F16+'Расчёт аннуитета'!F18+'Расчёт аннуитета'!F20+'Расчёт аннуитета'!F21)*0.01/AVERAGE('Данные по годам'!E17:N17)</f>
        <v/>
      </c>
      <c r="G31" s="57">
        <f>-('Расчёт аннуитета'!G16+'Расчёт аннуитета'!G18+'Расчёт аннуитета'!G20+'Расчёт аннуитета'!G21)*0.01/AVERAGE('Данные по годам'!E22:N22)</f>
        <v/>
      </c>
      <c r="H31" s="57">
        <f>-('Расчёт аннуитета'!H16+'Расчёт аннуитета'!H18+'Расчёт аннуитета'!H20+'Расчёт аннуитета'!H21)*0.01/AVERAGE('Данные по годам'!E27:N27)</f>
        <v/>
      </c>
      <c r="I31" s="57">
        <f>-('Расчёт аннуитета'!I16+'Расчёт аннуитета'!I18+'Расчёт аннуитета'!I20+'Расчёт аннуитета'!I21)*0.01/AVERAGE('Данные по годам'!E32:N32)</f>
        <v/>
      </c>
    </row>
    <row r="33">
      <c r="B33" s="73" t="inlineStr">
        <is>
          <t>ВЫВОД:</t>
        </is>
      </c>
      <c r="C33" s="77">
        <f>"Лучший по удельному TCO: "&amp;INDEX(D4:I4,MATCH(MIN(D9:I9),D9:I9,0))&amp;" ("&amp;TEXT(MIN(D9:I9),"0.00")&amp;" руб/м³, "&amp;TEXT(MIN(D10:I10),"0.00")&amp;" руб/т). "&amp;"Отрыв от худшего: "&amp;TEXT(MAX(D9:I9)-MIN(D9:I9),"0.00")&amp;" руб/м³."</f>
        <v/>
      </c>
      <c r="D33" s="78" t="n"/>
      <c r="E33" s="78" t="n"/>
      <c r="F33" s="78" t="n"/>
      <c r="G33" s="78" t="n"/>
      <c r="H33" s="78" t="n"/>
      <c r="I33" s="78" t="n"/>
    </row>
    <row r="35">
      <c r="B35" s="7" t="inlineStr">
        <is>
          <t>Метод (лучшие практики):</t>
        </is>
      </c>
    </row>
    <row r="36">
      <c r="B36" s="63" t="inlineStr">
        <is>
          <t>•  Levelized cost — приведённые затраты на единицу продукции (руб/м³, руб/т) уравнивают машины с разной ценой и производительностью.</t>
        </is>
      </c>
    </row>
    <row r="37">
      <c r="B37" s="63" t="inlineStr">
        <is>
          <t>•  Многокритериальная оценка — не только цена, но и структура затрат, КТГ, топливоёмкость.</t>
        </is>
      </c>
    </row>
    <row r="38">
      <c r="B38" s="63" t="inlineStr">
        <is>
          <t>•  Разложение над лучшим — показывает, за счёт каких статей вариант дороже (управляемость).</t>
        </is>
      </c>
    </row>
    <row r="39">
      <c r="B39" s="63" t="inlineStr">
        <is>
          <t>•  Диапазон риска — устойчивость выбора к колебаниям КТГ и цены топлива (сценарии P-).</t>
        </is>
      </c>
    </row>
    <row r="40">
      <c r="B40" s="63" t="inlineStr">
        <is>
          <t>•  Ценность готовности — сколько руб/м³ даёт рост КТГ на 1 п.п. (обоснование сервисного контракта).</t>
        </is>
      </c>
    </row>
  </sheetData>
  <mergeCells count="12">
    <mergeCell ref="B1:K1"/>
    <mergeCell ref="B40:K40"/>
    <mergeCell ref="B16:I16"/>
    <mergeCell ref="B28:I28"/>
    <mergeCell ref="B5:I5"/>
    <mergeCell ref="B39:K39"/>
    <mergeCell ref="B38:K38"/>
    <mergeCell ref="B2:K2"/>
    <mergeCell ref="B23:I23"/>
    <mergeCell ref="C33:I33"/>
    <mergeCell ref="B36:K36"/>
    <mergeCell ref="B37:K37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36" t="n">
        <v>1</v>
      </c>
      <c r="D4" s="79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57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57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57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57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57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56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56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57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57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80" t="inlineStr">
        <is>
          <t>низкое</t>
        </is>
      </c>
      <c r="J18" s="80" t="inlineStr">
        <is>
          <t>высокое</t>
        </is>
      </c>
    </row>
    <row r="19">
      <c r="B19" s="22" t="inlineStr">
        <is>
          <t>Расход / цена ДТ</t>
        </is>
      </c>
      <c r="C19" s="81" t="inlineStr">
        <is>
          <t>±20%</t>
        </is>
      </c>
      <c r="D19" s="57">
        <f>$D$7-0.2*($D$9*(1-'Параметры'!C7))</f>
        <v/>
      </c>
      <c r="E19" s="57">
        <f>$D$7+0.2*($D$9*(1-'Параметры'!C7))</f>
        <v/>
      </c>
      <c r="F19" s="57">
        <f>E19-D19</f>
        <v/>
      </c>
      <c r="I19" s="82">
        <f>D19-$D$7</f>
        <v/>
      </c>
      <c r="J19" s="82">
        <f>E19-$D$7</f>
        <v/>
      </c>
    </row>
    <row r="20">
      <c r="B20" s="22" t="inlineStr">
        <is>
          <t>Затраты на ТОиР/ремонты</t>
        </is>
      </c>
      <c r="C20" s="81" t="inlineStr">
        <is>
          <t>±25%</t>
        </is>
      </c>
      <c r="D20" s="57">
        <f>$D$7-0.25*($D$10*(1-'Параметры'!C7))</f>
        <v/>
      </c>
      <c r="E20" s="57">
        <f>$D$7+0.25*($D$10*(1-'Параметры'!C7))</f>
        <v/>
      </c>
      <c r="F20" s="57">
        <f>E20-D20</f>
        <v/>
      </c>
      <c r="I20" s="82">
        <f>D20-$D$7</f>
        <v/>
      </c>
      <c r="J20" s="82">
        <f>E20-$D$7</f>
        <v/>
      </c>
    </row>
    <row r="21">
      <c r="B21" s="22" t="inlineStr">
        <is>
          <t>Цена приобретения</t>
        </is>
      </c>
      <c r="C21" s="81" t="inlineStr">
        <is>
          <t>±15%</t>
        </is>
      </c>
      <c r="D21" s="57">
        <f>$D$7-0.15*($D$8*(1-'Параметры'!C7*'Параметры'!C38))</f>
        <v/>
      </c>
      <c r="E21" s="57">
        <f>$D$7+0.15*($D$8*(1-'Параметры'!C7*'Параметры'!C38))</f>
        <v/>
      </c>
      <c r="F21" s="57">
        <f>E21-D21</f>
        <v/>
      </c>
      <c r="I21" s="82">
        <f>D21-$D$7</f>
        <v/>
      </c>
      <c r="J21" s="82">
        <f>E21-$D$7</f>
        <v/>
      </c>
    </row>
    <row r="22">
      <c r="B22" s="22" t="inlineStr">
        <is>
          <t>Расходы на персонал</t>
        </is>
      </c>
      <c r="C22" s="81" t="inlineStr">
        <is>
          <t>±15%</t>
        </is>
      </c>
      <c r="D22" s="57">
        <f>$D$7-0.15*($D$11*(1-'Параметры'!C7))</f>
        <v/>
      </c>
      <c r="E22" s="57">
        <f>$D$7+0.15*($D$11*(1-'Параметры'!C7))</f>
        <v/>
      </c>
      <c r="F22" s="57">
        <f>E22-D22</f>
        <v/>
      </c>
      <c r="I22" s="82">
        <f>D22-$D$7</f>
        <v/>
      </c>
      <c r="J22" s="82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55" t="inlineStr">
        <is>
          <t>Общий аннуитет, руб/м³</t>
        </is>
      </c>
      <c r="C27" s="67">
        <f>$D$14/(1+-0.15)+$D$15</f>
        <v/>
      </c>
      <c r="D27" s="67">
        <f>$D$14/(1+-0.1)+$D$15</f>
        <v/>
      </c>
      <c r="E27" s="69">
        <f>$D$14/(1+0.0)+$D$15</f>
        <v/>
      </c>
      <c r="F27" s="67">
        <f>$D$14/(1+0.1)+$D$15</f>
        <v/>
      </c>
      <c r="G27" s="67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83" t="n">
        <v>0.08</v>
      </c>
      <c r="D30" s="83" t="n">
        <v>0.1</v>
      </c>
      <c r="E30" s="83" t="n">
        <v>0.12</v>
      </c>
      <c r="F30" s="83" t="n">
        <v>0.14</v>
      </c>
      <c r="G30" s="83" t="n">
        <v>0.16</v>
      </c>
    </row>
    <row r="31">
      <c r="B31" s="55" t="inlineStr">
        <is>
          <t>Общий аннуитет, руб/м³ (оценка)</t>
        </is>
      </c>
      <c r="C31" s="67">
        <f>$D$13*(1-INDEX('Ввод данных'!D14:I14,$C$4)/(1+C30)^'Параметры'!C8)/((1-(1+C30)^-'Параметры'!C8)/C30)/$D$12+$D$7-$D$8</f>
        <v/>
      </c>
      <c r="D31" s="67">
        <f>$D$13*(1-INDEX('Ввод данных'!D14:I14,$C$4)/(1+D30)^'Параметры'!C8)/((1-(1+D30)^-'Параметры'!C8)/D30)/$D$12+$D$7-$D$8</f>
        <v/>
      </c>
      <c r="E31" s="69">
        <f>$D$13*(1-INDEX('Ввод данных'!D14:I14,$C$4)/(1+E30)^'Параметры'!C8)/((1-(1+E30)^-'Параметры'!C8)/E30)/$D$12+$D$7-$D$8</f>
        <v/>
      </c>
      <c r="F31" s="67">
        <f>$D$13*(1-INDEX('Ввод данных'!D14:I14,$C$4)/(1+F30)^'Параметры'!C8)/((1-(1+F30)^-'Параметры'!C8)/F30)/$D$12+$D$7-$D$8</f>
        <v/>
      </c>
      <c r="G31" s="67">
        <f>$D$13*(1-INDEX('Ввод данных'!D14:I14,$C$4)/(1+G30)^'Параметры'!C8)/((1-(1+G30)^-'Параметры'!C8)/G30)/$D$12+$D$7-$D$8</f>
        <v/>
      </c>
    </row>
    <row r="33">
      <c r="B33" s="63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81" t="inlineStr">
        <is>
          <t>12%</t>
        </is>
      </c>
      <c r="D5" s="81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84" t="inlineStr">
        <is>
          <t>Налог на прибыль</t>
        </is>
      </c>
      <c r="C6" s="85" t="inlineStr">
        <is>
          <t>25%</t>
        </is>
      </c>
      <c r="D6" s="85" t="inlineStr">
        <is>
          <t>20–25%</t>
        </is>
      </c>
      <c r="E6" s="84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81" t="inlineStr">
        <is>
          <t>0,74–0,84</t>
        </is>
      </c>
      <c r="D7" s="81" t="inlineStr">
        <is>
          <t>0,70–0,90</t>
        </is>
      </c>
      <c r="E7" s="22" t="inlineStr">
        <is>
          <t>Зависит от бренда и сервиса</t>
        </is>
      </c>
    </row>
    <row r="8">
      <c r="B8" s="84" t="inlineStr">
        <is>
          <t>КИО (использование)</t>
        </is>
      </c>
      <c r="C8" s="85" t="inlineStr">
        <is>
          <t>0,47–0,58</t>
        </is>
      </c>
      <c r="D8" s="85" t="inlineStr">
        <is>
          <t>0,40–0,65</t>
        </is>
      </c>
      <c r="E8" s="84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81" t="inlineStr">
        <is>
          <t>85–120</t>
        </is>
      </c>
      <c r="D9" s="81" t="inlineStr">
        <is>
          <t>70–140 кг/ч</t>
        </is>
      </c>
      <c r="E9" s="22" t="inlineStr">
        <is>
          <t>Двигатель и режим</t>
        </is>
      </c>
    </row>
    <row r="10">
      <c r="B10" s="84" t="inlineStr">
        <is>
          <t>Срок амортизации (НУ)</t>
        </is>
      </c>
      <c r="C10" s="85" t="inlineStr">
        <is>
          <t>62 мес</t>
        </is>
      </c>
      <c r="D10" s="85" t="inlineStr">
        <is>
          <t>5–7 лет</t>
        </is>
      </c>
      <c r="E10" s="84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81" t="inlineStr">
        <is>
          <t>10%</t>
        </is>
      </c>
      <c r="D11" s="81" t="inlineStr">
        <is>
          <t>8–20%</t>
        </is>
      </c>
      <c r="E11" s="22" t="inlineStr">
        <is>
          <t>Реализация в конце срока</t>
        </is>
      </c>
    </row>
    <row r="12">
      <c r="B12" s="84" t="inlineStr">
        <is>
          <t>Время цикла экскавации</t>
        </is>
      </c>
      <c r="C12" s="85" t="inlineStr">
        <is>
          <t>37 сек</t>
        </is>
      </c>
      <c r="D12" s="85" t="inlineStr">
        <is>
          <t>28–45 сек</t>
        </is>
      </c>
      <c r="E12" s="84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81" t="inlineStr">
        <is>
          <t>0,87</t>
        </is>
      </c>
      <c r="D13" s="81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84" t="inlineStr">
        <is>
          <t>Эскалация ДТ / ТОиР / ФОТ</t>
        </is>
      </c>
      <c r="C14" s="85" t="inlineStr">
        <is>
          <t>4 / 5 / 6%</t>
        </is>
      </c>
      <c r="D14" s="85" t="inlineStr">
        <is>
          <t>3–8%/год</t>
        </is>
      </c>
      <c r="E14" s="84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86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86" t="inlineStr">
        <is>
          <t>•  Расход ДТ — ключевой драйвер OPEX; уточняйте по факту двигателя, а не по паспорту.</t>
        </is>
      </c>
    </row>
    <row r="19">
      <c r="B19" s="86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2026-07-17T10:33:16Z</dcterms:created>
  <dcterms:modified xsi:type="dcterms:W3CDTF">2026-07-17T10:33:17Z</dcterms:modified>
</cp:coreProperties>
</file>