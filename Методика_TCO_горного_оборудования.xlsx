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одика" sheetId="1" state="visible" r:id="rId1"/>
    <sheet name="Параметры" sheetId="2" state="visible" r:id="rId2"/>
    <sheet name="Ввод данных" sheetId="3" state="visible" r:id="rId3"/>
    <sheet name="Расчёт TCO" sheetId="4" state="visible" r:id="rId4"/>
    <sheet name="Сравнение" sheetId="5" state="visible" r:id="rId5"/>
    <sheet name="Чувствительность" sheetId="6" state="visible" r:id="rId6"/>
    <sheet name="Справочни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  <font>
      <b val="1"/>
      <color rgb="001F3864"/>
      <sz val="12"/>
    </font>
    <font>
      <b val="1"/>
      <color rgb="00006100"/>
      <sz val="12"/>
    </font>
    <font>
      <b val="1"/>
      <color rgb="00C55A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7" fillId="6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0" borderId="1" pivotButton="0" quotePrefix="0" xfId="0"/>
    <xf numFmtId="3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TCO (NPV) по вариантам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'Сравнение'!$C$24:$F$24</f>
            </numRef>
          </cat>
          <val>
            <numRef>
              <f>'Сравнение'!$C$25:$F$25</f>
            </numRef>
          </val>
        </ser>
        <ser>
          <idx val="1"/>
          <order val="1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'Сравнение'!$C$24:$F$24</f>
            </numRef>
          </cat>
          <val>
            <numRef>
              <f>'Сравнение'!$C$26:$F$26</f>
            </numRef>
          </val>
        </ser>
        <ser>
          <idx val="2"/>
          <order val="2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'Сравнение'!$C$24:$F$24</f>
            </numRef>
          </cat>
          <val>
            <numRef>
              <f>'Сравнение'!$C$27:$F$27</f>
            </numRef>
          </val>
        </ser>
        <ser>
          <idx val="3"/>
          <order val="3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'Сравнение'!$C$24:$F$24</f>
            </numRef>
          </cat>
          <val>
            <numRef>
              <f>'Сравнение'!$C$28:$F$28</f>
            </numRef>
          </val>
        </ser>
        <ser>
          <idx val="4"/>
          <order val="4"/>
          <tx>
            <strRef>
              <f>'Сравнение'!$B$29</f>
            </strRef>
          </tx>
          <spPr>
            <a:ln>
              <a:prstDash val="solid"/>
            </a:ln>
          </spPr>
          <cat>
            <numRef>
              <f>'Сравнение'!$C$24:$F$24</f>
            </numRef>
          </cat>
          <val>
            <numRef>
              <f>'Сравнение'!$C$29:$F$29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Ден. ед. (NPV)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Удельный TCO на тонну продукции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'Сравнение'!$C$4:$F$4</f>
            </numRef>
          </cat>
          <val>
            <numRef>
              <f>'Сравнение'!$C$14:$F$14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/т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Совокупная стоимость владения TCO (NPV)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'Сравнение'!$C$4:$F$4</f>
            </numRef>
          </cat>
          <val>
            <numRef>
              <f>'Сравнение'!$C$10:$F$10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Ден. ед.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TCO (NPV) от базового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'Чувствительность'!$B$20:$B$23</f>
            </numRef>
          </cat>
          <val>
            <numRef>
              <f>'Чувствительность'!$I$20:$I$23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'Чувствительность'!$B$20:$B$23</f>
            </numRef>
          </cat>
          <val>
            <numRef>
              <f>'Чувствительность'!$J$20:$J$23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22</row>
      <rowOff>0</rowOff>
    </from>
    <ext cx="32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22</row>
      <rowOff>0</rowOff>
    </from>
    <ext cx="32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7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0" customWidth="1" min="3" max="3"/>
  </cols>
  <sheetData>
    <row r="1">
      <c r="B1" s="1" t="inlineStr">
        <is>
          <t>МЕТОДИКА ОЦЕНКИ СТОИМОСТИ ВЛАДЕНИЯ ГОРНЫХ МАШИН (TCO / LCC)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Сравнение вариантов оборудования одного класса на основе полного жизненного цикла.</t>
        </is>
      </c>
      <c r="C2" s="2" t="n"/>
      <c r="D2" s="2" t="n"/>
      <c r="E2" s="2" t="n"/>
      <c r="F2" s="2" t="n"/>
      <c r="G2" s="2" t="n"/>
      <c r="H2" s="2" t="n"/>
    </row>
    <row r="4">
      <c r="B4" s="4" t="n"/>
      <c r="C4" s="5" t="inlineStr">
        <is>
          <t>1. НАЗНАЧЕНИЕ</t>
        </is>
      </c>
    </row>
    <row r="5" ht="60" customHeight="1">
      <c r="C5" s="6" t="inlineStr">
        <is>
          <t>Модель предназначена для экономического сравнения нескольких моделей горного оборудования одного класса (экскаваторы, самосвалы, погрузчики, бульдозеры, буровые станки) по критерию совокупной стоимости владения за полный жизненный цикл (Total Cost of Ownership / Life Cycle Cost). Результат — обоснованный выбор варианта с минимальными приведёнными затратами на единицу продукции.</t>
        </is>
      </c>
    </row>
    <row r="6">
      <c r="B6" s="4" t="n"/>
      <c r="C6" s="5" t="inlineStr">
        <is>
          <t>2. СОСТАВ ЗАТРАТ ЖИЗНЕННОГО ЦИКЛА</t>
        </is>
      </c>
    </row>
    <row r="7" ht="30" customHeight="1">
      <c r="C7" s="6" t="inlineStr">
        <is>
          <t>• Капитальные (CAPEX): цена приобретения, доставка/монтаж/ПНР, стартовый ЗИП, финансирование (кредит/лизинг), за вычетом остаточной стоимости.</t>
        </is>
      </c>
    </row>
    <row r="8">
      <c r="C8" s="6" t="inlineStr">
        <is>
          <t>• Энергоносители: дизельное топливо или электроэнергия (ключевой драйвер OPEX).</t>
        </is>
      </c>
    </row>
    <row r="9">
      <c r="C9" s="6" t="inlineStr">
        <is>
          <t>• Смазочные материалы и технические жидкости.</t>
        </is>
      </c>
    </row>
    <row r="10" ht="30" customHeight="1">
      <c r="C10" s="6" t="inlineStr">
        <is>
          <t>• Расходные части и износ: шины (самосвалы, погрузчики) или ходовая часть/ГЭТ (экскаваторы, бульдозеры).</t>
        </is>
      </c>
    </row>
    <row r="11">
      <c r="C11" s="6" t="inlineStr">
        <is>
          <t>• ТОиР: плановое техническое обслуживание и капитальные ремонты (rebuild) основных узлов.</t>
        </is>
      </c>
    </row>
    <row r="12">
      <c r="C12" s="6" t="inlineStr">
        <is>
          <t>• Оплата труда операторов (с учётом сменности и полной стоимости персонала).</t>
        </is>
      </c>
    </row>
    <row r="13">
      <c r="C13" s="6" t="inlineStr">
        <is>
          <t>• Постоянные затраты: страхование, налоги, сборы.</t>
        </is>
      </c>
    </row>
    <row r="14">
      <c r="B14" s="4" t="n"/>
      <c r="C14" s="5" t="inlineStr">
        <is>
          <t>3. МЕТОДОЛОГИЯ РАСЧЁТА</t>
        </is>
      </c>
    </row>
    <row r="15" ht="60" customHeight="1">
      <c r="C15" s="6" t="inlineStr">
        <is>
          <t>Все потоки затрат приводятся к текущей стоимости (NPV) по ставке дисконтирования (WACC). Затраты каждой категории растут с индивидуальной эскалацией (топливо, труд, запчасти, инфляция) и приводятся через коэффициент растущего аннуитета GAF(g, r, N) = (1 − ((1+g)/(1+r))^N) / (r − g).</t>
        </is>
      </c>
    </row>
    <row r="16" ht="30" customHeight="1">
      <c r="C16" s="6" t="inlineStr">
        <is>
          <t>Капитальные ремонты аннуитизируются по наработке: годовые затраты = стоимость ремонта / межремонтная наработка × годовая наработка.</t>
        </is>
      </c>
    </row>
    <row r="17" ht="30" customHeight="1">
      <c r="C17" s="6" t="inlineStr">
        <is>
          <t>Финансирование: собственные средства учитываются в год 0; платежи по кредиту (аннуитет) дисконтируются за срок финансирования. Переплата по процентам входит в TCO.</t>
        </is>
      </c>
    </row>
    <row r="18" ht="45" customHeight="1">
      <c r="C18" s="6" t="inlineStr">
        <is>
          <t>Итоговые метрики: TCO (NPV); EAC — эквивалентная годовая стоимость = TCO / коэф. аннуитета(r, N); удельный TCO на мото-час; удельный TCO на тонну продукции (levelized cost) = EAC / годовой объём.</t>
        </is>
      </c>
    </row>
    <row r="19">
      <c r="B19" s="4" t="n"/>
      <c r="C19" s="5" t="inlineStr">
        <is>
          <t>4. ПОРЯДОК РАБОТЫ</t>
        </is>
      </c>
    </row>
    <row r="20">
      <c r="C20" s="6" t="inlineStr">
        <is>
          <t>Шаг 1. Лист «Параметры» — задайте макродопущения (ставка дисконтирования, цены топлива и труда, эскалации).</t>
        </is>
      </c>
    </row>
    <row r="21">
      <c r="C21" s="6" t="inlineStr">
        <is>
          <t>Шаг 2. Лист «Ввод данных» — заполните жёлтые ячейки по каждому из 1–4 вариантов (один класс техники).</t>
        </is>
      </c>
    </row>
    <row r="22">
      <c r="C22" s="6" t="inlineStr">
        <is>
          <t>Шаг 3. Лист «Расчёт TCO» — автоматический расчёт (просмотр детализации, менять не требуется).</t>
        </is>
      </c>
    </row>
    <row r="23">
      <c r="C23" s="6" t="inlineStr">
        <is>
          <t>Шаг 4. Лист «Сравнение» — итоговый дашборд, рейтинг, рекомендация и диаграммы.</t>
        </is>
      </c>
    </row>
    <row r="24">
      <c r="C24" s="6" t="inlineStr">
        <is>
          <t>Шаг 5. Лист «Чувствительность» — торнадо-анализ драйверов и влияние утилизации.</t>
        </is>
      </c>
    </row>
    <row r="25">
      <c r="C25" s="6" t="inlineStr">
        <is>
          <t>Лист «Справочник» — ориентировочные диапазоны для проверки исходных данных.</t>
        </is>
      </c>
    </row>
    <row r="26">
      <c r="B26" s="4" t="n"/>
      <c r="C26" s="5" t="inlineStr">
        <is>
          <t>5. ВАЖНЫЕ ДОПУЩЕНИЯ И ОГРАНИЧЕНИЯ</t>
        </is>
      </c>
    </row>
    <row r="27" ht="30" customHeight="1">
      <c r="C27" s="6" t="inlineStr">
        <is>
          <t>• Сравниваемые машины должны быть одного класса и решать одну производственную задачу (сопоставимая производительность). Разницу в производительности модель учитывает через удельный TCO на тонну.</t>
        </is>
      </c>
    </row>
    <row r="28" ht="30" customHeight="1">
      <c r="C28" s="6" t="inlineStr">
        <is>
          <t>• Затраты на ремонт равномерно распределены по наработке (без явного «старения»). При необходимости заложите рост через удельные затраты ТОиР.</t>
        </is>
      </c>
    </row>
    <row r="29">
      <c r="C29" s="6" t="inlineStr">
        <is>
          <t>• Ставка дисконтирования и эскалации должны быть согласованы (номинальные либо реальные).</t>
        </is>
      </c>
    </row>
    <row r="30">
      <c r="C30" s="6" t="inlineStr">
        <is>
          <t>• Ориентировочные значения справочника не заменяют данные поставщика и статистику эксплуатации.</t>
        </is>
      </c>
    </row>
    <row r="32">
      <c r="C32" s="7" t="inlineStr">
        <is>
          <t>Обозначения:</t>
        </is>
      </c>
    </row>
    <row r="33">
      <c r="B33" s="8" t="n"/>
      <c r="C33" s="9" t="inlineStr">
        <is>
          <t>жёлтые ячейки — ввод данных пользователем</t>
        </is>
      </c>
    </row>
    <row r="34">
      <c r="B34" s="10" t="n"/>
      <c r="C34" s="9" t="inlineStr">
        <is>
          <t>зелёные ячейки — итоговые показатели / лучший вариант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4" customWidth="1" min="3" max="3"/>
    <col width="16" customWidth="1" min="4" max="4"/>
    <col width="52" customWidth="1" min="5" max="5"/>
  </cols>
  <sheetData>
    <row r="1">
      <c r="B1" s="1" t="inlineStr">
        <is>
          <t>ГЛОБАЛЬНЫЕ ПАРАМЕТРЫ И МАКРОДОПУЩЕНИЯ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Единые для всех сравниваемых вариантов. Заполняйте жёлтые ячейки.</t>
        </is>
      </c>
      <c r="C2" s="2" t="n"/>
      <c r="D2" s="2" t="n"/>
      <c r="E2" s="2" t="n"/>
      <c r="F2" s="2" t="n"/>
      <c r="G2" s="2" t="n"/>
      <c r="H2" s="2" t="n"/>
    </row>
    <row r="4">
      <c r="B4" s="11" t="inlineStr">
        <is>
          <t>Параметр</t>
        </is>
      </c>
      <c r="C4" s="11" t="inlineStr">
        <is>
          <t>Значение</t>
        </is>
      </c>
      <c r="D4" s="11" t="inlineStr">
        <is>
          <t>Ед. изм.</t>
        </is>
      </c>
      <c r="E4" s="11" t="inlineStr">
        <is>
          <t>Комментарий</t>
        </is>
      </c>
    </row>
    <row r="5">
      <c r="B5" s="12" t="inlineStr">
        <is>
          <t>Валюта расчёта</t>
        </is>
      </c>
      <c r="C5" s="13" t="inlineStr">
        <is>
          <t>USD</t>
        </is>
      </c>
      <c r="D5" s="14" t="inlineStr">
        <is>
          <t>—</t>
        </is>
      </c>
      <c r="E5" s="15" t="inlineStr">
        <is>
          <t>Условная денежная единица (все суммы в ней)</t>
        </is>
      </c>
    </row>
    <row r="6">
      <c r="B6" s="12" t="inlineStr">
        <is>
          <t>Ставка дисконтирования (WACC)</t>
        </is>
      </c>
      <c r="C6" s="16" t="n">
        <v>0.12</v>
      </c>
      <c r="D6" s="14" t="inlineStr">
        <is>
          <t>%/год</t>
        </is>
      </c>
      <c r="E6" s="15" t="inlineStr">
        <is>
          <t>Стоимость капитала для приведения к текущей стоимости</t>
        </is>
      </c>
    </row>
    <row r="7">
      <c r="B7" s="12" t="inlineStr">
        <is>
          <t>Общая инфляция</t>
        </is>
      </c>
      <c r="C7" s="16" t="n">
        <v>0.04</v>
      </c>
      <c r="D7" s="14" t="inlineStr">
        <is>
          <t>%/год</t>
        </is>
      </c>
      <c r="E7" s="15" t="inlineStr">
        <is>
          <t>Рост постоянных затрат (страхование, налоги)</t>
        </is>
      </c>
    </row>
    <row r="8">
      <c r="B8" s="12" t="inlineStr">
        <is>
          <t>Эскалация цены топлива/энергии</t>
        </is>
      </c>
      <c r="C8" s="16" t="n">
        <v>0.05</v>
      </c>
      <c r="D8" s="14" t="inlineStr">
        <is>
          <t>%/год</t>
        </is>
      </c>
      <c r="E8" s="15" t="inlineStr">
        <is>
          <t>Прогнозный рост цен на дизтопливо/электроэнергию</t>
        </is>
      </c>
    </row>
    <row r="9">
      <c r="B9" s="12" t="inlineStr">
        <is>
          <t>Эскалация оплаты труда</t>
        </is>
      </c>
      <c r="C9" s="16" t="n">
        <v>0.06</v>
      </c>
      <c r="D9" s="14" t="inlineStr">
        <is>
          <t>%/год</t>
        </is>
      </c>
      <c r="E9" s="15" t="inlineStr">
        <is>
          <t>Прогнозный рост ФОТ операторов</t>
        </is>
      </c>
    </row>
    <row r="10">
      <c r="B10" s="12" t="inlineStr">
        <is>
          <t>Эскалация запчастей и ремонта</t>
        </is>
      </c>
      <c r="C10" s="16" t="n">
        <v>0.05</v>
      </c>
      <c r="D10" s="14" t="inlineStr">
        <is>
          <t>%/год</t>
        </is>
      </c>
      <c r="E10" s="15" t="inlineStr">
        <is>
          <t>Рост цен на ЗИП, шины/ГЭТ, услуги ТОиР</t>
        </is>
      </c>
    </row>
    <row r="11">
      <c r="B11" s="12" t="inlineStr">
        <is>
          <t>Цена дизельного топлива</t>
        </is>
      </c>
      <c r="C11" s="17" t="n">
        <v>0.9</v>
      </c>
      <c r="D11" s="14" t="inlineStr">
        <is>
          <t>/л</t>
        </is>
      </c>
      <c r="E11" s="15" t="inlineStr">
        <is>
          <t>Средняя цена на площадке эксплуатации</t>
        </is>
      </c>
    </row>
    <row r="12">
      <c r="B12" s="12" t="inlineStr">
        <is>
          <t>Цена электроэнергии</t>
        </is>
      </c>
      <c r="C12" s="17" t="n">
        <v>0.09</v>
      </c>
      <c r="D12" s="14" t="inlineStr">
        <is>
          <t>/кВт·ч</t>
        </is>
      </c>
      <c r="E12" s="15" t="inlineStr">
        <is>
          <t>Для электрических/гибридных машин</t>
        </is>
      </c>
    </row>
    <row r="13">
      <c r="B13" s="12" t="inlineStr">
        <is>
          <t>Оплата труда оператора (полная)</t>
        </is>
      </c>
      <c r="C13" s="17" t="n">
        <v>35</v>
      </c>
      <c r="D13" s="14" t="inlineStr">
        <is>
          <t>/ч</t>
        </is>
      </c>
      <c r="E13" s="15" t="inlineStr">
        <is>
          <t>С учётом налогов, СИЗ, обучения, накладных</t>
        </is>
      </c>
    </row>
    <row r="14">
      <c r="B14" s="12" t="inlineStr">
        <is>
          <t>Ценность продукции (выручка), опц.</t>
        </is>
      </c>
      <c r="C14" s="17" t="n">
        <v>0</v>
      </c>
      <c r="D14" s="14" t="inlineStr">
        <is>
          <t>/т</t>
        </is>
      </c>
      <c r="E14" s="15" t="inlineStr">
        <is>
          <t>Для анализа влияния простоев; 0 = не учитывать</t>
        </is>
      </c>
    </row>
    <row r="16">
      <c r="B16" s="7" t="inlineStr">
        <is>
          <t>Легенда:</t>
        </is>
      </c>
      <c r="C16" s="8" t="n"/>
      <c r="D16" s="18" t="inlineStr">
        <is>
          <t>— ячейки для ввода данных пользователем</t>
        </is>
      </c>
    </row>
    <row r="17">
      <c r="C17" s="10" t="n"/>
      <c r="D17" s="18" t="inlineStr">
        <is>
          <t>— расчётные итоговые показатели</t>
        </is>
      </c>
    </row>
  </sheetData>
  <mergeCells count="4">
    <mergeCell ref="B1:H1"/>
    <mergeCell ref="D17:E17"/>
    <mergeCell ref="B2:H2"/>
    <mergeCell ref="D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  <col width="40" customWidth="1" min="8" max="8"/>
  </cols>
  <sheetData>
    <row r="1">
      <c r="B1" s="1" t="inlineStr">
        <is>
          <t>ВВОД ИСХОДНЫХ ДАННЫХ ПО ВАРИАНТАМ ОБОРУДОВАНИЯ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Сравнение до 4-х моделей одного класса. Пример: гидравлические экскаваторы ~250 т.</t>
        </is>
      </c>
      <c r="C2" s="2" t="n"/>
      <c r="D2" s="2" t="n"/>
      <c r="E2" s="2" t="n"/>
      <c r="F2" s="2" t="n"/>
      <c r="G2" s="2" t="n"/>
      <c r="H2" s="2" t="n"/>
    </row>
    <row r="4">
      <c r="B4" s="11" t="inlineStr">
        <is>
          <t>Показатель</t>
        </is>
      </c>
      <c r="C4" s="11" t="inlineStr">
        <is>
          <t>Вариант 1</t>
        </is>
      </c>
      <c r="D4" s="11" t="inlineStr">
        <is>
          <t>Вариант 2</t>
        </is>
      </c>
      <c r="E4" s="11" t="inlineStr">
        <is>
          <t>Вариант 3</t>
        </is>
      </c>
      <c r="F4" s="11" t="inlineStr">
        <is>
          <t>Вариант 4</t>
        </is>
      </c>
      <c r="G4" s="11" t="inlineStr">
        <is>
          <t>Ед. изм.</t>
        </is>
      </c>
      <c r="H4" s="11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</row>
    <row r="7">
      <c r="B7" s="12" t="inlineStr">
        <is>
          <t>Наименование / модель</t>
        </is>
      </c>
      <c r="C7" s="19" t="inlineStr">
        <is>
          <t>Экскаватор A</t>
        </is>
      </c>
      <c r="D7" s="19" t="inlineStr">
        <is>
          <t>Экскаватор B</t>
        </is>
      </c>
      <c r="E7" s="19" t="inlineStr">
        <is>
          <t>Экскаватор C</t>
        </is>
      </c>
      <c r="F7" s="19" t="inlineStr">
        <is>
          <t>Экскаватор D</t>
        </is>
      </c>
      <c r="G7" s="14" t="inlineStr">
        <is>
          <t>—</t>
        </is>
      </c>
      <c r="H7" s="15" t="inlineStr">
        <is>
          <t>Название варианта</t>
        </is>
      </c>
    </row>
    <row r="8">
      <c r="B8" s="12" t="inlineStr">
        <is>
          <t>Производитель</t>
        </is>
      </c>
      <c r="C8" s="19" t="inlineStr">
        <is>
          <t>Поставщик 1</t>
        </is>
      </c>
      <c r="D8" s="19" t="inlineStr">
        <is>
          <t>Поставщик 2</t>
        </is>
      </c>
      <c r="E8" s="19" t="inlineStr">
        <is>
          <t>Поставщик 3</t>
        </is>
      </c>
      <c r="F8" s="19" t="inlineStr">
        <is>
          <t>Поставщик 4</t>
        </is>
      </c>
      <c r="G8" s="14" t="inlineStr">
        <is>
          <t>—</t>
        </is>
      </c>
      <c r="H8" s="15" t="inlineStr"/>
    </row>
    <row r="9">
      <c r="B9" s="12" t="inlineStr">
        <is>
          <t>Класс / тип</t>
        </is>
      </c>
      <c r="C9" s="19" t="inlineStr">
        <is>
          <t>Гидравл. экскаватор</t>
        </is>
      </c>
      <c r="D9" s="19" t="inlineStr">
        <is>
          <t>Гидравл. экскаватор</t>
        </is>
      </c>
      <c r="E9" s="19" t="inlineStr">
        <is>
          <t>Гидравл. экскаватор</t>
        </is>
      </c>
      <c r="F9" s="19" t="inlineStr">
        <is>
          <t>Гидравл. экскаватор</t>
        </is>
      </c>
      <c r="G9" s="14" t="inlineStr">
        <is>
          <t>—</t>
        </is>
      </c>
      <c r="H9" s="15" t="inlineStr">
        <is>
          <t>Один класс для корректного сравнения</t>
        </is>
      </c>
    </row>
    <row r="10">
      <c r="B10" s="12" t="inlineStr">
        <is>
          <t>Тип привода</t>
        </is>
      </c>
      <c r="C10" s="19" t="inlineStr">
        <is>
          <t>Дизель</t>
        </is>
      </c>
      <c r="D10" s="19" t="inlineStr">
        <is>
          <t>Дизель</t>
        </is>
      </c>
      <c r="E10" s="19" t="inlineStr">
        <is>
          <t>Дизель</t>
        </is>
      </c>
      <c r="F10" s="19" t="inlineStr">
        <is>
          <t>Дизель</t>
        </is>
      </c>
      <c r="G10" s="14" t="inlineStr">
        <is>
          <t>—</t>
        </is>
      </c>
      <c r="H10" s="15" t="inlineStr">
        <is>
          <t>Дизель / Электро / Гибрид</t>
        </is>
      </c>
    </row>
    <row r="11">
      <c r="B11" s="5" t="inlineStr">
        <is>
          <t>B. ТЕХНИЧЕСКИЕ ХАРАКТЕРИСТИКИ</t>
        </is>
      </c>
      <c r="C11" s="4" t="n"/>
      <c r="D11" s="4" t="n"/>
      <c r="E11" s="4" t="n"/>
      <c r="F11" s="4" t="n"/>
      <c r="G11" s="4" t="n"/>
      <c r="H11" s="4" t="n"/>
    </row>
    <row r="12">
      <c r="B12" s="12" t="inlineStr">
        <is>
          <t>Номинальная мощность</t>
        </is>
      </c>
      <c r="C12" s="20" t="n">
        <v>1500</v>
      </c>
      <c r="D12" s="20" t="n">
        <v>1400</v>
      </c>
      <c r="E12" s="20" t="n">
        <v>1600</v>
      </c>
      <c r="F12" s="20" t="n">
        <v>1520</v>
      </c>
      <c r="G12" s="14" t="inlineStr">
        <is>
          <t>кВт</t>
        </is>
      </c>
      <c r="H12" s="15" t="inlineStr">
        <is>
          <t>Мощность двигателя/привода</t>
        </is>
      </c>
    </row>
    <row r="13">
      <c r="B13" s="12" t="inlineStr">
        <is>
          <t>Эксплуатационная масса</t>
        </is>
      </c>
      <c r="C13" s="21" t="n">
        <v>250</v>
      </c>
      <c r="D13" s="21" t="n">
        <v>248</v>
      </c>
      <c r="E13" s="21" t="n">
        <v>255</v>
      </c>
      <c r="F13" s="21" t="n">
        <v>251</v>
      </c>
      <c r="G13" s="14" t="inlineStr">
        <is>
          <t>т</t>
        </is>
      </c>
      <c r="H13" s="15" t="inlineStr"/>
    </row>
    <row r="14">
      <c r="B14" s="12" t="inlineStr">
        <is>
          <t>Ёмкость ковша / грузоподъём.</t>
        </is>
      </c>
      <c r="C14" s="21" t="n">
        <v>15</v>
      </c>
      <c r="D14" s="21" t="n">
        <v>15</v>
      </c>
      <c r="E14" s="21" t="n">
        <v>16</v>
      </c>
      <c r="F14" s="21" t="n">
        <v>15</v>
      </c>
      <c r="G14" s="14" t="inlineStr">
        <is>
          <t>м³/т</t>
        </is>
      </c>
      <c r="H14" s="15" t="inlineStr">
        <is>
          <t>Ковш (экскаватор) или г/п (самосвал)</t>
        </is>
      </c>
    </row>
    <row r="15">
      <c r="B15" s="5" t="inlineStr">
        <is>
          <t>C. РЕЖИМ ЭКСПЛУАТАЦИИ</t>
        </is>
      </c>
      <c r="C15" s="4" t="n"/>
      <c r="D15" s="4" t="n"/>
      <c r="E15" s="4" t="n"/>
      <c r="F15" s="4" t="n"/>
      <c r="G15" s="4" t="n"/>
      <c r="H15" s="4" t="n"/>
    </row>
    <row r="16">
      <c r="B16" s="12" t="inlineStr">
        <is>
          <t>Срок службы (горизонт анализа)</t>
        </is>
      </c>
      <c r="C16" s="20" t="n">
        <v>10</v>
      </c>
      <c r="D16" s="20" t="n">
        <v>10</v>
      </c>
      <c r="E16" s="20" t="n">
        <v>10</v>
      </c>
      <c r="F16" s="20" t="n">
        <v>10</v>
      </c>
      <c r="G16" s="14" t="inlineStr">
        <is>
          <t>лет</t>
        </is>
      </c>
      <c r="H16" s="15" t="inlineStr">
        <is>
          <t>Расчётный срок владения</t>
        </is>
      </c>
    </row>
    <row r="17">
      <c r="B17" s="12" t="inlineStr">
        <is>
          <t>Наработка в год</t>
        </is>
      </c>
      <c r="C17" s="20" t="n">
        <v>5500</v>
      </c>
      <c r="D17" s="20" t="n">
        <v>5500</v>
      </c>
      <c r="E17" s="20" t="n">
        <v>5500</v>
      </c>
      <c r="F17" s="20" t="n">
        <v>5500</v>
      </c>
      <c r="G17" s="14" t="inlineStr">
        <is>
          <t>мото-ч/год</t>
        </is>
      </c>
      <c r="H17" s="15" t="inlineStr">
        <is>
          <t>Годовой фонд рабочего времени машины</t>
        </is>
      </c>
    </row>
    <row r="18">
      <c r="B18" s="12" t="inlineStr">
        <is>
          <t>Коэф. технической готовности</t>
        </is>
      </c>
      <c r="C18" s="22" t="n">
        <v>0.85</v>
      </c>
      <c r="D18" s="22" t="n">
        <v>0.85</v>
      </c>
      <c r="E18" s="22" t="n">
        <v>0.85</v>
      </c>
      <c r="F18" s="22" t="n">
        <v>0.85</v>
      </c>
      <c r="G18" s="14" t="inlineStr">
        <is>
          <t>%</t>
        </is>
      </c>
      <c r="H18" s="15" t="inlineStr">
        <is>
          <t>Справочно (надёжность/ремонтопригодность)</t>
        </is>
      </c>
    </row>
    <row r="19">
      <c r="B19" s="12" t="inlineStr">
        <is>
          <t>Коэф. использования</t>
        </is>
      </c>
      <c r="C19" s="22" t="n">
        <v>0.85</v>
      </c>
      <c r="D19" s="22" t="n">
        <v>0.85</v>
      </c>
      <c r="E19" s="22" t="n">
        <v>0.85</v>
      </c>
      <c r="F19" s="22" t="n">
        <v>0.85</v>
      </c>
      <c r="G19" s="14" t="inlineStr">
        <is>
          <t>%</t>
        </is>
      </c>
      <c r="H19" s="15" t="inlineStr">
        <is>
          <t>Доля рабочего времени в готовом времени</t>
        </is>
      </c>
    </row>
    <row r="20">
      <c r="B20" s="12" t="inlineStr">
        <is>
          <t>Эксплуатац. производительность</t>
        </is>
      </c>
      <c r="C20" s="20" t="n">
        <v>2500</v>
      </c>
      <c r="D20" s="20" t="n">
        <v>2450</v>
      </c>
      <c r="E20" s="20" t="n">
        <v>2550</v>
      </c>
      <c r="F20" s="20" t="n">
        <v>2500</v>
      </c>
      <c r="G20" s="14" t="inlineStr">
        <is>
          <t>т/мото-ч</t>
        </is>
      </c>
      <c r="H20" s="15" t="inlineStr">
        <is>
          <t>Фактич. производит. за мото-час работы</t>
        </is>
      </c>
    </row>
    <row r="21">
      <c r="B21" s="5" t="inlineStr">
        <is>
          <t>D. КАПИТАЛЬНЫЕ ЗАТРАТЫ (CAPEX)</t>
        </is>
      </c>
      <c r="C21" s="4" t="n"/>
      <c r="D21" s="4" t="n"/>
      <c r="E21" s="4" t="n"/>
      <c r="F21" s="4" t="n"/>
      <c r="G21" s="4" t="n"/>
      <c r="H21" s="4" t="n"/>
    </row>
    <row r="22">
      <c r="B22" s="12" t="inlineStr">
        <is>
          <t>Цена приобретения</t>
        </is>
      </c>
      <c r="C22" s="20" t="n">
        <v>4500000</v>
      </c>
      <c r="D22" s="20" t="n">
        <v>4200000</v>
      </c>
      <c r="E22" s="20" t="n">
        <v>5000000</v>
      </c>
      <c r="F22" s="20" t="n">
        <v>4700000</v>
      </c>
      <c r="G22" s="14" t="inlineStr"/>
      <c r="H22" s="15" t="inlineStr">
        <is>
          <t>Стоимость машины (без доставки)</t>
        </is>
      </c>
    </row>
    <row r="23">
      <c r="B23" s="12" t="inlineStr">
        <is>
          <t>Доставка, монтаж, ПНР</t>
        </is>
      </c>
      <c r="C23" s="20" t="n">
        <v>150000</v>
      </c>
      <c r="D23" s="20" t="n">
        <v>150000</v>
      </c>
      <c r="E23" s="20" t="n">
        <v>160000</v>
      </c>
      <c r="F23" s="20" t="n">
        <v>155000</v>
      </c>
      <c r="G23" s="14" t="inlineStr"/>
      <c r="H23" s="15" t="inlineStr">
        <is>
          <t>Логистика, сборка, пуско-наладка</t>
        </is>
      </c>
    </row>
    <row r="24">
      <c r="B24" s="12" t="inlineStr">
        <is>
          <t>Стартовый комплект ЗИП</t>
        </is>
      </c>
      <c r="C24" s="20" t="n">
        <v>120000</v>
      </c>
      <c r="D24" s="20" t="n">
        <v>110000</v>
      </c>
      <c r="E24" s="20" t="n">
        <v>140000</v>
      </c>
      <c r="F24" s="20" t="n">
        <v>125000</v>
      </c>
      <c r="G24" s="14" t="inlineStr"/>
      <c r="H24" s="15" t="inlineStr">
        <is>
          <t>Первичный запас запчастей</t>
        </is>
      </c>
    </row>
    <row r="25">
      <c r="B25" s="12" t="inlineStr">
        <is>
          <t>Остаточная стоимость</t>
        </is>
      </c>
      <c r="C25" s="22" t="n">
        <v>0.14</v>
      </c>
      <c r="D25" s="22" t="n">
        <v>0.11</v>
      </c>
      <c r="E25" s="22" t="n">
        <v>0.16</v>
      </c>
      <c r="F25" s="22" t="n">
        <v>0.13</v>
      </c>
      <c r="G25" s="14" t="inlineStr">
        <is>
          <t>% от цены</t>
        </is>
      </c>
      <c r="H25" s="15" t="inlineStr">
        <is>
          <t>Стоимость реализации в конце срока</t>
        </is>
      </c>
    </row>
    <row r="26">
      <c r="B26" s="12" t="inlineStr">
        <is>
          <t>Доля заёмного финансирования</t>
        </is>
      </c>
      <c r="C26" s="22" t="n">
        <v>0.6</v>
      </c>
      <c r="D26" s="22" t="n">
        <v>0.6</v>
      </c>
      <c r="E26" s="22" t="n">
        <v>0.6</v>
      </c>
      <c r="F26" s="22" t="n">
        <v>0.6</v>
      </c>
      <c r="G26" s="14" t="inlineStr">
        <is>
          <t>%</t>
        </is>
      </c>
      <c r="H26" s="15" t="inlineStr">
        <is>
          <t>Кредит/лизинг; 0 = покупка за свои</t>
        </is>
      </c>
    </row>
    <row r="27">
      <c r="B27" s="12" t="inlineStr">
        <is>
          <t>Ставка кредита / лизинга</t>
        </is>
      </c>
      <c r="C27" s="22" t="n">
        <v>0.08</v>
      </c>
      <c r="D27" s="22" t="n">
        <v>0.08</v>
      </c>
      <c r="E27" s="22" t="n">
        <v>0.08</v>
      </c>
      <c r="F27" s="22" t="n">
        <v>0.08</v>
      </c>
      <c r="G27" s="14" t="inlineStr">
        <is>
          <t>%/год</t>
        </is>
      </c>
      <c r="H27" s="15" t="inlineStr">
        <is>
          <t>Годовая ставка финансирования</t>
        </is>
      </c>
    </row>
    <row r="28">
      <c r="B28" s="12" t="inlineStr">
        <is>
          <t>Срок финансирования</t>
        </is>
      </c>
      <c r="C28" s="20" t="n">
        <v>6</v>
      </c>
      <c r="D28" s="20" t="n">
        <v>6</v>
      </c>
      <c r="E28" s="20" t="n">
        <v>6</v>
      </c>
      <c r="F28" s="20" t="n">
        <v>6</v>
      </c>
      <c r="G28" s="14" t="inlineStr">
        <is>
          <t>лет</t>
        </is>
      </c>
      <c r="H28" s="15" t="inlineStr">
        <is>
          <t>Период погашения кредита</t>
        </is>
      </c>
    </row>
    <row r="29">
      <c r="B29" s="5" t="inlineStr">
        <is>
          <t>E. ЭНЕРГОНОСИТЕЛИ</t>
        </is>
      </c>
      <c r="C29" s="4" t="n"/>
      <c r="D29" s="4" t="n"/>
      <c r="E29" s="4" t="n"/>
      <c r="F29" s="4" t="n"/>
      <c r="G29" s="4" t="n"/>
      <c r="H29" s="4" t="n"/>
    </row>
    <row r="30">
      <c r="B30" s="12" t="inlineStr">
        <is>
          <t>Удельный расход топлива</t>
        </is>
      </c>
      <c r="C30" s="21" t="n">
        <v>300</v>
      </c>
      <c r="D30" s="21" t="n">
        <v>325</v>
      </c>
      <c r="E30" s="21" t="n">
        <v>275</v>
      </c>
      <c r="F30" s="21" t="n">
        <v>290</v>
      </c>
      <c r="G30" s="14" t="inlineStr">
        <is>
          <t>л/мото-ч</t>
        </is>
      </c>
      <c r="H30" s="15" t="inlineStr">
        <is>
          <t>Ключевой драйвер OPEX</t>
        </is>
      </c>
    </row>
    <row r="31">
      <c r="B31" s="12" t="inlineStr">
        <is>
          <t>Удельный расход электроэнергии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14" t="inlineStr">
        <is>
          <t>кВт·ч/мото-ч</t>
        </is>
      </c>
      <c r="H31" s="15" t="inlineStr">
        <is>
          <t>Для электро/гибрид; иначе 0</t>
        </is>
      </c>
    </row>
    <row r="32">
      <c r="B32" s="12" t="inlineStr">
        <is>
          <t>Смазочные материалы</t>
        </is>
      </c>
      <c r="C32" s="22" t="n">
        <v>0.12</v>
      </c>
      <c r="D32" s="22" t="n">
        <v>0.12</v>
      </c>
      <c r="E32" s="22" t="n">
        <v>0.12</v>
      </c>
      <c r="F32" s="22" t="n">
        <v>0.12</v>
      </c>
      <c r="G32" s="14" t="inlineStr">
        <is>
          <t>% от топлива</t>
        </is>
      </c>
      <c r="H32" s="15" t="inlineStr">
        <is>
          <t>Масла, смазки, охл. жидкости</t>
        </is>
      </c>
    </row>
    <row r="33">
      <c r="B33" s="5" t="inlineStr">
        <is>
          <t>F. РАСХОДНЫЕ ЧАСТИ / ИЗНОС</t>
        </is>
      </c>
      <c r="C33" s="4" t="n"/>
      <c r="D33" s="4" t="n"/>
      <c r="E33" s="4" t="n"/>
      <c r="F33" s="4" t="n"/>
      <c r="G33" s="4" t="n"/>
      <c r="H33" s="4" t="n"/>
    </row>
    <row r="34">
      <c r="B34" s="12" t="inlineStr">
        <is>
          <t>Стоимость комплекта шин/гус./ГЭТ</t>
        </is>
      </c>
      <c r="C34" s="20" t="n">
        <v>350000</v>
      </c>
      <c r="D34" s="20" t="n">
        <v>340000</v>
      </c>
      <c r="E34" s="20" t="n">
        <v>360000</v>
      </c>
      <c r="F34" s="20" t="n">
        <v>350000</v>
      </c>
      <c r="G34" s="14" t="inlineStr"/>
      <c r="H34" s="15" t="inlineStr">
        <is>
          <t>Шины (самосвал) или ходовая (экскаватор)</t>
        </is>
      </c>
    </row>
    <row r="35">
      <c r="B35" s="12" t="inlineStr">
        <is>
          <t>Ресурс комплекта</t>
        </is>
      </c>
      <c r="C35" s="20" t="n">
        <v>15000</v>
      </c>
      <c r="D35" s="20" t="n">
        <v>14000</v>
      </c>
      <c r="E35" s="20" t="n">
        <v>16000</v>
      </c>
      <c r="F35" s="20" t="n">
        <v>15000</v>
      </c>
      <c r="G35" s="14" t="inlineStr">
        <is>
          <t>мото-ч</t>
        </is>
      </c>
      <c r="H35" s="15" t="inlineStr">
        <is>
          <t>Наработка до полной замены</t>
        </is>
      </c>
    </row>
    <row r="36">
      <c r="B36" s="5" t="inlineStr">
        <is>
          <t>G. ТЕХОБСЛУЖИВАНИЕ И РЕМОНТ (ТОиР)</t>
        </is>
      </c>
      <c r="C36" s="4" t="n"/>
      <c r="D36" s="4" t="n"/>
      <c r="E36" s="4" t="n"/>
      <c r="F36" s="4" t="n"/>
      <c r="G36" s="4" t="n"/>
      <c r="H36" s="4" t="n"/>
    </row>
    <row r="37">
      <c r="B37" s="12" t="inlineStr">
        <is>
          <t>Удельные затраты на ТО (плановое)</t>
        </is>
      </c>
      <c r="C37" s="23" t="n">
        <v>40</v>
      </c>
      <c r="D37" s="23" t="n">
        <v>46</v>
      </c>
      <c r="E37" s="23" t="n">
        <v>34</v>
      </c>
      <c r="F37" s="23" t="n">
        <v>38</v>
      </c>
      <c r="G37" s="14" t="inlineStr">
        <is>
          <t>/мото-ч</t>
        </is>
      </c>
      <c r="H37" s="15" t="inlineStr">
        <is>
          <t>Плановое ТО, фильтры, работы</t>
        </is>
      </c>
    </row>
    <row r="38">
      <c r="B38" s="12" t="inlineStr">
        <is>
          <t>Стоимость капитального ремонта</t>
        </is>
      </c>
      <c r="C38" s="20" t="n">
        <v>700000</v>
      </c>
      <c r="D38" s="20" t="n">
        <v>650000</v>
      </c>
      <c r="E38" s="20" t="n">
        <v>800000</v>
      </c>
      <c r="F38" s="20" t="n">
        <v>720000</v>
      </c>
      <c r="G38" s="14" t="inlineStr"/>
      <c r="H38" s="15" t="inlineStr">
        <is>
          <t>Стоимость одного капремонта/rebuild</t>
        </is>
      </c>
    </row>
    <row r="39">
      <c r="B39" s="12" t="inlineStr">
        <is>
          <t>Периодичность капремонта</t>
        </is>
      </c>
      <c r="C39" s="20" t="n">
        <v>20000</v>
      </c>
      <c r="D39" s="20" t="n">
        <v>18000</v>
      </c>
      <c r="E39" s="20" t="n">
        <v>24000</v>
      </c>
      <c r="F39" s="20" t="n">
        <v>21000</v>
      </c>
      <c r="G39" s="14" t="inlineStr">
        <is>
          <t>мото-ч</t>
        </is>
      </c>
      <c r="H39" s="15" t="inlineStr">
        <is>
          <t>Наработка между капремонтами</t>
        </is>
      </c>
    </row>
    <row r="40">
      <c r="B40" s="5" t="inlineStr">
        <is>
          <t>H. ПЕРСОНАЛ</t>
        </is>
      </c>
      <c r="C40" s="4" t="n"/>
      <c r="D40" s="4" t="n"/>
      <c r="E40" s="4" t="n"/>
      <c r="F40" s="4" t="n"/>
      <c r="G40" s="4" t="n"/>
      <c r="H40" s="4" t="n"/>
    </row>
    <row r="41">
      <c r="B41" s="12" t="inlineStr">
        <is>
          <t>Операторов на машину (сменность)</t>
        </is>
      </c>
      <c r="C41" s="23" t="n">
        <v>1.05</v>
      </c>
      <c r="D41" s="23" t="n">
        <v>1.05</v>
      </c>
      <c r="E41" s="23" t="n">
        <v>1.05</v>
      </c>
      <c r="F41" s="23" t="n">
        <v>1.05</v>
      </c>
      <c r="G41" s="14" t="inlineStr">
        <is>
          <t>чел.·смен</t>
        </is>
      </c>
      <c r="H41" s="15" t="inlineStr">
        <is>
          <t>Коэф. с учётом подмены; ЗП из 'Параметры'</t>
        </is>
      </c>
    </row>
    <row r="42">
      <c r="B42" s="5" t="inlineStr">
        <is>
          <t>I. ПРОЧИЕ ГОДОВЫЕ ЗАТРАТЫ</t>
        </is>
      </c>
      <c r="C42" s="4" t="n"/>
      <c r="D42" s="4" t="n"/>
      <c r="E42" s="4" t="n"/>
      <c r="F42" s="4" t="n"/>
      <c r="G42" s="4" t="n"/>
      <c r="H42" s="4" t="n"/>
    </row>
    <row r="43">
      <c r="B43" s="12" t="inlineStr">
        <is>
          <t>Страхование</t>
        </is>
      </c>
      <c r="C43" s="24" t="n">
        <v>0.01</v>
      </c>
      <c r="D43" s="24" t="n">
        <v>0.01</v>
      </c>
      <c r="E43" s="24" t="n">
        <v>0.01</v>
      </c>
      <c r="F43" s="24" t="n">
        <v>0.01</v>
      </c>
      <c r="G43" s="14" t="inlineStr">
        <is>
          <t>% от цены/год</t>
        </is>
      </c>
      <c r="H43" s="15" t="inlineStr">
        <is>
          <t>Годовая ставка страхования</t>
        </is>
      </c>
    </row>
    <row r="44">
      <c r="B44" s="12" t="inlineStr">
        <is>
          <t>Налоги и прочее</t>
        </is>
      </c>
      <c r="C44" s="24" t="n">
        <v>0.005</v>
      </c>
      <c r="D44" s="24" t="n">
        <v>0.005</v>
      </c>
      <c r="E44" s="24" t="n">
        <v>0.005</v>
      </c>
      <c r="F44" s="24" t="n">
        <v>0.005</v>
      </c>
      <c r="G44" s="14" t="inlineStr">
        <is>
          <t>% от цены/год</t>
        </is>
      </c>
      <c r="H44" s="15" t="inlineStr">
        <is>
          <t>Имущественные налоги, сборы</t>
        </is>
      </c>
    </row>
  </sheetData>
  <mergeCells count="11">
    <mergeCell ref="B36:H36"/>
    <mergeCell ref="B40:H40"/>
    <mergeCell ref="B42:H42"/>
    <mergeCell ref="B1:H1"/>
    <mergeCell ref="B21:H21"/>
    <mergeCell ref="B6:H6"/>
    <mergeCell ref="B2:H2"/>
    <mergeCell ref="B15:H15"/>
    <mergeCell ref="B29:H29"/>
    <mergeCell ref="B11:H11"/>
    <mergeCell ref="B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B1" s="1" t="inlineStr">
        <is>
          <t>РАСЧЁТ СОВОКУПНОЙ СТОИМОСТИ ВЛАДЕНИЯ (TCO / LCC)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Модель дисконтированного жизненного цикла. Значения рассчитываются автоматически.</t>
        </is>
      </c>
      <c r="C2" s="2" t="n"/>
      <c r="D2" s="2" t="n"/>
      <c r="E2" s="2" t="n"/>
      <c r="F2" s="2" t="n"/>
      <c r="G2" s="2" t="n"/>
      <c r="H2" s="2" t="n"/>
    </row>
    <row r="4">
      <c r="B4" s="11" t="inlineStr">
        <is>
          <t>Статья</t>
        </is>
      </c>
      <c r="C4" s="11">
        <f>'Ввод данных'!C7</f>
        <v/>
      </c>
      <c r="D4" s="11">
        <f>'Ввод данных'!D7</f>
        <v/>
      </c>
      <c r="E4" s="11">
        <f>'Ввод данных'!E7</f>
        <v/>
      </c>
      <c r="F4" s="11">
        <f>'Ввод данных'!F7</f>
        <v/>
      </c>
      <c r="G4" s="11" t="inlineStr">
        <is>
          <t>Ед. изм.</t>
        </is>
      </c>
    </row>
    <row r="5">
      <c r="B5" s="5" t="inlineStr">
        <is>
          <t>ПРОИЗВОДСТВЕННЫЕ ПОКАЗАТЕЛИ</t>
        </is>
      </c>
      <c r="C5" s="4" t="n"/>
      <c r="D5" s="4" t="n"/>
      <c r="E5" s="4" t="n"/>
      <c r="F5" s="4" t="n"/>
      <c r="G5" s="4" t="n"/>
    </row>
    <row r="6">
      <c r="B6" s="12" t="inlineStr">
        <is>
          <t>Наработка за срок службы</t>
        </is>
      </c>
      <c r="C6" s="25">
        <f>'Ввод данных'!C17*'Ввод данных'!C16</f>
        <v/>
      </c>
      <c r="D6" s="25">
        <f>'Ввод данных'!D17*'Ввод данных'!D16</f>
        <v/>
      </c>
      <c r="E6" s="25">
        <f>'Ввод данных'!E17*'Ввод данных'!E16</f>
        <v/>
      </c>
      <c r="F6" s="25">
        <f>'Ввод данных'!F17*'Ввод данных'!F16</f>
        <v/>
      </c>
      <c r="G6" s="14" t="inlineStr">
        <is>
          <t>мото-ч</t>
        </is>
      </c>
    </row>
    <row r="7">
      <c r="B7" s="12" t="inlineStr">
        <is>
          <t>Годовой объём производства</t>
        </is>
      </c>
      <c r="C7" s="25">
        <f>'Ввод данных'!C17*'Ввод данных'!C20</f>
        <v/>
      </c>
      <c r="D7" s="25">
        <f>'Ввод данных'!D17*'Ввод данных'!D20</f>
        <v/>
      </c>
      <c r="E7" s="25">
        <f>'Ввод данных'!E17*'Ввод данных'!E20</f>
        <v/>
      </c>
      <c r="F7" s="25">
        <f>'Ввод данных'!F17*'Ввод данных'!F20</f>
        <v/>
      </c>
      <c r="G7" s="14" t="inlineStr">
        <is>
          <t>т/год</t>
        </is>
      </c>
    </row>
    <row r="8">
      <c r="B8" s="12" t="inlineStr">
        <is>
          <t>Полный объём производства за срок</t>
        </is>
      </c>
      <c r="C8" s="25">
        <f>C7*'Ввод данных'!C16</f>
        <v/>
      </c>
      <c r="D8" s="25">
        <f>D7*'Ввод данных'!D16</f>
        <v/>
      </c>
      <c r="E8" s="25">
        <f>E7*'Ввод данных'!E16</f>
        <v/>
      </c>
      <c r="F8" s="25">
        <f>F7*'Ввод данных'!F16</f>
        <v/>
      </c>
      <c r="G8" s="14" t="inlineStr">
        <is>
          <t>т</t>
        </is>
      </c>
    </row>
    <row r="9">
      <c r="B9" s="5" t="inlineStr">
        <is>
          <t>ГОДОВЫЕ ЭКСПЛУАТАЦИОННЫЕ ЗАТРАТЫ (в ценах 1-го года)</t>
        </is>
      </c>
      <c r="C9" s="4" t="n"/>
      <c r="D9" s="4" t="n"/>
      <c r="E9" s="4" t="n"/>
      <c r="F9" s="4" t="n"/>
      <c r="G9" s="4" t="n"/>
    </row>
    <row r="10">
      <c r="B10" s="12" t="inlineStr">
        <is>
          <t>Топливо</t>
        </is>
      </c>
      <c r="C10" s="25">
        <f>'Ввод данных'!C17*'Ввод данных'!C30*'Параметры'!C11</f>
        <v/>
      </c>
      <c r="D10" s="25">
        <f>'Ввод данных'!D17*'Ввод данных'!D30*'Параметры'!C11</f>
        <v/>
      </c>
      <c r="E10" s="25">
        <f>'Ввод данных'!E17*'Ввод данных'!E30*'Параметры'!C11</f>
        <v/>
      </c>
      <c r="F10" s="25">
        <f>'Ввод данных'!F17*'Ввод данных'!F30*'Параметры'!C11</f>
        <v/>
      </c>
      <c r="G10" s="14" t="inlineStr"/>
    </row>
    <row r="11">
      <c r="B11" s="12" t="inlineStr">
        <is>
          <t>Электроэнергия</t>
        </is>
      </c>
      <c r="C11" s="25">
        <f>'Ввод данных'!C17*'Ввод данных'!C31*'Параметры'!C12</f>
        <v/>
      </c>
      <c r="D11" s="25">
        <f>'Ввод данных'!D17*'Ввод данных'!D31*'Параметры'!C12</f>
        <v/>
      </c>
      <c r="E11" s="25">
        <f>'Ввод данных'!E17*'Ввод данных'!E31*'Параметры'!C12</f>
        <v/>
      </c>
      <c r="F11" s="25">
        <f>'Ввод данных'!F17*'Ввод данных'!F31*'Параметры'!C12</f>
        <v/>
      </c>
      <c r="G11" s="14" t="inlineStr"/>
    </row>
    <row r="12">
      <c r="B12" s="12" t="inlineStr">
        <is>
          <t>Смазочные материалы</t>
        </is>
      </c>
      <c r="C12" s="25">
        <f>C10*'Ввод данных'!C32</f>
        <v/>
      </c>
      <c r="D12" s="25">
        <f>D10*'Ввод данных'!D32</f>
        <v/>
      </c>
      <c r="E12" s="25">
        <f>E10*'Ввод данных'!E32</f>
        <v/>
      </c>
      <c r="F12" s="25">
        <f>F10*'Ввод данных'!F32</f>
        <v/>
      </c>
      <c r="G12" s="14" t="inlineStr"/>
    </row>
    <row r="13">
      <c r="B13" s="12" t="inlineStr">
        <is>
          <t>Шины / гусеницы / ГЭТ</t>
        </is>
      </c>
      <c r="C13" s="25">
        <f>'Ввод данных'!C34/'Ввод данных'!C35*'Ввод данных'!C17</f>
        <v/>
      </c>
      <c r="D13" s="25">
        <f>'Ввод данных'!D34/'Ввод данных'!D35*'Ввод данных'!D17</f>
        <v/>
      </c>
      <c r="E13" s="25">
        <f>'Ввод данных'!E34/'Ввод данных'!E35*'Ввод данных'!E17</f>
        <v/>
      </c>
      <c r="F13" s="25">
        <f>'Ввод данных'!F34/'Ввод данных'!F35*'Ввод данных'!F17</f>
        <v/>
      </c>
      <c r="G13" s="14" t="inlineStr"/>
    </row>
    <row r="14">
      <c r="B14" s="12" t="inlineStr">
        <is>
          <t>ТО плановое</t>
        </is>
      </c>
      <c r="C14" s="25">
        <f>'Ввод данных'!C37*'Ввод данных'!C17</f>
        <v/>
      </c>
      <c r="D14" s="25">
        <f>'Ввод данных'!D37*'Ввод данных'!D17</f>
        <v/>
      </c>
      <c r="E14" s="25">
        <f>'Ввод данных'!E37*'Ввод данных'!E17</f>
        <v/>
      </c>
      <c r="F14" s="25">
        <f>'Ввод данных'!F37*'Ввод данных'!F17</f>
        <v/>
      </c>
      <c r="G14" s="14" t="inlineStr"/>
    </row>
    <row r="15">
      <c r="B15" s="12" t="inlineStr">
        <is>
          <t>Капитальные ремонты (аннуитизировано)</t>
        </is>
      </c>
      <c r="C15" s="25">
        <f>'Ввод данных'!C38/'Ввод данных'!C39*'Ввод данных'!C17</f>
        <v/>
      </c>
      <c r="D15" s="25">
        <f>'Ввод данных'!D38/'Ввод данных'!D39*'Ввод данных'!D17</f>
        <v/>
      </c>
      <c r="E15" s="25">
        <f>'Ввод данных'!E38/'Ввод данных'!E39*'Ввод данных'!E17</f>
        <v/>
      </c>
      <c r="F15" s="25">
        <f>'Ввод данных'!F38/'Ввод данных'!F39*'Ввод данных'!F17</f>
        <v/>
      </c>
      <c r="G15" s="14" t="inlineStr"/>
    </row>
    <row r="16">
      <c r="B16" s="12" t="inlineStr">
        <is>
          <t>Оплата труда операторов</t>
        </is>
      </c>
      <c r="C16" s="25">
        <f>'Ввод данных'!C17*'Ввод данных'!C41*'Параметры'!C13</f>
        <v/>
      </c>
      <c r="D16" s="25">
        <f>'Ввод данных'!D17*'Ввод данных'!D41*'Параметры'!C13</f>
        <v/>
      </c>
      <c r="E16" s="25">
        <f>'Ввод данных'!E17*'Ввод данных'!E41*'Параметры'!C13</f>
        <v/>
      </c>
      <c r="F16" s="25">
        <f>'Ввод данных'!F17*'Ввод данных'!F41*'Параметры'!C13</f>
        <v/>
      </c>
      <c r="G16" s="14" t="inlineStr"/>
    </row>
    <row r="17">
      <c r="B17" s="12" t="inlineStr">
        <is>
          <t>Страхование</t>
        </is>
      </c>
      <c r="C17" s="25">
        <f>'Ввод данных'!C22*'Ввод данных'!C43</f>
        <v/>
      </c>
      <c r="D17" s="25">
        <f>'Ввод данных'!D22*'Ввод данных'!D43</f>
        <v/>
      </c>
      <c r="E17" s="25">
        <f>'Ввод данных'!E22*'Ввод данных'!E43</f>
        <v/>
      </c>
      <c r="F17" s="25">
        <f>'Ввод данных'!F22*'Ввод данных'!F43</f>
        <v/>
      </c>
      <c r="G17" s="14" t="inlineStr"/>
    </row>
    <row r="18">
      <c r="B18" s="12" t="inlineStr">
        <is>
          <t>Налоги и прочее</t>
        </is>
      </c>
      <c r="C18" s="25">
        <f>'Ввод данных'!C22*'Ввод данных'!C44</f>
        <v/>
      </c>
      <c r="D18" s="25">
        <f>'Ввод данных'!D22*'Ввод данных'!D44</f>
        <v/>
      </c>
      <c r="E18" s="25">
        <f>'Ввод данных'!E22*'Ввод данных'!E44</f>
        <v/>
      </c>
      <c r="F18" s="25">
        <f>'Ввод данных'!F22*'Ввод данных'!F44</f>
        <v/>
      </c>
      <c r="G18" s="14" t="inlineStr"/>
    </row>
    <row r="19">
      <c r="B19" s="26" t="inlineStr">
        <is>
          <t>ИТОГО годовые эксплуатационные (год 1)</t>
        </is>
      </c>
      <c r="C19" s="25">
        <f>C10+C11+C12+C13+C14+C15+C16+C17+C18</f>
        <v/>
      </c>
      <c r="D19" s="25">
        <f>D10+D11+D12+D13+D14+D15+D16+D17+D18</f>
        <v/>
      </c>
      <c r="E19" s="25">
        <f>E10+E11+E12+E13+E14+E15+E16+E17+E18</f>
        <v/>
      </c>
      <c r="F19" s="25">
        <f>F10+F11+F12+F13+F14+F15+F16+F17+F18</f>
        <v/>
      </c>
      <c r="G19" s="14" t="inlineStr">
        <is>
          <t>/год</t>
        </is>
      </c>
    </row>
    <row r="20">
      <c r="B20" s="5" t="inlineStr">
        <is>
          <t>ГРУППЫ ЗАТРАТ ДЛЯ ЭСКАЛАЦИИ (год 1)</t>
        </is>
      </c>
      <c r="C20" s="4" t="n"/>
      <c r="D20" s="4" t="n"/>
      <c r="E20" s="4" t="n"/>
      <c r="F20" s="4" t="n"/>
      <c r="G20" s="4" t="n"/>
    </row>
    <row r="21">
      <c r="B21" s="12" t="inlineStr">
        <is>
          <t>Энергия (топливо+электро)</t>
        </is>
      </c>
      <c r="C21" s="25">
        <f>C10+C11</f>
        <v/>
      </c>
      <c r="D21" s="25">
        <f>D10+D11</f>
        <v/>
      </c>
      <c r="E21" s="25">
        <f>E10+E11</f>
        <v/>
      </c>
      <c r="F21" s="25">
        <f>F10+F11</f>
        <v/>
      </c>
      <c r="G21" s="14" t="inlineStr"/>
    </row>
    <row r="22">
      <c r="B22" s="12" t="inlineStr">
        <is>
          <t>Труд</t>
        </is>
      </c>
      <c r="C22" s="25">
        <f>C16</f>
        <v/>
      </c>
      <c r="D22" s="25">
        <f>D16</f>
        <v/>
      </c>
      <c r="E22" s="25">
        <f>E16</f>
        <v/>
      </c>
      <c r="F22" s="25">
        <f>F16</f>
        <v/>
      </c>
      <c r="G22" s="14" t="inlineStr"/>
    </row>
    <row r="23">
      <c r="B23" s="12" t="inlineStr">
        <is>
          <t>Запчасти и ТОиР (смазка+ГЭТ+ТО+ремонт)</t>
        </is>
      </c>
      <c r="C23" s="25">
        <f>C12+C13+C14+C15</f>
        <v/>
      </c>
      <c r="D23" s="25">
        <f>D12+D13+D14+D15</f>
        <v/>
      </c>
      <c r="E23" s="25">
        <f>E12+E13+E14+E15</f>
        <v/>
      </c>
      <c r="F23" s="25">
        <f>F12+F13+F14+F15</f>
        <v/>
      </c>
      <c r="G23" s="14" t="inlineStr"/>
    </row>
    <row r="24">
      <c r="B24" s="12" t="inlineStr">
        <is>
          <t>Постоянные (страхование+налоги)</t>
        </is>
      </c>
      <c r="C24" s="25">
        <f>C17+C18</f>
        <v/>
      </c>
      <c r="D24" s="25">
        <f>D17+D18</f>
        <v/>
      </c>
      <c r="E24" s="25">
        <f>E17+E18</f>
        <v/>
      </c>
      <c r="F24" s="25">
        <f>F17+F18</f>
        <v/>
      </c>
      <c r="G24" s="14" t="inlineStr"/>
    </row>
    <row r="25">
      <c r="B25" s="5" t="inlineStr">
        <is>
          <t>КАПИТАЛЬНЫЕ ЗАТРАТЫ И ФИНАНСИРОВАНИЕ</t>
        </is>
      </c>
      <c r="C25" s="4" t="n"/>
      <c r="D25" s="4" t="n"/>
      <c r="E25" s="4" t="n"/>
      <c r="F25" s="4" t="n"/>
      <c r="G25" s="4" t="n"/>
    </row>
    <row r="26">
      <c r="B26" s="26" t="inlineStr">
        <is>
          <t>Первоначальные инвестиции (CAPEX)</t>
        </is>
      </c>
      <c r="C26" s="25">
        <f>'Ввод данных'!C22+'Ввод данных'!C23+'Ввод данных'!C24</f>
        <v/>
      </c>
      <c r="D26" s="25">
        <f>'Ввод данных'!D22+'Ввод данных'!D23+'Ввод данных'!D24</f>
        <v/>
      </c>
      <c r="E26" s="25">
        <f>'Ввод данных'!E22+'Ввод данных'!E23+'Ввод данных'!E24</f>
        <v/>
      </c>
      <c r="F26" s="25">
        <f>'Ввод данных'!F22+'Ввод данных'!F23+'Ввод данных'!F24</f>
        <v/>
      </c>
      <c r="G26" s="14" t="inlineStr"/>
    </row>
    <row r="27">
      <c r="B27" s="12" t="inlineStr">
        <is>
          <t>Собственные средства (год 0)</t>
        </is>
      </c>
      <c r="C27" s="25">
        <f>'Ввод данных'!C22*(1-'Ввод данных'!C26)+'Ввод данных'!C23+'Ввод данных'!C24</f>
        <v/>
      </c>
      <c r="D27" s="25">
        <f>'Ввод данных'!D22*(1-'Ввод данных'!D26)+'Ввод данных'!D23+'Ввод данных'!D24</f>
        <v/>
      </c>
      <c r="E27" s="25">
        <f>'Ввод данных'!E22*(1-'Ввод данных'!E26)+'Ввод данных'!E23+'Ввод данных'!E24</f>
        <v/>
      </c>
      <c r="F27" s="25">
        <f>'Ввод данных'!F22*(1-'Ввод данных'!F26)+'Ввод данных'!F23+'Ввод данных'!F24</f>
        <v/>
      </c>
      <c r="G27" s="14" t="inlineStr"/>
    </row>
    <row r="28">
      <c r="B28" s="12" t="inlineStr">
        <is>
          <t>Заёмные средства (тело кредита)</t>
        </is>
      </c>
      <c r="C28" s="25">
        <f>'Ввод данных'!C22*'Ввод данных'!C26</f>
        <v/>
      </c>
      <c r="D28" s="25">
        <f>'Ввод данных'!D22*'Ввод данных'!D26</f>
        <v/>
      </c>
      <c r="E28" s="25">
        <f>'Ввод данных'!E22*'Ввод данных'!E26</f>
        <v/>
      </c>
      <c r="F28" s="25">
        <f>'Ввод данных'!F22*'Ввод данных'!F26</f>
        <v/>
      </c>
      <c r="G28" s="14" t="inlineStr"/>
    </row>
    <row r="29">
      <c r="B29" s="12" t="inlineStr">
        <is>
          <t>Годовой платёж по кредиту</t>
        </is>
      </c>
      <c r="C29" s="25">
        <f>IF('Ввод данных'!C27=0,C28/'Ввод данных'!C28,C28*'Ввод данных'!C27/(1-(1+'Ввод данных'!C27)^-'Ввод данных'!C28))</f>
        <v/>
      </c>
      <c r="D29" s="25">
        <f>IF('Ввод данных'!D27=0,D28/'Ввод данных'!D28,D28*'Ввод данных'!D27/(1-(1+'Ввод данных'!D27)^-'Ввод данных'!D28))</f>
        <v/>
      </c>
      <c r="E29" s="25">
        <f>IF('Ввод данных'!E27=0,E28/'Ввод данных'!E28,E28*'Ввод данных'!E27/(1-(1+'Ввод данных'!E27)^-'Ввод данных'!E28))</f>
        <v/>
      </c>
      <c r="F29" s="25">
        <f>IF('Ввод данных'!F27=0,F28/'Ввод данных'!F28,F28*'Ввод данных'!F27/(1-(1+'Ввод данных'!F27)^-'Ввод данных'!F28))</f>
        <v/>
      </c>
      <c r="G29" s="14" t="inlineStr">
        <is>
          <t>/год</t>
        </is>
      </c>
    </row>
    <row r="30">
      <c r="B30" s="12" t="inlineStr">
        <is>
          <t>Всего выплат по кредиту (номинал)</t>
        </is>
      </c>
      <c r="C30" s="25">
        <f>C29*'Ввод данных'!C28</f>
        <v/>
      </c>
      <c r="D30" s="25">
        <f>D29*'Ввод данных'!D28</f>
        <v/>
      </c>
      <c r="E30" s="25">
        <f>E29*'Ввод данных'!E28</f>
        <v/>
      </c>
      <c r="F30" s="25">
        <f>F29*'Ввод данных'!F28</f>
        <v/>
      </c>
      <c r="G30" s="14" t="inlineStr"/>
    </row>
    <row r="31">
      <c r="B31" s="12" t="inlineStr">
        <is>
          <t>Переплата (проценты)</t>
        </is>
      </c>
      <c r="C31" s="25">
        <f>C30-C28</f>
        <v/>
      </c>
      <c r="D31" s="25">
        <f>D30-D28</f>
        <v/>
      </c>
      <c r="E31" s="25">
        <f>E30-E28</f>
        <v/>
      </c>
      <c r="F31" s="25">
        <f>F30-F28</f>
        <v/>
      </c>
      <c r="G31" s="14" t="inlineStr"/>
    </row>
    <row r="32">
      <c r="B32" s="12" t="inlineStr">
        <is>
          <t>Остаточная стоимость (год N)</t>
        </is>
      </c>
      <c r="C32" s="25">
        <f>'Ввод данных'!C22*'Ввод данных'!C25</f>
        <v/>
      </c>
      <c r="D32" s="25">
        <f>'Ввод данных'!D22*'Ввод данных'!D25</f>
        <v/>
      </c>
      <c r="E32" s="25">
        <f>'Ввод данных'!E22*'Ввод данных'!E25</f>
        <v/>
      </c>
      <c r="F32" s="25">
        <f>'Ввод данных'!F22*'Ввод данных'!F25</f>
        <v/>
      </c>
      <c r="G32" s="14" t="inlineStr"/>
    </row>
    <row r="33">
      <c r="B33" s="5" t="inlineStr">
        <is>
          <t>ФИНАНСОВЫЕ КОЭФФИЦИЕНТЫ</t>
        </is>
      </c>
      <c r="C33" s="4" t="n"/>
      <c r="D33" s="4" t="n"/>
      <c r="E33" s="4" t="n"/>
      <c r="F33" s="4" t="n"/>
      <c r="G33" s="4" t="n"/>
    </row>
    <row r="34">
      <c r="B34" s="12" t="inlineStr">
        <is>
          <t>Коэф. приведения энергии</t>
        </is>
      </c>
      <c r="C34" s="27">
        <f>IF(ABS('Параметры'!C6-'Параметры'!C8)&lt;1E-9,'Ввод данных'!C16/(1+'Параметры'!C6),(1-((1+'Параметры'!C8)/(1+'Параметры'!C6))^'Ввод данных'!C16)/('Параметры'!C6-'Параметры'!C8))</f>
        <v/>
      </c>
      <c r="D34" s="27">
        <f>IF(ABS('Параметры'!C6-'Параметры'!C8)&lt;1E-9,'Ввод данных'!D16/(1+'Параметры'!C6),(1-((1+'Параметры'!C8)/(1+'Параметры'!C6))^'Ввод данных'!D16)/('Параметры'!C6-'Параметры'!C8))</f>
        <v/>
      </c>
      <c r="E34" s="27">
        <f>IF(ABS('Параметры'!C6-'Параметры'!C8)&lt;1E-9,'Ввод данных'!E16/(1+'Параметры'!C6),(1-((1+'Параметры'!C8)/(1+'Параметры'!C6))^'Ввод данных'!E16)/('Параметры'!C6-'Параметры'!C8))</f>
        <v/>
      </c>
      <c r="F34" s="27">
        <f>IF(ABS('Параметры'!C6-'Параметры'!C8)&lt;1E-9,'Ввод данных'!F16/(1+'Параметры'!C6),(1-((1+'Параметры'!C8)/(1+'Параметры'!C6))^'Ввод данных'!F16)/('Параметры'!C6-'Параметры'!C8))</f>
        <v/>
      </c>
      <c r="G34" s="14" t="inlineStr"/>
    </row>
    <row r="35">
      <c r="B35" s="12" t="inlineStr">
        <is>
          <t>Коэф. приведения труда</t>
        </is>
      </c>
      <c r="C35" s="27">
        <f>IF(ABS('Параметры'!C6-'Параметры'!C9)&lt;1E-9,'Ввод данных'!C16/(1+'Параметры'!C6),(1-((1+'Параметры'!C9)/(1+'Параметры'!C6))^'Ввод данных'!C16)/('Параметры'!C6-'Параметры'!C9))</f>
        <v/>
      </c>
      <c r="D35" s="27">
        <f>IF(ABS('Параметры'!C6-'Параметры'!C9)&lt;1E-9,'Ввод данных'!D16/(1+'Параметры'!C6),(1-((1+'Параметры'!C9)/(1+'Параметры'!C6))^'Ввод данных'!D16)/('Параметры'!C6-'Параметры'!C9))</f>
        <v/>
      </c>
      <c r="E35" s="27">
        <f>IF(ABS('Параметры'!C6-'Параметры'!C9)&lt;1E-9,'Ввод данных'!E16/(1+'Параметры'!C6),(1-((1+'Параметры'!C9)/(1+'Параметры'!C6))^'Ввод данных'!E16)/('Параметры'!C6-'Параметры'!C9))</f>
        <v/>
      </c>
      <c r="F35" s="27">
        <f>IF(ABS('Параметры'!C6-'Параметры'!C9)&lt;1E-9,'Ввод данных'!F16/(1+'Параметры'!C6),(1-((1+'Параметры'!C9)/(1+'Параметры'!C6))^'Ввод данных'!F16)/('Параметры'!C6-'Параметры'!C9))</f>
        <v/>
      </c>
      <c r="G35" s="14" t="inlineStr"/>
    </row>
    <row r="36">
      <c r="B36" s="12" t="inlineStr">
        <is>
          <t>Коэф. приведения запчастей/ТОиР</t>
        </is>
      </c>
      <c r="C36" s="27">
        <f>IF(ABS('Параметры'!C6-'Параметры'!C10)&lt;1E-9,'Ввод данных'!C16/(1+'Параметры'!C6),(1-((1+'Параметры'!C10)/(1+'Параметры'!C6))^'Ввод данных'!C16)/('Параметры'!C6-'Параметры'!C10))</f>
        <v/>
      </c>
      <c r="D36" s="27">
        <f>IF(ABS('Параметры'!C6-'Параметры'!C10)&lt;1E-9,'Ввод данных'!D16/(1+'Параметры'!C6),(1-((1+'Параметры'!C10)/(1+'Параметры'!C6))^'Ввод данных'!D16)/('Параметры'!C6-'Параметры'!C10))</f>
        <v/>
      </c>
      <c r="E36" s="27">
        <f>IF(ABS('Параметры'!C6-'Параметры'!C10)&lt;1E-9,'Ввод данных'!E16/(1+'Параметры'!C6),(1-((1+'Параметры'!C10)/(1+'Параметры'!C6))^'Ввод данных'!E16)/('Параметры'!C6-'Параметры'!C10))</f>
        <v/>
      </c>
      <c r="F36" s="27">
        <f>IF(ABS('Параметры'!C6-'Параметры'!C10)&lt;1E-9,'Ввод данных'!F16/(1+'Параметры'!C6),(1-((1+'Параметры'!C10)/(1+'Параметры'!C6))^'Ввод данных'!F16)/('Параметры'!C6-'Параметры'!C10))</f>
        <v/>
      </c>
      <c r="G36" s="14" t="inlineStr"/>
    </row>
    <row r="37">
      <c r="B37" s="12" t="inlineStr">
        <is>
          <t>Коэф. приведения постоянных</t>
        </is>
      </c>
      <c r="C37" s="27">
        <f>IF(ABS('Параметры'!C6-'Параметры'!C7)&lt;1E-9,'Ввод данных'!C16/(1+'Параметры'!C6),(1-((1+'Параметры'!C7)/(1+'Параметры'!C6))^'Ввод данных'!C16)/('Параметры'!C6-'Параметры'!C7))</f>
        <v/>
      </c>
      <c r="D37" s="27">
        <f>IF(ABS('Параметры'!C6-'Параметры'!C7)&lt;1E-9,'Ввод данных'!D16/(1+'Параметры'!C6),(1-((1+'Параметры'!C7)/(1+'Параметры'!C6))^'Ввод данных'!D16)/('Параметры'!C6-'Параметры'!C7))</f>
        <v/>
      </c>
      <c r="E37" s="27">
        <f>IF(ABS('Параметры'!C6-'Параметры'!C7)&lt;1E-9,'Ввод данных'!E16/(1+'Параметры'!C6),(1-((1+'Параметры'!C7)/(1+'Параметры'!C6))^'Ввод данных'!E16)/('Параметры'!C6-'Параметры'!C7))</f>
        <v/>
      </c>
      <c r="F37" s="27">
        <f>IF(ABS('Параметры'!C6-'Параметры'!C7)&lt;1E-9,'Ввод данных'!F16/(1+'Параметры'!C6),(1-((1+'Параметры'!C7)/(1+'Параметры'!C6))^'Ввод данных'!F16)/('Параметры'!C6-'Параметры'!C7))</f>
        <v/>
      </c>
      <c r="G37" s="14" t="inlineStr"/>
    </row>
    <row r="38">
      <c r="B38" s="12" t="inlineStr">
        <is>
          <t>Коэф. аннуитета проекта (r, N)</t>
        </is>
      </c>
      <c r="C38" s="27">
        <f>IF('Параметры'!C6=0,'Ввод данных'!C16,(1-(1+'Параметры'!C6)^-'Ввод данных'!C16)/'Параметры'!C6)</f>
        <v/>
      </c>
      <c r="D38" s="27">
        <f>IF('Параметры'!C6=0,'Ввод данных'!D16,(1-(1+'Параметры'!C6)^-'Ввод данных'!D16)/'Параметры'!C6)</f>
        <v/>
      </c>
      <c r="E38" s="27">
        <f>IF('Параметры'!C6=0,'Ввод данных'!E16,(1-(1+'Параметры'!C6)^-'Ввод данных'!E16)/'Параметры'!C6)</f>
        <v/>
      </c>
      <c r="F38" s="27">
        <f>IF('Параметры'!C6=0,'Ввод данных'!F16,(1-(1+'Параметры'!C6)^-'Ввод данных'!F16)/'Параметры'!C6)</f>
        <v/>
      </c>
      <c r="G38" s="14" t="inlineStr"/>
    </row>
    <row r="39">
      <c r="B39" s="12" t="inlineStr">
        <is>
          <t>Коэф. аннуитета кредита (r, срок)</t>
        </is>
      </c>
      <c r="C39" s="27">
        <f>IF('Параметры'!C6=0,'Ввод данных'!C28,(1-(1+'Параметры'!C6)^-'Ввод данных'!C28)/'Параметры'!C6)</f>
        <v/>
      </c>
      <c r="D39" s="27">
        <f>IF('Параметры'!C6=0,'Ввод данных'!D28,(1-(1+'Параметры'!C6)^-'Ввод данных'!D28)/'Параметры'!C6)</f>
        <v/>
      </c>
      <c r="E39" s="27">
        <f>IF('Параметры'!C6=0,'Ввод данных'!E28,(1-(1+'Параметры'!C6)^-'Ввод данных'!E28)/'Параметры'!C6)</f>
        <v/>
      </c>
      <c r="F39" s="27">
        <f>IF('Параметры'!C6=0,'Ввод данных'!F28,(1-(1+'Параметры'!C6)^-'Ввод данных'!F28)/'Параметры'!C6)</f>
        <v/>
      </c>
      <c r="G39" s="14" t="inlineStr"/>
    </row>
    <row r="40">
      <c r="B40" s="12" t="inlineStr">
        <is>
          <t>Дисконт остаточной стоимости</t>
        </is>
      </c>
      <c r="C40" s="27">
        <f>1/(1+'Параметры'!C6)^'Ввод данных'!C16</f>
        <v/>
      </c>
      <c r="D40" s="27">
        <f>1/(1+'Параметры'!C6)^'Ввод данных'!D16</f>
        <v/>
      </c>
      <c r="E40" s="27">
        <f>1/(1+'Параметры'!C6)^'Ввод данных'!E16</f>
        <v/>
      </c>
      <c r="F40" s="27">
        <f>1/(1+'Параметры'!C6)^'Ввод данных'!F16</f>
        <v/>
      </c>
      <c r="G40" s="14" t="inlineStr"/>
    </row>
    <row r="41">
      <c r="B41" s="5" t="inlineStr">
        <is>
          <t>ДИСКОНТИРОВАННЫЕ ЗАТРАТЫ (NPV, текущая стоимость)</t>
        </is>
      </c>
      <c r="C41" s="4" t="n"/>
      <c r="D41" s="4" t="n"/>
      <c r="E41" s="4" t="n"/>
      <c r="F41" s="4" t="n"/>
      <c r="G41" s="4" t="n"/>
    </row>
    <row r="42">
      <c r="B42" s="12" t="inlineStr">
        <is>
          <t>NPV энергии</t>
        </is>
      </c>
      <c r="C42" s="25">
        <f>C21*C34</f>
        <v/>
      </c>
      <c r="D42" s="25">
        <f>D21*D34</f>
        <v/>
      </c>
      <c r="E42" s="25">
        <f>E21*E34</f>
        <v/>
      </c>
      <c r="F42" s="25">
        <f>F21*F34</f>
        <v/>
      </c>
      <c r="G42" s="14" t="inlineStr"/>
    </row>
    <row r="43">
      <c r="B43" s="12" t="inlineStr">
        <is>
          <t>NPV труда</t>
        </is>
      </c>
      <c r="C43" s="25">
        <f>C22*C35</f>
        <v/>
      </c>
      <c r="D43" s="25">
        <f>D22*D35</f>
        <v/>
      </c>
      <c r="E43" s="25">
        <f>E22*E35</f>
        <v/>
      </c>
      <c r="F43" s="25">
        <f>F22*F35</f>
        <v/>
      </c>
      <c r="G43" s="14" t="inlineStr"/>
    </row>
    <row r="44">
      <c r="B44" s="12" t="inlineStr">
        <is>
          <t>NPV запчастей и ТОиР</t>
        </is>
      </c>
      <c r="C44" s="25">
        <f>C23*C36</f>
        <v/>
      </c>
      <c r="D44" s="25">
        <f>D23*D36</f>
        <v/>
      </c>
      <c r="E44" s="25">
        <f>E23*E36</f>
        <v/>
      </c>
      <c r="F44" s="25">
        <f>F23*F36</f>
        <v/>
      </c>
      <c r="G44" s="14" t="inlineStr"/>
    </row>
    <row r="45">
      <c r="B45" s="12" t="inlineStr">
        <is>
          <t>NPV постоянных затрат</t>
        </is>
      </c>
      <c r="C45" s="25">
        <f>C24*C37</f>
        <v/>
      </c>
      <c r="D45" s="25">
        <f>D24*D37</f>
        <v/>
      </c>
      <c r="E45" s="25">
        <f>E24*E37</f>
        <v/>
      </c>
      <c r="F45" s="25">
        <f>F24*F37</f>
        <v/>
      </c>
      <c r="G45" s="14" t="inlineStr"/>
    </row>
    <row r="46">
      <c r="B46" s="12" t="inlineStr">
        <is>
          <t>NPV собственных средств (год 0)</t>
        </is>
      </c>
      <c r="C46" s="25">
        <f>C27</f>
        <v/>
      </c>
      <c r="D46" s="25">
        <f>D27</f>
        <v/>
      </c>
      <c r="E46" s="25">
        <f>E27</f>
        <v/>
      </c>
      <c r="F46" s="25">
        <f>F27</f>
        <v/>
      </c>
      <c r="G46" s="14" t="inlineStr"/>
    </row>
    <row r="47">
      <c r="B47" s="12" t="inlineStr">
        <is>
          <t>NPV платежей по кредиту</t>
        </is>
      </c>
      <c r="C47" s="25">
        <f>C29*C39</f>
        <v/>
      </c>
      <c r="D47" s="25">
        <f>D29*D39</f>
        <v/>
      </c>
      <c r="E47" s="25">
        <f>E29*E39</f>
        <v/>
      </c>
      <c r="F47" s="25">
        <f>F29*F39</f>
        <v/>
      </c>
      <c r="G47" s="14" t="inlineStr"/>
    </row>
    <row r="48">
      <c r="B48" s="12" t="inlineStr">
        <is>
          <t>NPV остаточной стоимости (вычет)</t>
        </is>
      </c>
      <c r="C48" s="25">
        <f>C32*C40</f>
        <v/>
      </c>
      <c r="D48" s="25">
        <f>D32*D40</f>
        <v/>
      </c>
      <c r="E48" s="25">
        <f>E32*E40</f>
        <v/>
      </c>
      <c r="F48" s="25">
        <f>F32*F40</f>
        <v/>
      </c>
      <c r="G48" s="14" t="inlineStr"/>
    </row>
    <row r="49">
      <c r="B49" s="28" t="inlineStr">
        <is>
          <t>TCO — совокупная стоимость владения (NPV)</t>
        </is>
      </c>
      <c r="C49" s="29">
        <f>C42+C43+C44+C45+C46+C47-C48</f>
        <v/>
      </c>
      <c r="D49" s="29">
        <f>D42+D43+D44+D45+D46+D47-D48</f>
        <v/>
      </c>
      <c r="E49" s="29">
        <f>E42+E43+E44+E45+E46+E47-E48</f>
        <v/>
      </c>
      <c r="F49" s="29">
        <f>F42+F43+F44+F45+F46+F47-F48</f>
        <v/>
      </c>
      <c r="G49" s="14" t="inlineStr"/>
    </row>
    <row r="50">
      <c r="B50" s="5" t="inlineStr">
        <is>
          <t>СОВОКУПНЫЕ НОМИНАЛЬНЫЕ ЗАТРАТЫ ЗА СРОК СЛУЖБЫ (с эскалацией)</t>
        </is>
      </c>
      <c r="C50" s="4" t="n"/>
      <c r="D50" s="4" t="n"/>
      <c r="E50" s="4" t="n"/>
      <c r="F50" s="4" t="n"/>
      <c r="G50" s="4" t="n"/>
    </row>
    <row r="51">
      <c r="B51" s="12" t="inlineStr">
        <is>
          <t>Энергия (номинал)</t>
        </is>
      </c>
      <c r="C51" s="25">
        <f>C21*IF('Параметры'!C8=0,'Ввод данных'!C16,((1+'Параметры'!C8)^'Ввод данных'!C16-1)/'Параметры'!C8)</f>
        <v/>
      </c>
      <c r="D51" s="25">
        <f>D21*IF('Параметры'!C8=0,'Ввод данных'!D16,((1+'Параметры'!C8)^'Ввод данных'!D16-1)/'Параметры'!C8)</f>
        <v/>
      </c>
      <c r="E51" s="25">
        <f>E21*IF('Параметры'!C8=0,'Ввод данных'!E16,((1+'Параметры'!C8)^'Ввод данных'!E16-1)/'Параметры'!C8)</f>
        <v/>
      </c>
      <c r="F51" s="25">
        <f>F21*IF('Параметры'!C8=0,'Ввод данных'!F16,((1+'Параметры'!C8)^'Ввод данных'!F16-1)/'Параметры'!C8)</f>
        <v/>
      </c>
      <c r="G51" s="14" t="inlineStr"/>
    </row>
    <row r="52">
      <c r="B52" s="12" t="inlineStr">
        <is>
          <t>Труд (номинал)</t>
        </is>
      </c>
      <c r="C52" s="25">
        <f>C22*IF('Параметры'!C9=0,'Ввод данных'!C16,((1+'Параметры'!C9)^'Ввод данных'!C16-1)/'Параметры'!C9)</f>
        <v/>
      </c>
      <c r="D52" s="25">
        <f>D22*IF('Параметры'!C9=0,'Ввод данных'!D16,((1+'Параметры'!C9)^'Ввод данных'!D16-1)/'Параметры'!C9)</f>
        <v/>
      </c>
      <c r="E52" s="25">
        <f>E22*IF('Параметры'!C9=0,'Ввод данных'!E16,((1+'Параметры'!C9)^'Ввод данных'!E16-1)/'Параметры'!C9)</f>
        <v/>
      </c>
      <c r="F52" s="25">
        <f>F22*IF('Параметры'!C9=0,'Ввод данных'!F16,((1+'Параметры'!C9)^'Ввод данных'!F16-1)/'Параметры'!C9)</f>
        <v/>
      </c>
      <c r="G52" s="14" t="inlineStr"/>
    </row>
    <row r="53">
      <c r="B53" s="12" t="inlineStr">
        <is>
          <t>Запчасти и ТОиР (номинал)</t>
        </is>
      </c>
      <c r="C53" s="25">
        <f>C23*IF('Параметры'!C10=0,'Ввод данных'!C16,((1+'Параметры'!C10)^'Ввод данных'!C16-1)/'Параметры'!C10)</f>
        <v/>
      </c>
      <c r="D53" s="25">
        <f>D23*IF('Параметры'!C10=0,'Ввод данных'!D16,((1+'Параметры'!C10)^'Ввод данных'!D16-1)/'Параметры'!C10)</f>
        <v/>
      </c>
      <c r="E53" s="25">
        <f>E23*IF('Параметры'!C10=0,'Ввод данных'!E16,((1+'Параметры'!C10)^'Ввод данных'!E16-1)/'Параметры'!C10)</f>
        <v/>
      </c>
      <c r="F53" s="25">
        <f>F23*IF('Параметры'!C10=0,'Ввод данных'!F16,((1+'Параметры'!C10)^'Ввод данных'!F16-1)/'Параметры'!C10)</f>
        <v/>
      </c>
      <c r="G53" s="14" t="inlineStr"/>
    </row>
    <row r="54">
      <c r="B54" s="12" t="inlineStr">
        <is>
          <t>Постоянные (номинал)</t>
        </is>
      </c>
      <c r="C54" s="25">
        <f>C24*IF('Параметры'!C7=0,'Ввод данных'!C16,((1+'Параметры'!C7)^'Ввод данных'!C16-1)/'Параметры'!C7)</f>
        <v/>
      </c>
      <c r="D54" s="25">
        <f>D24*IF('Параметры'!C7=0,'Ввод данных'!D16,((1+'Параметры'!C7)^'Ввод данных'!D16-1)/'Параметры'!C7)</f>
        <v/>
      </c>
      <c r="E54" s="25">
        <f>E24*IF('Параметры'!C7=0,'Ввод данных'!E16,((1+'Параметры'!C7)^'Ввод данных'!E16-1)/'Параметры'!C7)</f>
        <v/>
      </c>
      <c r="F54" s="25">
        <f>F24*IF('Параметры'!C7=0,'Ввод данных'!F16,((1+'Параметры'!C7)^'Ввод данных'!F16-1)/'Параметры'!C7)</f>
        <v/>
      </c>
      <c r="G54" s="14" t="inlineStr"/>
    </row>
    <row r="55">
      <c r="B55" s="12" t="inlineStr">
        <is>
          <t>Капзатраты (свои + выплаты по кредиту)</t>
        </is>
      </c>
      <c r="C55" s="25">
        <f>C27+C30</f>
        <v/>
      </c>
      <c r="D55" s="25">
        <f>D27+D30</f>
        <v/>
      </c>
      <c r="E55" s="25">
        <f>E27+E30</f>
        <v/>
      </c>
      <c r="F55" s="25">
        <f>F27+F30</f>
        <v/>
      </c>
      <c r="G55" s="14" t="inlineStr"/>
    </row>
    <row r="56">
      <c r="B56" s="26" t="inlineStr">
        <is>
          <t>TCO — совокупные затраты (номинал)</t>
        </is>
      </c>
      <c r="C56" s="25">
        <f>C51+C52+C53+C54+C55-C32</f>
        <v/>
      </c>
      <c r="D56" s="25">
        <f>D51+D52+D53+D54+D55-D32</f>
        <v/>
      </c>
      <c r="E56" s="25">
        <f>E51+E52+E53+E54+E55-E32</f>
        <v/>
      </c>
      <c r="F56" s="25">
        <f>F51+F52+F53+F54+F55-F32</f>
        <v/>
      </c>
      <c r="G56" s="14" t="inlineStr"/>
    </row>
    <row r="57">
      <c r="B57" s="5" t="inlineStr">
        <is>
          <t>КЛЮЧЕВЫЕ ПОКАЗАТЕЛИ ЭФФЕКТИВНОСТИ</t>
        </is>
      </c>
      <c r="C57" s="4" t="n"/>
      <c r="D57" s="4" t="n"/>
      <c r="E57" s="4" t="n"/>
      <c r="F57" s="4" t="n"/>
      <c r="G57" s="4" t="n"/>
    </row>
    <row r="58">
      <c r="B58" s="28" t="inlineStr">
        <is>
          <t>TCO (NPV)</t>
        </is>
      </c>
      <c r="C58" s="29">
        <f>C49</f>
        <v/>
      </c>
      <c r="D58" s="29">
        <f>D49</f>
        <v/>
      </c>
      <c r="E58" s="29">
        <f>E49</f>
        <v/>
      </c>
      <c r="F58" s="29">
        <f>F49</f>
        <v/>
      </c>
      <c r="G58" s="14" t="inlineStr"/>
    </row>
    <row r="59">
      <c r="B59" s="28" t="inlineStr">
        <is>
          <t>EAC — эквивалентная годовая стоимость</t>
        </is>
      </c>
      <c r="C59" s="29">
        <f>C49/C38</f>
        <v/>
      </c>
      <c r="D59" s="29">
        <f>D49/D38</f>
        <v/>
      </c>
      <c r="E59" s="29">
        <f>E49/E38</f>
        <v/>
      </c>
      <c r="F59" s="29">
        <f>F49/F38</f>
        <v/>
      </c>
      <c r="G59" s="14" t="inlineStr">
        <is>
          <t>/год</t>
        </is>
      </c>
    </row>
    <row r="60">
      <c r="B60" s="28" t="inlineStr">
        <is>
          <t>Удельный TCO на мото-час</t>
        </is>
      </c>
      <c r="C60" s="30">
        <f>C49/C6</f>
        <v/>
      </c>
      <c r="D60" s="30">
        <f>D49/D6</f>
        <v/>
      </c>
      <c r="E60" s="30">
        <f>E49/E6</f>
        <v/>
      </c>
      <c r="F60" s="30">
        <f>F49/F6</f>
        <v/>
      </c>
      <c r="G60" s="14" t="inlineStr">
        <is>
          <t>/мото-ч</t>
        </is>
      </c>
    </row>
    <row r="61">
      <c r="B61" s="28" t="inlineStr">
        <is>
          <t>Приведённые затраты на мото-час (EAC)</t>
        </is>
      </c>
      <c r="C61" s="30">
        <f>C59/'Ввод данных'!C17</f>
        <v/>
      </c>
      <c r="D61" s="30">
        <f>D59/'Ввод данных'!D17</f>
        <v/>
      </c>
      <c r="E61" s="30">
        <f>E59/'Ввод данных'!E17</f>
        <v/>
      </c>
      <c r="F61" s="30">
        <f>F59/'Ввод данных'!F17</f>
        <v/>
      </c>
      <c r="G61" s="14" t="inlineStr">
        <is>
          <t>/мото-ч</t>
        </is>
      </c>
    </row>
    <row r="62">
      <c r="B62" s="28" t="inlineStr">
        <is>
          <t>Удельный TCO на тонну продукции</t>
        </is>
      </c>
      <c r="C62" s="30">
        <f>C59/C7</f>
        <v/>
      </c>
      <c r="D62" s="30">
        <f>D59/D7</f>
        <v/>
      </c>
      <c r="E62" s="30">
        <f>E59/E7</f>
        <v/>
      </c>
      <c r="F62" s="30">
        <f>F59/F7</f>
        <v/>
      </c>
      <c r="G62" s="14" t="inlineStr">
        <is>
          <t>/т</t>
        </is>
      </c>
    </row>
    <row r="63">
      <c r="B63" s="28" t="inlineStr">
        <is>
          <t>Доля CAPEX в TCO</t>
        </is>
      </c>
      <c r="C63" s="31">
        <f>(C46+C47-C48)/C49</f>
        <v/>
      </c>
      <c r="D63" s="31">
        <f>(D46+D47-D48)/D49</f>
        <v/>
      </c>
      <c r="E63" s="31">
        <f>(E46+E47-E48)/E49</f>
        <v/>
      </c>
      <c r="F63" s="31">
        <f>(F46+F47-F48)/F49</f>
        <v/>
      </c>
      <c r="G63" s="14" t="inlineStr">
        <is>
          <t>%</t>
        </is>
      </c>
    </row>
    <row r="64">
      <c r="B64" s="28" t="inlineStr">
        <is>
          <t>Доля эксплуатации в TCO</t>
        </is>
      </c>
      <c r="C64" s="31">
        <f>(C42+C43+C44+C45)/C49</f>
        <v/>
      </c>
      <c r="D64" s="31">
        <f>(D42+D43+D44+D45)/D49</f>
        <v/>
      </c>
      <c r="E64" s="31">
        <f>(E42+E43+E44+E45)/E49</f>
        <v/>
      </c>
      <c r="F64" s="31">
        <f>(F42+F43+F44+F45)/F49</f>
        <v/>
      </c>
      <c r="G64" s="14" t="inlineStr">
        <is>
          <t>%</t>
        </is>
      </c>
    </row>
  </sheetData>
  <mergeCells count="10">
    <mergeCell ref="B20:G20"/>
    <mergeCell ref="B1:H1"/>
    <mergeCell ref="B5:G5"/>
    <mergeCell ref="B9:G9"/>
    <mergeCell ref="B41:G41"/>
    <mergeCell ref="B57:G57"/>
    <mergeCell ref="B50:G50"/>
    <mergeCell ref="B2:H2"/>
    <mergeCell ref="B33:G33"/>
    <mergeCell ref="B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</cols>
  <sheetData>
    <row r="1">
      <c r="B1" s="1" t="inlineStr">
        <is>
          <t>СРАВНИТЕЛЬНЫЙ АНАЛИЗ ВАРИАНТОВ ОБОРУДОВАНИЯ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Итоговый дашборд. Зелёным выделен лучший вариант по удельному TCO на тонну.</t>
        </is>
      </c>
      <c r="C2" s="2" t="n"/>
      <c r="D2" s="2" t="n"/>
      <c r="E2" s="2" t="n"/>
      <c r="F2" s="2" t="n"/>
      <c r="G2" s="2" t="n"/>
      <c r="H2" s="2" t="n"/>
    </row>
    <row r="4">
      <c r="B4" s="11" t="inlineStr">
        <is>
          <t>Показатель</t>
        </is>
      </c>
      <c r="C4" s="11">
        <f>'Ввод данных'!C7</f>
        <v/>
      </c>
      <c r="D4" s="11">
        <f>'Ввод данных'!D7</f>
        <v/>
      </c>
      <c r="E4" s="11">
        <f>'Ввод данных'!E7</f>
        <v/>
      </c>
      <c r="F4" s="11">
        <f>'Ввод данных'!F7</f>
        <v/>
      </c>
      <c r="G4" s="11" t="inlineStr">
        <is>
          <t>Ед.</t>
        </is>
      </c>
    </row>
    <row r="5">
      <c r="B5" s="12" t="inlineStr">
        <is>
          <t>Цена приобретения</t>
        </is>
      </c>
      <c r="C5" s="25">
        <f>'Ввод данных'!C22</f>
        <v/>
      </c>
      <c r="D5" s="25">
        <f>'Ввод данных'!D22</f>
        <v/>
      </c>
      <c r="E5" s="25">
        <f>'Ввод данных'!E22</f>
        <v/>
      </c>
      <c r="F5" s="25">
        <f>'Ввод данных'!F22</f>
        <v/>
      </c>
      <c r="G5" s="14" t="inlineStr"/>
    </row>
    <row r="6">
      <c r="B6" s="12" t="inlineStr">
        <is>
          <t>Первоначальные инвестиции (CAPEX)</t>
        </is>
      </c>
      <c r="C6" s="25">
        <f>'Расчёт TCO'!C26</f>
        <v/>
      </c>
      <c r="D6" s="25">
        <f>'Расчёт TCO'!D26</f>
        <v/>
      </c>
      <c r="E6" s="25">
        <f>'Расчёт TCO'!E26</f>
        <v/>
      </c>
      <c r="F6" s="25">
        <f>'Расчёт TCO'!F26</f>
        <v/>
      </c>
      <c r="G6" s="14" t="inlineStr"/>
    </row>
    <row r="7">
      <c r="B7" s="12" t="inlineStr">
        <is>
          <t>Годовые эксплуатац. затраты (год 1)</t>
        </is>
      </c>
      <c r="C7" s="25">
        <f>'Расчёт TCO'!C19</f>
        <v/>
      </c>
      <c r="D7" s="25">
        <f>'Расчёт TCO'!D19</f>
        <v/>
      </c>
      <c r="E7" s="25">
        <f>'Расчёт TCO'!E19</f>
        <v/>
      </c>
      <c r="F7" s="25">
        <f>'Расчёт TCO'!F19</f>
        <v/>
      </c>
      <c r="G7" s="14" t="inlineStr">
        <is>
          <t>/год</t>
        </is>
      </c>
    </row>
    <row r="8">
      <c r="B8" s="12" t="inlineStr">
        <is>
          <t>Годовой объём производства</t>
        </is>
      </c>
      <c r="C8" s="25">
        <f>'Расчёт TCO'!C7</f>
        <v/>
      </c>
      <c r="D8" s="25">
        <f>'Расчёт TCO'!D7</f>
        <v/>
      </c>
      <c r="E8" s="25">
        <f>'Расчёт TCO'!E7</f>
        <v/>
      </c>
      <c r="F8" s="25">
        <f>'Расчёт TCO'!F7</f>
        <v/>
      </c>
      <c r="G8" s="14" t="inlineStr">
        <is>
          <t>т/год</t>
        </is>
      </c>
    </row>
    <row r="9">
      <c r="B9" s="12" t="inlineStr">
        <is>
          <t>Полный объём за срок службы</t>
        </is>
      </c>
      <c r="C9" s="25">
        <f>'Расчёт TCO'!C8</f>
        <v/>
      </c>
      <c r="D9" s="25">
        <f>'Расчёт TCO'!D8</f>
        <v/>
      </c>
      <c r="E9" s="25">
        <f>'Расчёт TCO'!E8</f>
        <v/>
      </c>
      <c r="F9" s="25">
        <f>'Расчёт TCO'!F8</f>
        <v/>
      </c>
      <c r="G9" s="14" t="inlineStr">
        <is>
          <t>т</t>
        </is>
      </c>
    </row>
    <row r="10">
      <c r="B10" s="12" t="inlineStr">
        <is>
          <t>TCO — совокупная стоимость (NPV)</t>
        </is>
      </c>
      <c r="C10" s="25">
        <f>'Расчёт TCO'!C49</f>
        <v/>
      </c>
      <c r="D10" s="25">
        <f>'Расчёт TCO'!D49</f>
        <v/>
      </c>
      <c r="E10" s="25">
        <f>'Расчёт TCO'!E49</f>
        <v/>
      </c>
      <c r="F10" s="25">
        <f>'Расчёт TCO'!F49</f>
        <v/>
      </c>
      <c r="G10" s="14" t="inlineStr"/>
    </row>
    <row r="11">
      <c r="B11" s="12" t="inlineStr">
        <is>
          <t>TCO — совокупные затраты (номинал)</t>
        </is>
      </c>
      <c r="C11" s="25">
        <f>'Расчёт TCO'!C56</f>
        <v/>
      </c>
      <c r="D11" s="25">
        <f>'Расчёт TCO'!D56</f>
        <v/>
      </c>
      <c r="E11" s="25">
        <f>'Расчёт TCO'!E56</f>
        <v/>
      </c>
      <c r="F11" s="25">
        <f>'Расчёт TCO'!F56</f>
        <v/>
      </c>
      <c r="G11" s="14" t="inlineStr"/>
    </row>
    <row r="12">
      <c r="B12" s="12" t="inlineStr">
        <is>
          <t>EAC — эквивалентная годовая стоим.</t>
        </is>
      </c>
      <c r="C12" s="25">
        <f>'Расчёт TCO'!C59</f>
        <v/>
      </c>
      <c r="D12" s="25">
        <f>'Расчёт TCO'!D59</f>
        <v/>
      </c>
      <c r="E12" s="25">
        <f>'Расчёт TCO'!E59</f>
        <v/>
      </c>
      <c r="F12" s="25">
        <f>'Расчёт TCO'!F59</f>
        <v/>
      </c>
      <c r="G12" s="14" t="inlineStr">
        <is>
          <t>/год</t>
        </is>
      </c>
    </row>
    <row r="13">
      <c r="B13" s="12" t="inlineStr">
        <is>
          <t>Удельный TCO на мото-час</t>
        </is>
      </c>
      <c r="C13" s="27">
        <f>'Расчёт TCO'!C60</f>
        <v/>
      </c>
      <c r="D13" s="27">
        <f>'Расчёт TCO'!D60</f>
        <v/>
      </c>
      <c r="E13" s="27">
        <f>'Расчёт TCO'!E60</f>
        <v/>
      </c>
      <c r="F13" s="27">
        <f>'Расчёт TCO'!F60</f>
        <v/>
      </c>
      <c r="G13" s="14" t="inlineStr">
        <is>
          <t>/мото-ч</t>
        </is>
      </c>
    </row>
    <row r="14">
      <c r="B14" s="12" t="inlineStr">
        <is>
          <t>Удельный TCO на тонну</t>
        </is>
      </c>
      <c r="C14" s="27">
        <f>'Расчёт TCO'!C62</f>
        <v/>
      </c>
      <c r="D14" s="27">
        <f>'Расчёт TCO'!D62</f>
        <v/>
      </c>
      <c r="E14" s="27">
        <f>'Расчёт TCO'!E62</f>
        <v/>
      </c>
      <c r="F14" s="27">
        <f>'Расчёт TCO'!F62</f>
        <v/>
      </c>
      <c r="G14" s="14" t="inlineStr">
        <is>
          <t>/т</t>
        </is>
      </c>
    </row>
    <row r="15">
      <c r="B15" s="12" t="inlineStr">
        <is>
          <t>Доля CAPEX в TCO</t>
        </is>
      </c>
      <c r="C15" s="32">
        <f>'Расчёт TCO'!C63</f>
        <v/>
      </c>
      <c r="D15" s="32">
        <f>'Расчёт TCO'!D63</f>
        <v/>
      </c>
      <c r="E15" s="32">
        <f>'Расчёт TCO'!E63</f>
        <v/>
      </c>
      <c r="F15" s="32">
        <f>'Расчёт TCO'!F63</f>
        <v/>
      </c>
      <c r="G15" s="14" t="inlineStr">
        <is>
          <t>%</t>
        </is>
      </c>
    </row>
    <row r="16">
      <c r="B16" s="12" t="inlineStr">
        <is>
          <t>Доля эксплуатации в TCO</t>
        </is>
      </c>
      <c r="C16" s="32">
        <f>'Расчёт TCO'!C64</f>
        <v/>
      </c>
      <c r="D16" s="32">
        <f>'Расчёт TCO'!D64</f>
        <v/>
      </c>
      <c r="E16" s="32">
        <f>'Расчёт TCO'!E64</f>
        <v/>
      </c>
      <c r="F16" s="32">
        <f>'Расчёт TCO'!F64</f>
        <v/>
      </c>
      <c r="G16" s="14" t="inlineStr">
        <is>
          <t>%</t>
        </is>
      </c>
    </row>
    <row r="17">
      <c r="B17" s="5" t="inlineStr">
        <is>
          <t>ИТОГОВАЯ ОЦЕНКА (критерий: минимум удельного TCO на тонну)</t>
        </is>
      </c>
      <c r="C17" s="4" t="n"/>
      <c r="D17" s="4" t="n"/>
      <c r="E17" s="4" t="n"/>
      <c r="F17" s="4" t="n"/>
      <c r="G17" s="4" t="n"/>
    </row>
    <row r="18">
      <c r="B18" s="26" t="inlineStr">
        <is>
          <t>Место в рейтинге</t>
        </is>
      </c>
      <c r="C18" s="33">
        <f>RANK(C14,C14:F14,1)</f>
        <v/>
      </c>
      <c r="D18" s="33">
        <f>RANK(D14,C14:F14,1)</f>
        <v/>
      </c>
      <c r="E18" s="33">
        <f>RANK(E14,C14:F14,1)</f>
        <v/>
      </c>
      <c r="F18" s="33">
        <f>RANK(F14,C14:F14,1)</f>
        <v/>
      </c>
    </row>
    <row r="19">
      <c r="B19" s="12" t="inlineStr">
        <is>
          <t>Отклонение от лучшего, %</t>
        </is>
      </c>
      <c r="C19" s="34">
        <f>C14/MIN(C14:F14)-1</f>
        <v/>
      </c>
      <c r="D19" s="34">
        <f>D14/MIN(C14:F14)-1</f>
        <v/>
      </c>
      <c r="E19" s="34">
        <f>E14/MIN(C14:F14)-1</f>
        <v/>
      </c>
      <c r="F19" s="34">
        <f>F14/MIN(C14:F14)-1</f>
        <v/>
      </c>
    </row>
    <row r="21">
      <c r="B21" s="35" t="inlineStr">
        <is>
          <t>РЕКОМЕНДУЕМЫЙ ВАРИАНТ:</t>
        </is>
      </c>
      <c r="C21" s="36">
        <f>INDEX(C4:F4,MATCH(MIN(C14:F14),C14:F14,0))&amp;"  ("&amp;TEXT(MIN(C14:F14),"0.00")&amp;" /т)"</f>
        <v/>
      </c>
      <c r="D21" s="37" t="n"/>
      <c r="E21" s="37" t="n"/>
      <c r="F21" s="37" t="n"/>
    </row>
    <row r="23">
      <c r="B23" s="5" t="inlineStr">
        <is>
          <t>СТРУКТУРА ЗАТРАТ TCO (NPV) ПО КАТЕГОРИЯМ</t>
        </is>
      </c>
      <c r="C23" s="4" t="n"/>
      <c r="D23" s="4" t="n"/>
      <c r="E23" s="4" t="n"/>
      <c r="F23" s="4" t="n"/>
      <c r="G23" s="4" t="n"/>
    </row>
    <row r="24">
      <c r="B24" s="11" t="inlineStr">
        <is>
          <t>Категория</t>
        </is>
      </c>
      <c r="C24" s="11">
        <f>'Ввод данных'!C7</f>
        <v/>
      </c>
      <c r="D24" s="11">
        <f>'Ввод данных'!D7</f>
        <v/>
      </c>
      <c r="E24" s="11">
        <f>'Ввод данных'!E7</f>
        <v/>
      </c>
      <c r="F24" s="11">
        <f>'Ввод данных'!F7</f>
        <v/>
      </c>
    </row>
    <row r="25">
      <c r="B25" s="12" t="inlineStr">
        <is>
          <t>Капитальные (за вычетом остат. ст-ти)</t>
        </is>
      </c>
      <c r="C25" s="25">
        <f>'Расчёт TCO'!C46+'Расчёт TCO'!C47-'Расчёт TCO'!C48</f>
        <v/>
      </c>
      <c r="D25" s="25">
        <f>'Расчёт TCO'!D46+'Расчёт TCO'!D47-'Расчёт TCO'!D48</f>
        <v/>
      </c>
      <c r="E25" s="25">
        <f>'Расчёт TCO'!E46+'Расчёт TCO'!E47-'Расчёт TCO'!E48</f>
        <v/>
      </c>
      <c r="F25" s="25">
        <f>'Расчёт TCO'!F46+'Расчёт TCO'!F47-'Расчёт TCO'!F48</f>
        <v/>
      </c>
    </row>
    <row r="26">
      <c r="B26" s="12" t="inlineStr">
        <is>
          <t>Энергия / топливо</t>
        </is>
      </c>
      <c r="C26" s="25">
        <f>'Расчёт TCO'!C42</f>
        <v/>
      </c>
      <c r="D26" s="25">
        <f>'Расчёт TCO'!D42</f>
        <v/>
      </c>
      <c r="E26" s="25">
        <f>'Расчёт TCO'!E42</f>
        <v/>
      </c>
      <c r="F26" s="25">
        <f>'Расчёт TCO'!F42</f>
        <v/>
      </c>
    </row>
    <row r="27">
      <c r="B27" s="12" t="inlineStr">
        <is>
          <t>Оплата труда</t>
        </is>
      </c>
      <c r="C27" s="25">
        <f>'Расчёт TCO'!C43</f>
        <v/>
      </c>
      <c r="D27" s="25">
        <f>'Расчёт TCO'!D43</f>
        <v/>
      </c>
      <c r="E27" s="25">
        <f>'Расчёт TCO'!E43</f>
        <v/>
      </c>
      <c r="F27" s="25">
        <f>'Расчёт TCO'!F43</f>
        <v/>
      </c>
    </row>
    <row r="28">
      <c r="B28" s="12" t="inlineStr">
        <is>
          <t>Запчасти и ТОиР</t>
        </is>
      </c>
      <c r="C28" s="25">
        <f>'Расчёт TCO'!C44</f>
        <v/>
      </c>
      <c r="D28" s="25">
        <f>'Расчёт TCO'!D44</f>
        <v/>
      </c>
      <c r="E28" s="25">
        <f>'Расчёт TCO'!E44</f>
        <v/>
      </c>
      <c r="F28" s="25">
        <f>'Расчёт TCO'!F44</f>
        <v/>
      </c>
    </row>
    <row r="29">
      <c r="B29" s="12" t="inlineStr">
        <is>
          <t>Постоянные (страхование, налоги)</t>
        </is>
      </c>
      <c r="C29" s="25">
        <f>'Расчёт TCO'!C45</f>
        <v/>
      </c>
      <c r="D29" s="25">
        <f>'Расчёт TCO'!D45</f>
        <v/>
      </c>
      <c r="E29" s="25">
        <f>'Расчёт TCO'!E45</f>
        <v/>
      </c>
      <c r="F29" s="25">
        <f>'Расчёт TCO'!F45</f>
        <v/>
      </c>
    </row>
    <row r="30">
      <c r="B30" s="38" t="inlineStr">
        <is>
          <t>ИТОГО TCO (NPV)</t>
        </is>
      </c>
      <c r="C30" s="39">
        <f>SUM(C25:C29)</f>
        <v/>
      </c>
      <c r="D30" s="39">
        <f>SUM(D25:D29)</f>
        <v/>
      </c>
      <c r="E30" s="39">
        <f>SUM(E25:E29)</f>
        <v/>
      </c>
      <c r="F30" s="39">
        <f>SUM(F25:F29)</f>
        <v/>
      </c>
    </row>
  </sheetData>
  <mergeCells count="5">
    <mergeCell ref="B1:H1"/>
    <mergeCell ref="B17:G17"/>
    <mergeCell ref="B23:G23"/>
    <mergeCell ref="C21:F21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Торнадо-анализ ключевых драйверов и чувствительность к утилизации.</t>
        </is>
      </c>
      <c r="C2" s="2" t="n"/>
      <c r="D2" s="2" t="n"/>
      <c r="E2" s="2" t="n"/>
      <c r="F2" s="2" t="n"/>
      <c r="G2" s="2" t="n"/>
      <c r="H2" s="2" t="n"/>
    </row>
    <row r="4">
      <c r="B4" s="40" t="inlineStr">
        <is>
          <t>Анализируемый вариант (1–4):</t>
        </is>
      </c>
      <c r="C4" s="13" t="n">
        <v>1</v>
      </c>
      <c r="D4" s="41">
        <f>INDEX('Ввод данных'!C7:F7,$C$4)</f>
        <v/>
      </c>
    </row>
    <row r="6">
      <c r="B6" s="5" t="inlineStr">
        <is>
          <t>БАЗОВЫЕ ПОКАЗАТЕЛИ ВЫБРАННОГО ВАРИАНТА</t>
        </is>
      </c>
      <c r="C6" s="4" t="n"/>
      <c r="D6" s="4" t="n"/>
      <c r="E6" s="4" t="n"/>
      <c r="F6" s="4" t="n"/>
      <c r="G6" s="4" t="n"/>
    </row>
    <row r="7">
      <c r="B7" s="12" t="inlineStr">
        <is>
          <t>TCO (NPV)</t>
        </is>
      </c>
      <c r="C7" s="25">
        <f>INDEX('Расчёт TCO'!C49:F49,$C$4)</f>
        <v/>
      </c>
    </row>
    <row r="8">
      <c r="B8" s="12" t="inlineStr">
        <is>
          <t>EAC — эквивалентная годовая</t>
        </is>
      </c>
      <c r="C8" s="25">
        <f>INDEX('Расчёт TCO'!C59:F59,$C$4)</f>
        <v/>
      </c>
    </row>
    <row r="9">
      <c r="B9" s="12" t="inlineStr">
        <is>
          <t>Удельный TCO на тонну</t>
        </is>
      </c>
      <c r="C9" s="27">
        <f>INDEX('Расчёт TCO'!C62:F62,$C$4)</f>
        <v/>
      </c>
    </row>
    <row r="10">
      <c r="B10" s="12" t="inlineStr">
        <is>
          <t>Коэф. аннуитета (r, N)</t>
        </is>
      </c>
      <c r="C10" s="27">
        <f>INDEX('Расчёт TCO'!C38:F38,$C$4)</f>
        <v/>
      </c>
    </row>
    <row r="11">
      <c r="B11" s="12" t="inlineStr">
        <is>
          <t>Годовой объём производства, т</t>
        </is>
      </c>
      <c r="C11" s="25">
        <f>INDEX('Расчёт TCO'!C7:F7,$C$4)</f>
        <v/>
      </c>
    </row>
    <row r="12">
      <c r="B12" s="12" t="inlineStr">
        <is>
          <t>NPV энергии</t>
        </is>
      </c>
      <c r="C12" s="25">
        <f>INDEX('Расчёт TCO'!C42:F42,$C$4)</f>
        <v/>
      </c>
    </row>
    <row r="13">
      <c r="B13" s="12" t="inlineStr">
        <is>
          <t>NPV труда</t>
        </is>
      </c>
      <c r="C13" s="25">
        <f>INDEX('Расчёт TCO'!C43:F43,$C$4)</f>
        <v/>
      </c>
    </row>
    <row r="14">
      <c r="B14" s="12" t="inlineStr">
        <is>
          <t>NPV запчастей и ТОиР</t>
        </is>
      </c>
      <c r="C14" s="25">
        <f>INDEX('Расчёт TCO'!C44:F44,$C$4)</f>
        <v/>
      </c>
    </row>
    <row r="15">
      <c r="B15" s="12" t="inlineStr">
        <is>
          <t>NPV капитальных (нетто)</t>
        </is>
      </c>
      <c r="C15" s="25">
        <f>INDEX('Расчёт TCO'!C46:F46,$C$4)+INDEX('Расчёт TCO'!C47:F47,$C$4)-INDEX('Расчёт TCO'!C48:F48,$C$4)+INDEX('Расчёт TCO'!C45:F45,$C$4)</f>
        <v/>
      </c>
    </row>
    <row r="16">
      <c r="B16" s="12" t="inlineStr">
        <is>
          <t>NPV переменных (энергия+труд+ТОиР)</t>
        </is>
      </c>
      <c r="C16" s="25">
        <f>INDEX('Расчёт TCO'!C42:F42,$C$4)+INDEX('Расчёт TCO'!C43:F43,$C$4)+INDEX('Расчёт TCO'!C44:F44,$C$4)</f>
        <v/>
      </c>
    </row>
    <row r="18">
      <c r="B18" s="5" t="inlineStr">
        <is>
          <t>ТОРНАДО-АНАЛИЗ: ВЛИЯНИЕ ДРАЙВЕРОВ НА TCO (NPV)</t>
        </is>
      </c>
      <c r="C18" s="4" t="n"/>
      <c r="D18" s="4" t="n"/>
      <c r="E18" s="4" t="n"/>
      <c r="F18" s="4" t="n"/>
      <c r="G18" s="4" t="n"/>
    </row>
    <row r="19">
      <c r="B19" s="11" t="inlineStr">
        <is>
          <t>Драйвер</t>
        </is>
      </c>
      <c r="C19" s="11" t="inlineStr">
        <is>
          <t>Диапазон</t>
        </is>
      </c>
      <c r="D19" s="11" t="inlineStr">
        <is>
          <t>TCO при снижении</t>
        </is>
      </c>
      <c r="E19" s="11" t="inlineStr">
        <is>
          <t>TCO при росте</t>
        </is>
      </c>
      <c r="F19" s="11" t="inlineStr">
        <is>
          <t>Размах</t>
        </is>
      </c>
      <c r="G19" s="11" t="inlineStr">
        <is>
          <t>Влияние, %</t>
        </is>
      </c>
      <c r="I19" s="42" t="inlineStr">
        <is>
          <t>низкое, откл.</t>
        </is>
      </c>
      <c r="J19" s="42" t="inlineStr">
        <is>
          <t>высокое, откл.</t>
        </is>
      </c>
    </row>
    <row r="20">
      <c r="B20" s="12" t="inlineStr">
        <is>
          <t>Цена топлива / энергии</t>
        </is>
      </c>
      <c r="C20" s="43" t="inlineStr">
        <is>
          <t>±20%</t>
        </is>
      </c>
      <c r="D20" s="25">
        <f>$C$7-0.2*$C$12</f>
        <v/>
      </c>
      <c r="E20" s="25">
        <f>$C$7+0.2*$C$12</f>
        <v/>
      </c>
      <c r="F20" s="25">
        <f>E20-D20</f>
        <v/>
      </c>
      <c r="G20" s="32">
        <f>F20/$C$7</f>
        <v/>
      </c>
      <c r="I20" s="44">
        <f>D20-$C$7</f>
        <v/>
      </c>
      <c r="J20" s="44">
        <f>E20-$C$7</f>
        <v/>
      </c>
    </row>
    <row r="21">
      <c r="B21" s="12" t="inlineStr">
        <is>
          <t>Оплата труда</t>
        </is>
      </c>
      <c r="C21" s="43" t="inlineStr">
        <is>
          <t>±15%</t>
        </is>
      </c>
      <c r="D21" s="25">
        <f>$C$7-0.15*$C$13</f>
        <v/>
      </c>
      <c r="E21" s="25">
        <f>$C$7+0.15*$C$13</f>
        <v/>
      </c>
      <c r="F21" s="25">
        <f>E21-D21</f>
        <v/>
      </c>
      <c r="G21" s="32">
        <f>F21/$C$7</f>
        <v/>
      </c>
      <c r="I21" s="44">
        <f>D21-$C$7</f>
        <v/>
      </c>
      <c r="J21" s="44">
        <f>E21-$C$7</f>
        <v/>
      </c>
    </row>
    <row r="22">
      <c r="B22" s="12" t="inlineStr">
        <is>
          <t>Затраты на ТОиР</t>
        </is>
      </c>
      <c r="C22" s="43" t="inlineStr">
        <is>
          <t>±25%</t>
        </is>
      </c>
      <c r="D22" s="25">
        <f>$C$7-0.25*$C$14</f>
        <v/>
      </c>
      <c r="E22" s="25">
        <f>$C$7+0.25*$C$14</f>
        <v/>
      </c>
      <c r="F22" s="25">
        <f>E22-D22</f>
        <v/>
      </c>
      <c r="G22" s="32">
        <f>F22/$C$7</f>
        <v/>
      </c>
      <c r="I22" s="44">
        <f>D22-$C$7</f>
        <v/>
      </c>
      <c r="J22" s="44">
        <f>E22-$C$7</f>
        <v/>
      </c>
    </row>
    <row r="23">
      <c r="B23" s="12" t="inlineStr">
        <is>
          <t>Цена приобретения</t>
        </is>
      </c>
      <c r="C23" s="43" t="inlineStr">
        <is>
          <t>±15%</t>
        </is>
      </c>
      <c r="D23" s="25">
        <f>$C$7-0.15*$C$15</f>
        <v/>
      </c>
      <c r="E23" s="25">
        <f>$C$7+0.15*$C$15</f>
        <v/>
      </c>
      <c r="F23" s="25">
        <f>E23-D23</f>
        <v/>
      </c>
      <c r="G23" s="32">
        <f>F23/$C$7</f>
        <v/>
      </c>
      <c r="I23" s="44">
        <f>D23-$C$7</f>
        <v/>
      </c>
      <c r="J23" s="44">
        <f>E23-$C$7</f>
        <v/>
      </c>
    </row>
    <row r="26">
      <c r="B26" s="5" t="inlineStr">
        <is>
          <t>ЧУВСТВИТЕЛЬНОСТЬ К УТИЛИЗАЦИИ (НАРАБОТКЕ)</t>
        </is>
      </c>
      <c r="C26" s="4" t="n"/>
      <c r="D26" s="4" t="n"/>
      <c r="E26" s="4" t="n"/>
      <c r="F26" s="4" t="n"/>
      <c r="G26" s="4" t="n"/>
    </row>
    <row r="27">
      <c r="B27" s="11" t="inlineStr">
        <is>
          <t>Изменение наработки</t>
        </is>
      </c>
      <c r="C27" s="11" t="inlineStr">
        <is>
          <t>-15%</t>
        </is>
      </c>
      <c r="D27" s="11" t="inlineStr">
        <is>
          <t>-10%</t>
        </is>
      </c>
      <c r="E27" s="11" t="inlineStr">
        <is>
          <t>0%</t>
        </is>
      </c>
      <c r="F27" s="11" t="inlineStr">
        <is>
          <t>+10%</t>
        </is>
      </c>
      <c r="G27" s="11" t="inlineStr">
        <is>
          <t>+15%</t>
        </is>
      </c>
    </row>
    <row r="28">
      <c r="B28" s="12" t="inlineStr">
        <is>
          <t>TCO (NPV)</t>
        </is>
      </c>
      <c r="C28" s="25">
        <f>($C$7-$C$16)+$C$16*(1+-0.15)</f>
        <v/>
      </c>
      <c r="D28" s="25">
        <f>($C$7-$C$16)+$C$16*(1+-0.1)</f>
        <v/>
      </c>
      <c r="E28" s="25">
        <f>($C$7-$C$16)+$C$16*(1+0.0)</f>
        <v/>
      </c>
      <c r="F28" s="25">
        <f>($C$7-$C$16)+$C$16*(1+0.1)</f>
        <v/>
      </c>
      <c r="G28" s="25">
        <f>($C$7-$C$16)+$C$16*(1+0.15)</f>
        <v/>
      </c>
    </row>
    <row r="29">
      <c r="B29" s="26" t="inlineStr">
        <is>
          <t>Удельный TCO на тонну</t>
        </is>
      </c>
      <c r="C29" s="45">
        <f>(C28/$C$10)/($C$11*(1+-0.15))</f>
        <v/>
      </c>
      <c r="D29" s="45">
        <f>(D28/$C$10)/($C$11*(1+-0.1))</f>
        <v/>
      </c>
      <c r="E29" s="46">
        <f>(E28/$C$10)/($C$11*(1+0.0))</f>
        <v/>
      </c>
      <c r="F29" s="45">
        <f>(F28/$C$10)/($C$11*(1+0.1))</f>
        <v/>
      </c>
      <c r="G29" s="45">
        <f>(G28/$C$10)/($C$11*(1+0.15))</f>
        <v/>
      </c>
    </row>
    <row r="31">
      <c r="B31" s="47" t="inlineStr">
        <is>
          <t>Примечание: рост наработки распределяет постоянные затраты на больший объём — удельный TCO на тонну снижается (эффект масштаба использования).</t>
        </is>
      </c>
    </row>
  </sheetData>
  <mergeCells count="7">
    <mergeCell ref="B1:H1"/>
    <mergeCell ref="B31:G31"/>
    <mergeCell ref="D4:F4"/>
    <mergeCell ref="B2:H2"/>
    <mergeCell ref="B26:G26"/>
    <mergeCell ref="B18:G18"/>
    <mergeCell ref="B6:G6"/>
  </mergeCells>
  <dataValidations count="1">
    <dataValidation sqref="C4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</row>
    <row r="2">
      <c r="B2" s="3" t="inlineStr">
        <is>
          <t>Диапазоны для проверки исходных данных. Требуют уточнения по данным поставщика/эксплуатации.</t>
        </is>
      </c>
      <c r="C2" s="2" t="n"/>
      <c r="D2" s="2" t="n"/>
      <c r="E2" s="2" t="n"/>
      <c r="F2" s="2" t="n"/>
      <c r="G2" s="2" t="n"/>
      <c r="H2" s="2" t="n"/>
    </row>
    <row r="4">
      <c r="B4" s="11" t="inlineStr">
        <is>
          <t>Класс оборудования</t>
        </is>
      </c>
      <c r="C4" s="11" t="inlineStr">
        <is>
          <t>Мощность, кВт</t>
        </is>
      </c>
      <c r="D4" s="11" t="inlineStr">
        <is>
          <t>Расход топлива, л/мото-ч</t>
        </is>
      </c>
      <c r="E4" s="11" t="inlineStr">
        <is>
          <t>Ресурс ходовой/шин, мото-ч</t>
        </is>
      </c>
      <c r="F4" s="11" t="inlineStr">
        <is>
          <t>Плановое ТО, /мото-ч</t>
        </is>
      </c>
      <c r="G4" s="11" t="inlineStr">
        <is>
          <t>Периодич. капрем., мото-ч</t>
        </is>
      </c>
      <c r="H4" s="11" t="inlineStr">
        <is>
          <t>Ресурс до списания, мото-ч</t>
        </is>
      </c>
      <c r="I4" s="11" t="inlineStr">
        <is>
          <t>Коэф. готовности</t>
        </is>
      </c>
      <c r="J4" s="11" t="inlineStr">
        <is>
          <t>Остат. ст-ть, %</t>
        </is>
      </c>
    </row>
    <row r="5">
      <c r="B5" s="12" t="inlineStr">
        <is>
          <t>Карьерный самосвал (90–100 т)</t>
        </is>
      </c>
      <c r="C5" s="43" t="inlineStr">
        <is>
          <t>750–900</t>
        </is>
      </c>
      <c r="D5" s="43" t="inlineStr">
        <is>
          <t>45–75</t>
        </is>
      </c>
      <c r="E5" s="43" t="inlineStr">
        <is>
          <t>5 000–7 000 (шины)</t>
        </is>
      </c>
      <c r="F5" s="43" t="inlineStr">
        <is>
          <t>12–22</t>
        </is>
      </c>
      <c r="G5" s="43" t="inlineStr">
        <is>
          <t>18 000–24 000</t>
        </is>
      </c>
      <c r="H5" s="43" t="inlineStr">
        <is>
          <t>60 000–90 000</t>
        </is>
      </c>
      <c r="I5" s="43" t="inlineStr">
        <is>
          <t>80–88%</t>
        </is>
      </c>
      <c r="J5" s="43" t="inlineStr">
        <is>
          <t>10–18%</t>
        </is>
      </c>
    </row>
    <row r="6">
      <c r="B6" s="48" t="inlineStr">
        <is>
          <t>Карьерный самосвал (220 т+)</t>
        </is>
      </c>
      <c r="C6" s="49" t="inlineStr">
        <is>
          <t>1 800–2 700</t>
        </is>
      </c>
      <c r="D6" s="49" t="inlineStr">
        <is>
          <t>180–280</t>
        </is>
      </c>
      <c r="E6" s="49" t="inlineStr">
        <is>
          <t>6 000–9 000 (шины)</t>
        </is>
      </c>
      <c r="F6" s="49" t="inlineStr">
        <is>
          <t>22–40</t>
        </is>
      </c>
      <c r="G6" s="49" t="inlineStr">
        <is>
          <t>18 000–24 000</t>
        </is>
      </c>
      <c r="H6" s="49" t="inlineStr">
        <is>
          <t>60 000–100 000</t>
        </is>
      </c>
      <c r="I6" s="49" t="inlineStr">
        <is>
          <t>82–90%</t>
        </is>
      </c>
      <c r="J6" s="49" t="inlineStr">
        <is>
          <t>12–20%</t>
        </is>
      </c>
    </row>
    <row r="7">
      <c r="B7" s="12" t="inlineStr">
        <is>
          <t>Гидравлический экскаватор ~250 т</t>
        </is>
      </c>
      <c r="C7" s="43" t="inlineStr">
        <is>
          <t>1 300–1 700</t>
        </is>
      </c>
      <c r="D7" s="43" t="inlineStr">
        <is>
          <t>260–340</t>
        </is>
      </c>
      <c r="E7" s="43" t="inlineStr">
        <is>
          <t>12 000–18 000 (ход.)</t>
        </is>
      </c>
      <c r="F7" s="43" t="inlineStr">
        <is>
          <t>30–50</t>
        </is>
      </c>
      <c r="G7" s="43" t="inlineStr">
        <is>
          <t>18 000–24 000</t>
        </is>
      </c>
      <c r="H7" s="43" t="inlineStr">
        <is>
          <t>60 000–90 000</t>
        </is>
      </c>
      <c r="I7" s="43" t="inlineStr">
        <is>
          <t>80–88%</t>
        </is>
      </c>
      <c r="J7" s="43" t="inlineStr">
        <is>
          <t>10–16%</t>
        </is>
      </c>
    </row>
    <row r="8">
      <c r="B8" s="48" t="inlineStr">
        <is>
          <t>Электрический канатный экскав.</t>
        </is>
      </c>
      <c r="C8" s="49" t="inlineStr">
        <is>
          <t>2 000–4 500</t>
        </is>
      </c>
      <c r="D8" s="49" t="inlineStr">
        <is>
          <t>(электро)</t>
        </is>
      </c>
      <c r="E8" s="49" t="inlineStr">
        <is>
          <t>40 000–60 000 (ход.)</t>
        </is>
      </c>
      <c r="F8" s="49" t="inlineStr">
        <is>
          <t>25–45</t>
        </is>
      </c>
      <c r="G8" s="49" t="inlineStr">
        <is>
          <t>40 000–60 000</t>
        </is>
      </c>
      <c r="H8" s="49" t="inlineStr">
        <is>
          <t>120 000–200 000</t>
        </is>
      </c>
      <c r="I8" s="49" t="inlineStr">
        <is>
          <t>85–92%</t>
        </is>
      </c>
      <c r="J8" s="49" t="inlineStr">
        <is>
          <t>8–15%</t>
        </is>
      </c>
    </row>
    <row r="9">
      <c r="B9" s="12" t="inlineStr">
        <is>
          <t>Колёсный погрузчик (10–15 м³)</t>
        </is>
      </c>
      <c r="C9" s="43" t="inlineStr">
        <is>
          <t>500–900</t>
        </is>
      </c>
      <c r="D9" s="43" t="inlineStr">
        <is>
          <t>60–110</t>
        </is>
      </c>
      <c r="E9" s="43" t="inlineStr">
        <is>
          <t>4 000–6 000 (шины)</t>
        </is>
      </c>
      <c r="F9" s="43" t="inlineStr">
        <is>
          <t>18–32</t>
        </is>
      </c>
      <c r="G9" s="43" t="inlineStr">
        <is>
          <t>16 000–20 000</t>
        </is>
      </c>
      <c r="H9" s="43" t="inlineStr">
        <is>
          <t>50 000–70 000</t>
        </is>
      </c>
      <c r="I9" s="43" t="inlineStr">
        <is>
          <t>80–88%</t>
        </is>
      </c>
      <c r="J9" s="43" t="inlineStr">
        <is>
          <t>12–20%</t>
        </is>
      </c>
    </row>
    <row r="10">
      <c r="B10" s="48" t="inlineStr">
        <is>
          <t>Бульдозер (крупный, 60–100 т)</t>
        </is>
      </c>
      <c r="C10" s="49" t="inlineStr">
        <is>
          <t>400–700</t>
        </is>
      </c>
      <c r="D10" s="49" t="inlineStr">
        <is>
          <t>40–70</t>
        </is>
      </c>
      <c r="E10" s="49" t="inlineStr">
        <is>
          <t>8 000–12 000 (ход.)</t>
        </is>
      </c>
      <c r="F10" s="49" t="inlineStr">
        <is>
          <t>20–35</t>
        </is>
      </c>
      <c r="G10" s="49" t="inlineStr">
        <is>
          <t>15 000–20 000</t>
        </is>
      </c>
      <c r="H10" s="49" t="inlineStr">
        <is>
          <t>45 000–70 000</t>
        </is>
      </c>
      <c r="I10" s="49" t="inlineStr">
        <is>
          <t>78–86%</t>
        </is>
      </c>
      <c r="J10" s="49" t="inlineStr">
        <is>
          <t>10–18%</t>
        </is>
      </c>
    </row>
    <row r="11">
      <c r="B11" s="12" t="inlineStr">
        <is>
          <t>Буровой станок (шарошечный)</t>
        </is>
      </c>
      <c r="C11" s="43" t="inlineStr">
        <is>
          <t>400–900</t>
        </is>
      </c>
      <c r="D11" s="43" t="inlineStr">
        <is>
          <t>50–90</t>
        </is>
      </c>
      <c r="E11" s="43" t="inlineStr">
        <is>
          <t>—</t>
        </is>
      </c>
      <c r="F11" s="43" t="inlineStr">
        <is>
          <t>20–40</t>
        </is>
      </c>
      <c r="G11" s="43" t="inlineStr">
        <is>
          <t>18 000–24 000</t>
        </is>
      </c>
      <c r="H11" s="43" t="inlineStr">
        <is>
          <t>60 000–90 000</t>
        </is>
      </c>
      <c r="I11" s="43" t="inlineStr">
        <is>
          <t>80–88%</t>
        </is>
      </c>
      <c r="J11" s="43" t="inlineStr">
        <is>
          <t>10–18%</t>
        </is>
      </c>
    </row>
    <row r="13">
      <c r="B13" s="7" t="inlineStr">
        <is>
          <t>Методические примечания:</t>
        </is>
      </c>
    </row>
    <row r="14">
      <c r="B14" s="18" t="inlineStr">
        <is>
          <t>•  Смазочные материалы: обычно 8–15% от стоимости топлива.</t>
        </is>
      </c>
    </row>
    <row r="15">
      <c r="B15" s="18" t="inlineStr">
        <is>
          <t>•  Оплата труда: закладывается «полная» ставка (налоги, СИЗ, обучение, накладные, подмена).</t>
        </is>
      </c>
    </row>
    <row r="16">
      <c r="B16" s="18" t="inlineStr">
        <is>
          <t>•  Эскалация: цена топлива и ФОТ, как правило, растут быстрее общей инфляции.</t>
        </is>
      </c>
    </row>
    <row r="17">
      <c r="B17" s="18" t="inlineStr">
        <is>
          <t>•  Ставка дисконтирования = WACC компании (обычно 8–15% в реальном или номинальном выражении — согласуйте с эскалацией).</t>
        </is>
      </c>
    </row>
    <row r="18">
      <c r="B18" s="18" t="inlineStr">
        <is>
          <t>•  Капремонты (rebuild) двигателя/гидравлики/трансмиссии учитываются как аннуитизированные затраты по наработке.</t>
        </is>
      </c>
    </row>
    <row r="19">
      <c r="B19" s="18" t="inlineStr">
        <is>
          <t>•  Значения таблицы — ориентир для проверки порядка величин, а не норматив.</t>
        </is>
      </c>
    </row>
  </sheetData>
  <mergeCells count="8">
    <mergeCell ref="B15:J15"/>
    <mergeCell ref="B19:J19"/>
    <mergeCell ref="B14:J14"/>
    <mergeCell ref="B17:J17"/>
    <mergeCell ref="B18:J18"/>
    <mergeCell ref="B1:J1"/>
    <mergeCell ref="B2:J2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2026-07-16T11:11:27Z</dcterms:created>
  <dcterms:modified xsi:type="dcterms:W3CDTF">2026-07-16T11:11:27Z</dcterms:modified>
</cp:coreProperties>
</file>