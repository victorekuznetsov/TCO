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23\Desktop\Расчеты ТСО\"/>
    </mc:Choice>
  </mc:AlternateContent>
  <xr:revisionPtr revIDLastSave="0" documentId="8_{5EC30CED-A324-4D36-B53B-130CBA731169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Данные_Буровой станок" sheetId="1" r:id="rId1"/>
    <sheet name="ТО" sheetId="2" r:id="rId2"/>
    <sheet name="Ремонты" sheetId="3" r:id="rId3"/>
  </sheets>
  <definedNames>
    <definedName name="_A" localSheetId="0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FALSE()</definedName>
    <definedName name="HTML_LineBefore" hidden="1">FALSE()</definedName>
    <definedName name="HTML_Name" hidden="1">"Вячеслав Г. Колчин"</definedName>
    <definedName name="HTML_OBDlg2" hidden="1">TRUE()</definedName>
    <definedName name="HTML_OBDlg4" hidden="1">TRUE()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_xlnm.Print_Titles" localSheetId="0">'Данные_Буровой станок'!$3:$4</definedName>
    <definedName name="_xlnm.Print_Titles" localSheetId="2">Ремонты!$4:$4,Ремонты!$B:$B</definedName>
    <definedName name="_xlnm.Print_Titles" localSheetId="1">ТО!$4:$4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и" hidden="1">{"'РП (2)'!$A$5:$S$150"}</definedName>
    <definedName name="ииии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й" hidden="1">{"'РП (2)'!$A$5:$S$150"}</definedName>
    <definedName name="йй" hidden="1">{"'РП (2)'!$A$5:$S$150"}</definedName>
    <definedName name="ййй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_xlnm.Print_Area" localSheetId="0">'Данные_Буровой станок'!$A$1:$Q$81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5" i="3" l="1"/>
  <c r="E58" i="2"/>
  <c r="E51" i="2"/>
  <c r="E44" i="2"/>
  <c r="E37" i="2"/>
  <c r="E30" i="2"/>
  <c r="E23" i="2"/>
  <c r="C47" i="1"/>
  <c r="C44" i="1"/>
  <c r="C41" i="1"/>
  <c r="C38" i="1"/>
  <c r="Q77" i="3" l="1"/>
  <c r="P77" i="3"/>
  <c r="O77" i="3"/>
  <c r="N77" i="3"/>
  <c r="M77" i="3"/>
  <c r="L77" i="3"/>
  <c r="K77" i="3"/>
  <c r="J77" i="3"/>
  <c r="I77" i="3"/>
  <c r="H77" i="3"/>
  <c r="G77" i="3"/>
  <c r="F77" i="3"/>
  <c r="Q76" i="3"/>
  <c r="P76" i="3"/>
  <c r="O76" i="3"/>
  <c r="N76" i="3"/>
  <c r="M76" i="3"/>
  <c r="L76" i="3"/>
  <c r="K76" i="3"/>
  <c r="J76" i="3"/>
  <c r="I76" i="3"/>
  <c r="H76" i="3"/>
  <c r="G76" i="3"/>
  <c r="F76" i="3"/>
  <c r="Q75" i="3"/>
  <c r="O75" i="3"/>
  <c r="N75" i="3"/>
  <c r="L75" i="3"/>
  <c r="J75" i="3"/>
  <c r="I75" i="3"/>
  <c r="G75" i="3"/>
  <c r="P74" i="3"/>
  <c r="M74" i="3"/>
  <c r="K74" i="3"/>
  <c r="H74" i="3"/>
  <c r="Q73" i="3"/>
  <c r="P73" i="3"/>
  <c r="O73" i="3"/>
  <c r="M73" i="3"/>
  <c r="L73" i="3"/>
  <c r="K73" i="3"/>
  <c r="I73" i="3"/>
  <c r="H73" i="3"/>
  <c r="G73" i="3"/>
  <c r="Q71" i="3"/>
  <c r="O71" i="3"/>
  <c r="M71" i="3"/>
  <c r="K71" i="3"/>
  <c r="I71" i="3"/>
  <c r="G71" i="3"/>
  <c r="Q70" i="3"/>
  <c r="O70" i="3"/>
  <c r="M70" i="3"/>
  <c r="K70" i="3"/>
  <c r="I70" i="3"/>
  <c r="G70" i="3"/>
  <c r="Q69" i="3"/>
  <c r="O69" i="3"/>
  <c r="N69" i="3"/>
  <c r="L69" i="3"/>
  <c r="J69" i="3"/>
  <c r="I69" i="3"/>
  <c r="G69" i="3"/>
  <c r="Q68" i="3"/>
  <c r="M68" i="3"/>
  <c r="I68" i="3"/>
  <c r="Q67" i="3"/>
  <c r="O67" i="3"/>
  <c r="M67" i="3"/>
  <c r="K67" i="3"/>
  <c r="I67" i="3"/>
  <c r="G67" i="3"/>
  <c r="O65" i="3"/>
  <c r="M65" i="3"/>
  <c r="J65" i="3"/>
  <c r="H65" i="3"/>
  <c r="Q64" i="3"/>
  <c r="P64" i="3"/>
  <c r="O64" i="3"/>
  <c r="M64" i="3"/>
  <c r="L64" i="3"/>
  <c r="K64" i="3"/>
  <c r="I64" i="3"/>
  <c r="H64" i="3"/>
  <c r="G64" i="3"/>
  <c r="Q63" i="3"/>
  <c r="N63" i="3"/>
  <c r="K63" i="3"/>
  <c r="H63" i="3"/>
  <c r="Q62" i="3"/>
  <c r="N62" i="3"/>
  <c r="K62" i="3"/>
  <c r="H62" i="3"/>
  <c r="Q61" i="3"/>
  <c r="O61" i="3"/>
  <c r="N61" i="3"/>
  <c r="L61" i="3"/>
  <c r="J61" i="3"/>
  <c r="I61" i="3"/>
  <c r="G61" i="3"/>
  <c r="Q59" i="3"/>
  <c r="P59" i="3"/>
  <c r="O59" i="3"/>
  <c r="N59" i="3"/>
  <c r="M59" i="3"/>
  <c r="L59" i="3"/>
  <c r="K59" i="3"/>
  <c r="J59" i="3"/>
  <c r="I59" i="3"/>
  <c r="H59" i="3"/>
  <c r="G59" i="3"/>
  <c r="F59" i="3"/>
  <c r="O58" i="3"/>
  <c r="M58" i="3"/>
  <c r="J58" i="3"/>
  <c r="H58" i="3"/>
  <c r="Q57" i="3"/>
  <c r="O57" i="3"/>
  <c r="M57" i="3"/>
  <c r="K57" i="3"/>
  <c r="I57" i="3"/>
  <c r="G57" i="3"/>
  <c r="P56" i="3"/>
  <c r="M56" i="3"/>
  <c r="K56" i="3"/>
  <c r="H56" i="3"/>
  <c r="Q55" i="3"/>
  <c r="P55" i="3"/>
  <c r="O55" i="3"/>
  <c r="M55" i="3"/>
  <c r="L55" i="3"/>
  <c r="K55" i="3"/>
  <c r="I55" i="3"/>
  <c r="H55" i="3"/>
  <c r="G55" i="3"/>
  <c r="Q53" i="3"/>
  <c r="P53" i="3"/>
  <c r="O53" i="3"/>
  <c r="M53" i="3"/>
  <c r="L53" i="3"/>
  <c r="K53" i="3"/>
  <c r="I53" i="3"/>
  <c r="H53" i="3"/>
  <c r="G53" i="3"/>
  <c r="Q52" i="3"/>
  <c r="O52" i="3"/>
  <c r="N52" i="3"/>
  <c r="L52" i="3"/>
  <c r="J52" i="3"/>
  <c r="I52" i="3"/>
  <c r="G52" i="3"/>
  <c r="Q51" i="3"/>
  <c r="P51" i="3"/>
  <c r="O51" i="3"/>
  <c r="N51" i="3"/>
  <c r="M51" i="3"/>
  <c r="L51" i="3"/>
  <c r="K51" i="3"/>
  <c r="J51" i="3"/>
  <c r="I51" i="3"/>
  <c r="H51" i="3"/>
  <c r="G51" i="3"/>
  <c r="F51" i="3"/>
  <c r="O50" i="3"/>
  <c r="M50" i="3"/>
  <c r="J50" i="3"/>
  <c r="H50" i="3"/>
  <c r="P49" i="3"/>
  <c r="M49" i="3"/>
  <c r="K49" i="3"/>
  <c r="H49" i="3"/>
  <c r="Q48" i="3"/>
  <c r="P48" i="3"/>
  <c r="O48" i="3"/>
  <c r="M48" i="3"/>
  <c r="L48" i="3"/>
  <c r="K48" i="3"/>
  <c r="I48" i="3"/>
  <c r="H48" i="3"/>
  <c r="G48" i="3"/>
  <c r="N46" i="3"/>
  <c r="H45" i="3"/>
  <c r="Q44" i="3"/>
  <c r="O44" i="3"/>
  <c r="M44" i="3"/>
  <c r="K44" i="3"/>
  <c r="I44" i="3"/>
  <c r="G44" i="3"/>
  <c r="Q43" i="3"/>
  <c r="O43" i="3"/>
  <c r="N43" i="3"/>
  <c r="L43" i="3"/>
  <c r="J43" i="3"/>
  <c r="I43" i="3"/>
  <c r="G43" i="3"/>
  <c r="Q42" i="3"/>
  <c r="O42" i="3"/>
  <c r="M42" i="3"/>
  <c r="K42" i="3"/>
  <c r="I42" i="3"/>
  <c r="G42" i="3"/>
  <c r="Q41" i="3"/>
  <c r="P41" i="3"/>
  <c r="O41" i="3"/>
  <c r="N41" i="3"/>
  <c r="M41" i="3"/>
  <c r="L41" i="3"/>
  <c r="K41" i="3"/>
  <c r="J41" i="3"/>
  <c r="I41" i="3"/>
  <c r="H41" i="3"/>
  <c r="G41" i="3"/>
  <c r="F41" i="3"/>
  <c r="Q38" i="3"/>
  <c r="P38" i="3"/>
  <c r="O38" i="3"/>
  <c r="N38" i="3"/>
  <c r="M38" i="3"/>
  <c r="L38" i="3"/>
  <c r="K38" i="3"/>
  <c r="J38" i="3"/>
  <c r="I38" i="3"/>
  <c r="H38" i="3"/>
  <c r="G38" i="3"/>
  <c r="F38" i="3"/>
  <c r="Q37" i="3"/>
  <c r="P37" i="3"/>
  <c r="O37" i="3"/>
  <c r="N37" i="3"/>
  <c r="M37" i="3"/>
  <c r="L37" i="3"/>
  <c r="K37" i="3"/>
  <c r="J37" i="3"/>
  <c r="I37" i="3"/>
  <c r="H37" i="3"/>
  <c r="G37" i="3"/>
  <c r="F37" i="3"/>
  <c r="Q36" i="3"/>
  <c r="P36" i="3"/>
  <c r="O36" i="3"/>
  <c r="N36" i="3"/>
  <c r="M36" i="3"/>
  <c r="L36" i="3"/>
  <c r="K36" i="3"/>
  <c r="J36" i="3"/>
  <c r="I36" i="3"/>
  <c r="H36" i="3"/>
  <c r="G36" i="3"/>
  <c r="F36" i="3"/>
  <c r="Q35" i="3"/>
  <c r="P35" i="3"/>
  <c r="O35" i="3"/>
  <c r="N35" i="3"/>
  <c r="M35" i="3"/>
  <c r="L35" i="3"/>
  <c r="K35" i="3"/>
  <c r="J35" i="3"/>
  <c r="I35" i="3"/>
  <c r="H35" i="3"/>
  <c r="G35" i="3"/>
  <c r="F35" i="3"/>
  <c r="Q34" i="3"/>
  <c r="P34" i="3"/>
  <c r="O34" i="3"/>
  <c r="N34" i="3"/>
  <c r="M34" i="3"/>
  <c r="L34" i="3"/>
  <c r="K34" i="3"/>
  <c r="J34" i="3"/>
  <c r="I34" i="3"/>
  <c r="H34" i="3"/>
  <c r="G34" i="3"/>
  <c r="F34" i="3"/>
  <c r="F33" i="3"/>
  <c r="F10" i="3" s="1"/>
  <c r="B29" i="3"/>
  <c r="B28" i="3"/>
  <c r="B27" i="3"/>
  <c r="B26" i="3"/>
  <c r="B25" i="3"/>
  <c r="D23" i="3"/>
  <c r="D29" i="3" s="1"/>
  <c r="Q16" i="3"/>
  <c r="Q8" i="3" s="1"/>
  <c r="P8" i="1" s="1"/>
  <c r="P16" i="3"/>
  <c r="P8" i="3" s="1"/>
  <c r="O8" i="1" s="1"/>
  <c r="O16" i="3"/>
  <c r="O8" i="3" s="1"/>
  <c r="N8" i="1" s="1"/>
  <c r="N16" i="3"/>
  <c r="N8" i="3" s="1"/>
  <c r="M8" i="1" s="1"/>
  <c r="M16" i="3"/>
  <c r="M8" i="3" s="1"/>
  <c r="L8" i="1" s="1"/>
  <c r="L16" i="3"/>
  <c r="L8" i="3" s="1"/>
  <c r="K8" i="1" s="1"/>
  <c r="K16" i="3"/>
  <c r="K8" i="3" s="1"/>
  <c r="J8" i="1" s="1"/>
  <c r="J16" i="3"/>
  <c r="J8" i="3" s="1"/>
  <c r="I8" i="1" s="1"/>
  <c r="I16" i="3"/>
  <c r="I8" i="3" s="1"/>
  <c r="H8" i="1" s="1"/>
  <c r="H16" i="3"/>
  <c r="H8" i="3" s="1"/>
  <c r="G8" i="1" s="1"/>
  <c r="G16" i="3"/>
  <c r="G8" i="3" s="1"/>
  <c r="F8" i="1" s="1"/>
  <c r="F16" i="3"/>
  <c r="F8" i="3" s="1"/>
  <c r="E8" i="1" s="1"/>
  <c r="E6" i="3"/>
  <c r="F6" i="3" s="1"/>
  <c r="G4" i="3"/>
  <c r="H4" i="3" s="1"/>
  <c r="I4" i="3" s="1"/>
  <c r="J4" i="3" s="1"/>
  <c r="K4" i="3" s="1"/>
  <c r="L4" i="3" s="1"/>
  <c r="M4" i="3" s="1"/>
  <c r="N4" i="3" s="1"/>
  <c r="O4" i="3" s="1"/>
  <c r="P4" i="3" s="1"/>
  <c r="Q4" i="3" s="1"/>
  <c r="P64" i="2"/>
  <c r="N64" i="2"/>
  <c r="K64" i="2"/>
  <c r="I64" i="2"/>
  <c r="G64" i="2"/>
  <c r="P63" i="2"/>
  <c r="N63" i="2"/>
  <c r="K63" i="2"/>
  <c r="I63" i="2"/>
  <c r="G63" i="2"/>
  <c r="P62" i="2"/>
  <c r="N62" i="2"/>
  <c r="K62" i="2"/>
  <c r="I62" i="2"/>
  <c r="G62" i="2"/>
  <c r="P61" i="2"/>
  <c r="N61" i="2"/>
  <c r="K61" i="2"/>
  <c r="I61" i="2"/>
  <c r="G61" i="2"/>
  <c r="P60" i="2"/>
  <c r="N60" i="2"/>
  <c r="K60" i="2"/>
  <c r="I60" i="2"/>
  <c r="G60" i="2"/>
  <c r="P59" i="2"/>
  <c r="N59" i="2"/>
  <c r="K59" i="2"/>
  <c r="I59" i="2"/>
  <c r="G59" i="2"/>
  <c r="G57" i="2"/>
  <c r="F51" i="2"/>
  <c r="F44" i="2"/>
  <c r="O43" i="2"/>
  <c r="J38" i="2"/>
  <c r="F37" i="2"/>
  <c r="R19" i="2"/>
  <c r="R62" i="2" s="1"/>
  <c r="Q19" i="2"/>
  <c r="Q61" i="2" s="1"/>
  <c r="O19" i="2"/>
  <c r="O64" i="2" s="1"/>
  <c r="M19" i="2"/>
  <c r="M62" i="2" s="1"/>
  <c r="L19" i="2"/>
  <c r="L64" i="2" s="1"/>
  <c r="J19" i="2"/>
  <c r="J59" i="2" s="1"/>
  <c r="H19" i="2"/>
  <c r="H63" i="2" s="1"/>
  <c r="R18" i="2"/>
  <c r="R56" i="2" s="1"/>
  <c r="Q18" i="2"/>
  <c r="Q57" i="2" s="1"/>
  <c r="P18" i="2"/>
  <c r="P55" i="2" s="1"/>
  <c r="O18" i="2"/>
  <c r="O55" i="2" s="1"/>
  <c r="N18" i="2"/>
  <c r="N54" i="2" s="1"/>
  <c r="M18" i="2"/>
  <c r="L18" i="2"/>
  <c r="K18" i="2"/>
  <c r="K57" i="2" s="1"/>
  <c r="J18" i="2"/>
  <c r="I18" i="2"/>
  <c r="I55" i="2" s="1"/>
  <c r="H18" i="2"/>
  <c r="H54" i="2" s="1"/>
  <c r="G18" i="2"/>
  <c r="G56" i="2" s="1"/>
  <c r="R17" i="2"/>
  <c r="R50" i="2" s="1"/>
  <c r="Q17" i="2"/>
  <c r="Q45" i="2" s="1"/>
  <c r="P17" i="2"/>
  <c r="P48" i="2" s="1"/>
  <c r="O17" i="2"/>
  <c r="O45" i="2" s="1"/>
  <c r="N17" i="2"/>
  <c r="N50" i="2" s="1"/>
  <c r="M17" i="2"/>
  <c r="M47" i="2" s="1"/>
  <c r="L17" i="2"/>
  <c r="L48" i="2" s="1"/>
  <c r="K17" i="2"/>
  <c r="K45" i="2" s="1"/>
  <c r="J17" i="2"/>
  <c r="J48" i="2" s="1"/>
  <c r="I17" i="2"/>
  <c r="I47" i="2" s="1"/>
  <c r="H17" i="2"/>
  <c r="H46" i="2" s="1"/>
  <c r="G17" i="2"/>
  <c r="G48" i="2" s="1"/>
  <c r="R16" i="2"/>
  <c r="R43" i="2" s="1"/>
  <c r="Q16" i="2"/>
  <c r="Q42" i="2" s="1"/>
  <c r="P16" i="2"/>
  <c r="P41" i="2" s="1"/>
  <c r="O16" i="2"/>
  <c r="O41" i="2" s="1"/>
  <c r="N16" i="2"/>
  <c r="N42" i="2" s="1"/>
  <c r="M16" i="2"/>
  <c r="M40" i="2" s="1"/>
  <c r="L16" i="2"/>
  <c r="L41" i="2" s="1"/>
  <c r="K16" i="2"/>
  <c r="K40" i="2" s="1"/>
  <c r="J16" i="2"/>
  <c r="J43" i="2" s="1"/>
  <c r="I16" i="2"/>
  <c r="I40" i="2" s="1"/>
  <c r="H16" i="2"/>
  <c r="H40" i="2" s="1"/>
  <c r="G16" i="2"/>
  <c r="G40" i="2" s="1"/>
  <c r="E15" i="2"/>
  <c r="M15" i="2" s="1"/>
  <c r="M36" i="2" s="1"/>
  <c r="E14" i="2"/>
  <c r="N14" i="2" s="1"/>
  <c r="G6" i="2"/>
  <c r="H5" i="2" s="1"/>
  <c r="G4" i="2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A7" i="1"/>
  <c r="A8" i="1" s="1"/>
  <c r="A10" i="1" s="1"/>
  <c r="A11" i="1" s="1"/>
  <c r="A12" i="1" s="1"/>
  <c r="A13" i="1" s="1"/>
  <c r="A14" i="1" s="1"/>
  <c r="A17" i="1" s="1"/>
  <c r="A18" i="1" s="1"/>
  <c r="A19" i="1" s="1"/>
  <c r="A21" i="1" s="1"/>
  <c r="A22" i="1" s="1"/>
  <c r="A23" i="1" s="1"/>
  <c r="A24" i="1" s="1"/>
  <c r="A25" i="1" s="1"/>
  <c r="A26" i="1" s="1"/>
  <c r="A28" i="1" s="1"/>
  <c r="A29" i="1" s="1"/>
  <c r="A30" i="1" s="1"/>
  <c r="A31" i="1" s="1"/>
  <c r="A32" i="1" s="1"/>
  <c r="A33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8" i="1" s="1"/>
  <c r="A79" i="1" s="1"/>
  <c r="A80" i="1" s="1"/>
  <c r="A6" i="1"/>
  <c r="A5" i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O33" i="3" l="1"/>
  <c r="Q33" i="3"/>
  <c r="P30" i="1" s="1"/>
  <c r="E30" i="1"/>
  <c r="O38" i="2"/>
  <c r="R46" i="2"/>
  <c r="M39" i="2"/>
  <c r="I48" i="2"/>
  <c r="O60" i="2"/>
  <c r="O39" i="2"/>
  <c r="N49" i="2"/>
  <c r="O40" i="2"/>
  <c r="Q50" i="2"/>
  <c r="N43" i="2"/>
  <c r="D25" i="3"/>
  <c r="O15" i="2"/>
  <c r="O35" i="2" s="1"/>
  <c r="L15" i="2"/>
  <c r="L35" i="2" s="1"/>
  <c r="H6" i="2"/>
  <c r="I6" i="2" s="1"/>
  <c r="J5" i="2" s="1"/>
  <c r="M33" i="2"/>
  <c r="O10" i="3"/>
  <c r="N30" i="1"/>
  <c r="F30" i="2"/>
  <c r="H47" i="2"/>
  <c r="Q49" i="2"/>
  <c r="G52" i="2"/>
  <c r="R54" i="2"/>
  <c r="J62" i="2"/>
  <c r="D27" i="3"/>
  <c r="F12" i="3" s="1"/>
  <c r="E33" i="1" s="1"/>
  <c r="L39" i="3"/>
  <c r="K31" i="1" s="1"/>
  <c r="I39" i="3"/>
  <c r="G15" i="2"/>
  <c r="G34" i="2" s="1"/>
  <c r="P15" i="2"/>
  <c r="P32" i="2" s="1"/>
  <c r="L32" i="2"/>
  <c r="H42" i="2"/>
  <c r="H50" i="2"/>
  <c r="Q52" i="2"/>
  <c r="Q55" i="2"/>
  <c r="L60" i="2"/>
  <c r="M33" i="3"/>
  <c r="L30" i="1" s="1"/>
  <c r="J39" i="3"/>
  <c r="I31" i="1" s="1"/>
  <c r="H39" i="3"/>
  <c r="Q41" i="2"/>
  <c r="I54" i="2"/>
  <c r="H15" i="2"/>
  <c r="H31" i="2" s="1"/>
  <c r="Q15" i="2"/>
  <c r="Q32" i="2" s="1"/>
  <c r="O31" i="2"/>
  <c r="M32" i="2"/>
  <c r="L34" i="2"/>
  <c r="P38" i="2"/>
  <c r="P40" i="2"/>
  <c r="I42" i="2"/>
  <c r="I15" i="2"/>
  <c r="I31" i="2" s="1"/>
  <c r="R15" i="2"/>
  <c r="R34" i="2" s="1"/>
  <c r="M34" i="2"/>
  <c r="I39" i="2"/>
  <c r="Q40" i="2"/>
  <c r="J42" i="2"/>
  <c r="J15" i="2"/>
  <c r="J34" i="2" s="1"/>
  <c r="K39" i="2"/>
  <c r="G41" i="2"/>
  <c r="O42" i="2"/>
  <c r="L47" i="2"/>
  <c r="M50" i="2"/>
  <c r="G53" i="2"/>
  <c r="R55" i="2"/>
  <c r="Q63" i="2"/>
  <c r="Q64" i="2"/>
  <c r="D28" i="3"/>
  <c r="P12" i="3" s="1"/>
  <c r="O33" i="1" s="1"/>
  <c r="N39" i="3"/>
  <c r="K15" i="2"/>
  <c r="K32" i="2" s="1"/>
  <c r="L33" i="2"/>
  <c r="L39" i="2"/>
  <c r="J41" i="2"/>
  <c r="P42" i="2"/>
  <c r="M45" i="2"/>
  <c r="O50" i="2"/>
  <c r="H53" i="2"/>
  <c r="Q56" i="2"/>
  <c r="R64" i="2"/>
  <c r="G39" i="3"/>
  <c r="K41" i="2"/>
  <c r="I43" i="2"/>
  <c r="N45" i="2"/>
  <c r="M48" i="2"/>
  <c r="I53" i="2"/>
  <c r="R61" i="2"/>
  <c r="P33" i="3"/>
  <c r="P10" i="3" s="1"/>
  <c r="N15" i="2"/>
  <c r="N34" i="2" s="1"/>
  <c r="I38" i="2"/>
  <c r="N39" i="2"/>
  <c r="M43" i="2"/>
  <c r="M46" i="2"/>
  <c r="M49" i="2"/>
  <c r="K53" i="2"/>
  <c r="H57" i="2"/>
  <c r="Q59" i="2"/>
  <c r="Q60" i="2"/>
  <c r="N53" i="2"/>
  <c r="I57" i="2"/>
  <c r="R60" i="2"/>
  <c r="H62" i="2"/>
  <c r="D26" i="3"/>
  <c r="K39" i="3"/>
  <c r="K11" i="3" s="1"/>
  <c r="G47" i="2"/>
  <c r="P49" i="2"/>
  <c r="H11" i="3"/>
  <c r="G31" i="1"/>
  <c r="M31" i="1"/>
  <c r="N11" i="3"/>
  <c r="G11" i="3"/>
  <c r="F31" i="1"/>
  <c r="J11" i="3"/>
  <c r="J6" i="2"/>
  <c r="I11" i="3"/>
  <c r="H31" i="1"/>
  <c r="N26" i="2"/>
  <c r="N24" i="2"/>
  <c r="N27" i="2"/>
  <c r="N28" i="2"/>
  <c r="N29" i="2"/>
  <c r="N25" i="2"/>
  <c r="L14" i="2"/>
  <c r="I49" i="2"/>
  <c r="I45" i="2"/>
  <c r="I50" i="2"/>
  <c r="I46" i="2"/>
  <c r="M56" i="2"/>
  <c r="M52" i="2"/>
  <c r="M57" i="2"/>
  <c r="M53" i="2"/>
  <c r="G42" i="2"/>
  <c r="M54" i="2"/>
  <c r="L11" i="3"/>
  <c r="J54" i="2"/>
  <c r="J55" i="2"/>
  <c r="L55" i="2"/>
  <c r="L56" i="2"/>
  <c r="L52" i="2"/>
  <c r="L57" i="2"/>
  <c r="L53" i="2"/>
  <c r="J57" i="2"/>
  <c r="M14" i="2"/>
  <c r="K50" i="2"/>
  <c r="K46" i="2"/>
  <c r="K47" i="2"/>
  <c r="N36" i="2"/>
  <c r="O54" i="2"/>
  <c r="R39" i="2"/>
  <c r="P14" i="2"/>
  <c r="K42" i="2"/>
  <c r="M55" i="2"/>
  <c r="H59" i="2"/>
  <c r="G33" i="3"/>
  <c r="G14" i="2"/>
  <c r="G49" i="2"/>
  <c r="G45" i="2"/>
  <c r="G50" i="2"/>
  <c r="G46" i="2"/>
  <c r="K14" i="2"/>
  <c r="G43" i="2"/>
  <c r="G39" i="2"/>
  <c r="Q14" i="2"/>
  <c r="G38" i="2"/>
  <c r="P45" i="2"/>
  <c r="J52" i="2"/>
  <c r="G5" i="3"/>
  <c r="G6" i="3"/>
  <c r="H33" i="3"/>
  <c r="N31" i="2"/>
  <c r="N33" i="2"/>
  <c r="K55" i="2"/>
  <c r="K56" i="2"/>
  <c r="K52" i="2"/>
  <c r="O39" i="3"/>
  <c r="N55" i="2"/>
  <c r="N56" i="2"/>
  <c r="N52" i="2"/>
  <c r="O56" i="2"/>
  <c r="O52" i="2"/>
  <c r="O57" i="2"/>
  <c r="O53" i="2"/>
  <c r="H43" i="2"/>
  <c r="H39" i="2"/>
  <c r="H41" i="2"/>
  <c r="O34" i="2"/>
  <c r="K48" i="2"/>
  <c r="M35" i="2"/>
  <c r="M31" i="2"/>
  <c r="O47" i="2"/>
  <c r="O48" i="2"/>
  <c r="H64" i="2"/>
  <c r="H60" i="2"/>
  <c r="H61" i="2"/>
  <c r="H38" i="2"/>
  <c r="Q12" i="3"/>
  <c r="P33" i="1" s="1"/>
  <c r="O12" i="3"/>
  <c r="N33" i="1" s="1"/>
  <c r="G12" i="3"/>
  <c r="F33" i="1" s="1"/>
  <c r="K54" i="2"/>
  <c r="I33" i="3"/>
  <c r="P56" i="2"/>
  <c r="P52" i="2"/>
  <c r="P57" i="2"/>
  <c r="P53" i="2"/>
  <c r="P54" i="2"/>
  <c r="L40" i="2"/>
  <c r="L42" i="2"/>
  <c r="L38" i="2"/>
  <c r="P50" i="2"/>
  <c r="P46" i="2"/>
  <c r="P47" i="2"/>
  <c r="J64" i="2"/>
  <c r="J60" i="2"/>
  <c r="J61" i="2"/>
  <c r="K49" i="2"/>
  <c r="J63" i="2"/>
  <c r="J33" i="3"/>
  <c r="N33" i="3"/>
  <c r="M39" i="3"/>
  <c r="P39" i="3"/>
  <c r="N57" i="2"/>
  <c r="M41" i="2"/>
  <c r="M42" i="2"/>
  <c r="M38" i="2"/>
  <c r="Q47" i="2"/>
  <c r="Q48" i="2"/>
  <c r="L61" i="2"/>
  <c r="L62" i="2"/>
  <c r="L59" i="2"/>
  <c r="K33" i="3"/>
  <c r="F39" i="3"/>
  <c r="J14" i="2"/>
  <c r="I14" i="2"/>
  <c r="F23" i="2"/>
  <c r="R14" i="2"/>
  <c r="R41" i="2"/>
  <c r="R42" i="2"/>
  <c r="R38" i="2"/>
  <c r="Q39" i="3"/>
  <c r="H14" i="2"/>
  <c r="H48" i="2"/>
  <c r="H49" i="2"/>
  <c r="H45" i="2"/>
  <c r="L49" i="2"/>
  <c r="L45" i="2"/>
  <c r="L50" i="2"/>
  <c r="L46" i="2"/>
  <c r="N40" i="2"/>
  <c r="N41" i="2"/>
  <c r="R47" i="2"/>
  <c r="R48" i="2"/>
  <c r="R49" i="2"/>
  <c r="R45" i="2"/>
  <c r="M64" i="2"/>
  <c r="M60" i="2"/>
  <c r="M61" i="2"/>
  <c r="K38" i="2"/>
  <c r="K43" i="2"/>
  <c r="O46" i="2"/>
  <c r="M59" i="2"/>
  <c r="L63" i="2"/>
  <c r="L33" i="3"/>
  <c r="O36" i="2"/>
  <c r="O32" i="2"/>
  <c r="O33" i="2"/>
  <c r="L54" i="2"/>
  <c r="J49" i="2"/>
  <c r="J45" i="2"/>
  <c r="J50" i="2"/>
  <c r="J46" i="2"/>
  <c r="J47" i="2"/>
  <c r="O14" i="2"/>
  <c r="G54" i="2"/>
  <c r="G55" i="2"/>
  <c r="O61" i="2"/>
  <c r="O62" i="2"/>
  <c r="O63" i="2"/>
  <c r="O59" i="2"/>
  <c r="N38" i="2"/>
  <c r="R40" i="2"/>
  <c r="L43" i="2"/>
  <c r="Q46" i="2"/>
  <c r="O49" i="2"/>
  <c r="J53" i="2"/>
  <c r="J56" i="2"/>
  <c r="M63" i="2"/>
  <c r="P39" i="2"/>
  <c r="P43" i="2"/>
  <c r="N48" i="2"/>
  <c r="H52" i="2"/>
  <c r="H56" i="2"/>
  <c r="Q39" i="2"/>
  <c r="I41" i="2"/>
  <c r="Q43" i="2"/>
  <c r="I52" i="2"/>
  <c r="Q54" i="2"/>
  <c r="I56" i="2"/>
  <c r="R59" i="2"/>
  <c r="R63" i="2"/>
  <c r="N47" i="2"/>
  <c r="H55" i="2"/>
  <c r="Q38" i="2"/>
  <c r="Q53" i="2"/>
  <c r="L31" i="2"/>
  <c r="J40" i="2"/>
  <c r="R53" i="2"/>
  <c r="R57" i="2"/>
  <c r="Q62" i="2"/>
  <c r="N46" i="2"/>
  <c r="J39" i="2"/>
  <c r="R52" i="2"/>
  <c r="J31" i="1" l="1"/>
  <c r="Q10" i="3"/>
  <c r="O30" i="1"/>
  <c r="M10" i="3"/>
  <c r="H35" i="2"/>
  <c r="J32" i="2"/>
  <c r="L36" i="2"/>
  <c r="H12" i="3"/>
  <c r="G33" i="1" s="1"/>
  <c r="J12" i="3"/>
  <c r="I33" i="1" s="1"/>
  <c r="K12" i="3"/>
  <c r="J33" i="1" s="1"/>
  <c r="L12" i="3"/>
  <c r="K33" i="1" s="1"/>
  <c r="M12" i="3"/>
  <c r="L33" i="1" s="1"/>
  <c r="N12" i="3"/>
  <c r="M33" i="1" s="1"/>
  <c r="I12" i="3"/>
  <c r="H33" i="1" s="1"/>
  <c r="J31" i="2"/>
  <c r="J36" i="2"/>
  <c r="H33" i="2"/>
  <c r="R32" i="2"/>
  <c r="Q36" i="2"/>
  <c r="R36" i="2"/>
  <c r="G31" i="2"/>
  <c r="Q34" i="2"/>
  <c r="G35" i="2"/>
  <c r="K31" i="2"/>
  <c r="P35" i="2"/>
  <c r="K35" i="2"/>
  <c r="N13" i="2"/>
  <c r="N7" i="2" s="1"/>
  <c r="L7" i="1" s="1"/>
  <c r="L9" i="1" s="1"/>
  <c r="L6" i="1" s="1"/>
  <c r="M3" i="3" s="1"/>
  <c r="N10" i="2"/>
  <c r="L32" i="1" s="1"/>
  <c r="K34" i="2"/>
  <c r="K33" i="2"/>
  <c r="N35" i="2"/>
  <c r="K36" i="2"/>
  <c r="N32" i="2"/>
  <c r="N22" i="2" s="1"/>
  <c r="N9" i="2" s="1"/>
  <c r="I5" i="2"/>
  <c r="P34" i="2"/>
  <c r="P33" i="2"/>
  <c r="P31" i="2"/>
  <c r="P36" i="2"/>
  <c r="G33" i="2"/>
  <c r="G32" i="2"/>
  <c r="G36" i="2"/>
  <c r="R33" i="2"/>
  <c r="R35" i="2"/>
  <c r="R31" i="2"/>
  <c r="Q35" i="2"/>
  <c r="Q31" i="2"/>
  <c r="Q33" i="2"/>
  <c r="J35" i="2"/>
  <c r="J33" i="2"/>
  <c r="I34" i="2"/>
  <c r="I35" i="2"/>
  <c r="I33" i="2"/>
  <c r="I36" i="2"/>
  <c r="I32" i="2"/>
  <c r="H34" i="2"/>
  <c r="H32" i="2"/>
  <c r="H36" i="2"/>
  <c r="L29" i="2"/>
  <c r="L25" i="2"/>
  <c r="L10" i="2"/>
  <c r="J32" i="1" s="1"/>
  <c r="L27" i="2"/>
  <c r="L26" i="2"/>
  <c r="L28" i="2"/>
  <c r="L24" i="2"/>
  <c r="L13" i="2"/>
  <c r="L7" i="2" s="1"/>
  <c r="J7" i="1" s="1"/>
  <c r="N31" i="1"/>
  <c r="O11" i="3"/>
  <c r="O9" i="3" s="1"/>
  <c r="P26" i="2"/>
  <c r="P13" i="2"/>
  <c r="P7" i="2" s="1"/>
  <c r="N7" i="1" s="1"/>
  <c r="P28" i="2"/>
  <c r="P24" i="2"/>
  <c r="P27" i="2"/>
  <c r="P25" i="2"/>
  <c r="P10" i="2"/>
  <c r="N32" i="1" s="1"/>
  <c r="P29" i="2"/>
  <c r="P31" i="1"/>
  <c r="Q11" i="3"/>
  <c r="Q9" i="3" s="1"/>
  <c r="Q27" i="2"/>
  <c r="Q28" i="2"/>
  <c r="Q24" i="2"/>
  <c r="Q13" i="2"/>
  <c r="Q7" i="2" s="1"/>
  <c r="O7" i="1" s="1"/>
  <c r="Q26" i="2"/>
  <c r="Q25" i="2"/>
  <c r="Q10" i="2"/>
  <c r="O32" i="1" s="1"/>
  <c r="Q29" i="2"/>
  <c r="K6" i="2"/>
  <c r="K5" i="2"/>
  <c r="H28" i="2"/>
  <c r="H24" i="2"/>
  <c r="H26" i="2"/>
  <c r="H27" i="2"/>
  <c r="H10" i="2"/>
  <c r="F32" i="1" s="1"/>
  <c r="H13" i="2"/>
  <c r="H7" i="2" s="1"/>
  <c r="F7" i="1" s="1"/>
  <c r="H29" i="2"/>
  <c r="H25" i="2"/>
  <c r="L10" i="3"/>
  <c r="K30" i="1"/>
  <c r="R10" i="2"/>
  <c r="P32" i="1" s="1"/>
  <c r="R27" i="2"/>
  <c r="R13" i="2"/>
  <c r="R7" i="2" s="1"/>
  <c r="P7" i="1" s="1"/>
  <c r="R25" i="2"/>
  <c r="R24" i="2"/>
  <c r="R26" i="2"/>
  <c r="R28" i="2"/>
  <c r="R29" i="2"/>
  <c r="P11" i="3"/>
  <c r="O31" i="1"/>
  <c r="K29" i="2"/>
  <c r="K25" i="2"/>
  <c r="K10" i="2"/>
  <c r="I32" i="1" s="1"/>
  <c r="K26" i="2"/>
  <c r="K24" i="2"/>
  <c r="K27" i="2"/>
  <c r="K28" i="2"/>
  <c r="K13" i="2"/>
  <c r="K7" i="2" s="1"/>
  <c r="I7" i="1" s="1"/>
  <c r="I10" i="3"/>
  <c r="H30" i="1"/>
  <c r="M30" i="1"/>
  <c r="N10" i="3"/>
  <c r="M26" i="2"/>
  <c r="M27" i="2"/>
  <c r="M28" i="2"/>
  <c r="M13" i="2"/>
  <c r="M7" i="2" s="1"/>
  <c r="K7" i="1" s="1"/>
  <c r="M25" i="2"/>
  <c r="M10" i="2"/>
  <c r="K32" i="1" s="1"/>
  <c r="M24" i="2"/>
  <c r="M29" i="2"/>
  <c r="J29" i="2"/>
  <c r="J25" i="2"/>
  <c r="J26" i="2"/>
  <c r="J24" i="2"/>
  <c r="J10" i="2"/>
  <c r="H32" i="1" s="1"/>
  <c r="J28" i="2"/>
  <c r="J27" i="2"/>
  <c r="J13" i="2"/>
  <c r="J7" i="2" s="1"/>
  <c r="H7" i="1" s="1"/>
  <c r="J10" i="3"/>
  <c r="I30" i="1"/>
  <c r="F11" i="3"/>
  <c r="F9" i="3" s="1"/>
  <c r="E31" i="1"/>
  <c r="H5" i="3"/>
  <c r="H6" i="3"/>
  <c r="M11" i="3"/>
  <c r="L31" i="1"/>
  <c r="I29" i="2"/>
  <c r="I25" i="2"/>
  <c r="I26" i="2"/>
  <c r="I24" i="2"/>
  <c r="I28" i="2"/>
  <c r="I10" i="2"/>
  <c r="G32" i="1" s="1"/>
  <c r="I13" i="2"/>
  <c r="I7" i="2" s="1"/>
  <c r="G7" i="1" s="1"/>
  <c r="I27" i="2"/>
  <c r="O26" i="2"/>
  <c r="O13" i="2"/>
  <c r="O7" i="2" s="1"/>
  <c r="M7" i="1" s="1"/>
  <c r="O28" i="2"/>
  <c r="O29" i="2"/>
  <c r="O27" i="2"/>
  <c r="O25" i="2"/>
  <c r="O24" i="2"/>
  <c r="O10" i="2"/>
  <c r="M32" i="1" s="1"/>
  <c r="K10" i="3"/>
  <c r="J30" i="1"/>
  <c r="G30" i="1"/>
  <c r="H10" i="3"/>
  <c r="G13" i="2"/>
  <c r="G7" i="2" s="1"/>
  <c r="E7" i="1" s="1"/>
  <c r="G28" i="2"/>
  <c r="G24" i="2"/>
  <c r="G10" i="2"/>
  <c r="E32" i="1" s="1"/>
  <c r="G29" i="2"/>
  <c r="G26" i="2"/>
  <c r="G27" i="2"/>
  <c r="G25" i="2"/>
  <c r="P9" i="3"/>
  <c r="G10" i="3"/>
  <c r="G9" i="3" s="1"/>
  <c r="F30" i="1"/>
  <c r="M9" i="3" l="1"/>
  <c r="K9" i="3"/>
  <c r="J9" i="3"/>
  <c r="H9" i="3"/>
  <c r="L9" i="3"/>
  <c r="I9" i="3"/>
  <c r="N9" i="3"/>
  <c r="O22" i="2"/>
  <c r="O9" i="2" s="1"/>
  <c r="O8" i="2" s="1"/>
  <c r="J22" i="2"/>
  <c r="J9" i="2" s="1"/>
  <c r="H29" i="1" s="1"/>
  <c r="H28" i="1" s="1"/>
  <c r="M22" i="2"/>
  <c r="M9" i="2" s="1"/>
  <c r="I6" i="3"/>
  <c r="I5" i="3"/>
  <c r="Q22" i="2"/>
  <c r="Q9" i="2" s="1"/>
  <c r="J9" i="1"/>
  <c r="J6" i="1" s="1"/>
  <c r="K3" i="3" s="1"/>
  <c r="K9" i="1"/>
  <c r="K6" i="1" s="1"/>
  <c r="L3" i="3" s="1"/>
  <c r="L22" i="2"/>
  <c r="L9" i="2" s="1"/>
  <c r="P9" i="1"/>
  <c r="P6" i="1" s="1"/>
  <c r="Q3" i="3" s="1"/>
  <c r="I9" i="1"/>
  <c r="I6" i="1" s="1"/>
  <c r="J3" i="3" s="1"/>
  <c r="P22" i="2"/>
  <c r="P9" i="2" s="1"/>
  <c r="N9" i="1"/>
  <c r="N6" i="1" s="1"/>
  <c r="O3" i="3" s="1"/>
  <c r="O9" i="1"/>
  <c r="O6" i="1"/>
  <c r="P3" i="3" s="1"/>
  <c r="M9" i="1"/>
  <c r="M6" i="1" s="1"/>
  <c r="N3" i="3" s="1"/>
  <c r="H22" i="2"/>
  <c r="H9" i="2" s="1"/>
  <c r="I22" i="2"/>
  <c r="I9" i="2" s="1"/>
  <c r="F9" i="1"/>
  <c r="F6" i="1" s="1"/>
  <c r="G3" i="3" s="1"/>
  <c r="G22" i="2"/>
  <c r="G9" i="2" s="1"/>
  <c r="G9" i="1"/>
  <c r="G6" i="1" s="1"/>
  <c r="H3" i="3" s="1"/>
  <c r="R22" i="2"/>
  <c r="R9" i="2" s="1"/>
  <c r="L6" i="2"/>
  <c r="L5" i="2"/>
  <c r="E9" i="1"/>
  <c r="E6" i="1" s="1"/>
  <c r="F3" i="3" s="1"/>
  <c r="J8" i="2"/>
  <c r="K22" i="2"/>
  <c r="K9" i="2" s="1"/>
  <c r="H9" i="1"/>
  <c r="H6" i="1" s="1"/>
  <c r="I3" i="3" s="1"/>
  <c r="L29" i="1"/>
  <c r="L28" i="1" s="1"/>
  <c r="N8" i="2"/>
  <c r="M29" i="1" l="1"/>
  <c r="M28" i="1" s="1"/>
  <c r="M6" i="2"/>
  <c r="M5" i="2"/>
  <c r="R8" i="2"/>
  <c r="P29" i="1"/>
  <c r="P28" i="1" s="1"/>
  <c r="E29" i="1"/>
  <c r="E28" i="1" s="1"/>
  <c r="G8" i="2"/>
  <c r="J29" i="1"/>
  <c r="J28" i="1" s="1"/>
  <c r="L8" i="2"/>
  <c r="H8" i="2"/>
  <c r="F29" i="1"/>
  <c r="F28" i="1" s="1"/>
  <c r="N29" i="1"/>
  <c r="N28" i="1" s="1"/>
  <c r="P8" i="2"/>
  <c r="I8" i="2"/>
  <c r="G29" i="1"/>
  <c r="G28" i="1" s="1"/>
  <c r="K8" i="2"/>
  <c r="I29" i="1"/>
  <c r="I28" i="1" s="1"/>
  <c r="O29" i="1"/>
  <c r="O28" i="1" s="1"/>
  <c r="Q8" i="2"/>
  <c r="J5" i="3"/>
  <c r="J6" i="3"/>
  <c r="K29" i="1"/>
  <c r="K28" i="1" s="1"/>
  <c r="M8" i="2"/>
  <c r="K6" i="3" l="1"/>
  <c r="K5" i="3"/>
  <c r="N5" i="2"/>
  <c r="N6" i="2"/>
  <c r="O5" i="2" l="1"/>
  <c r="O6" i="2"/>
  <c r="L5" i="3"/>
  <c r="L6" i="3"/>
  <c r="M6" i="3" l="1"/>
  <c r="M5" i="3"/>
  <c r="P6" i="2"/>
  <c r="P5" i="2"/>
  <c r="Q5" i="2" l="1"/>
  <c r="Q6" i="2"/>
  <c r="N6" i="3"/>
  <c r="N5" i="3"/>
  <c r="O6" i="3" l="1"/>
  <c r="O5" i="3"/>
  <c r="R6" i="2"/>
  <c r="R5" i="2"/>
  <c r="P5" i="3" l="1"/>
  <c r="P6" i="3"/>
  <c r="Q5" i="3" l="1"/>
  <c r="Q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C9B80D62-09E4-43C5-AD09-99B37067AF51}">
      <text>
        <r>
          <rPr>
            <sz val="10"/>
            <rFont val="Arial"/>
            <family val="2"/>
          </rPr>
          <t>Диапазон по спецификации Epiroc: 229-270 мм (9"-10-5/8"). Указано среднее значение 250 мм.</t>
        </r>
      </text>
    </comment>
    <comment ref="D17" authorId="0" shapeId="0" xr:uid="{CF020630-A1E2-4B11-8C01-75CCA98C1C6D}">
      <text>
        <r>
          <rPr>
            <sz val="10"/>
            <rFont val="Arial"/>
            <family val="2"/>
          </rPr>
          <t>Ориентировочная гидравлическая мощность привода вращателя в рабочей точке ~350 кВт (476 л.с.), с учётом одновременной работы гидросистем подачи, компрессора и хода.</t>
        </r>
      </text>
    </comment>
    <comment ref="D18" authorId="0" shapeId="0" xr:uid="{00000000-0006-0000-0000-000014000000}">
      <text>
        <r>
          <rPr>
            <sz val="10"/>
            <rFont val="Arial"/>
            <family val="2"/>
          </rPr>
          <t>Регулируемый момент 0-14,600 Нм (0-10,800 фунт-фут) - данные из официальной брошюры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9" authorId="0" shapeId="0" xr:uid="{00000000-0006-0000-0200-000003000000}">
      <text>
        <r>
          <rPr>
            <sz val="10"/>
            <rFont val="Arial"/>
            <family val="2"/>
          </rPr>
          <t>Для каждого крупного узла (турбокомпрессор, ДВС, гидромотор/насос, привод подачи, компрессорный блок, вентилятор пылеподавления) указаны ОБА вида затрат: капитальный ремонт (более частый, дешевле — ремонт существующего агрегата) и полная замена (реже, дороже — новый агрегat). За 12-летний горизонт многие позиции повторяются несколько раз согласно ресурсу.</t>
        </r>
      </text>
    </comment>
    <comment ref="B41" authorId="0" shapeId="0" xr:uid="{00000000-0006-0000-0200-000005000000}">
      <text>
        <r>
          <rPr>
            <sz val="10"/>
            <rFont val="Arial"/>
            <family val="2"/>
          </rPr>
          <t>Ремкомплект картриджа турбины (подшипники, уплотнения) — капитальный ремонт без замены корпуса. Интервал короче полной замены (~7 000 м/ч).</t>
        </r>
      </text>
    </comment>
    <comment ref="B42" authorId="0" shapeId="0" xr:uid="{00000000-0006-0000-0200-000006000000}">
      <text>
        <r>
          <rPr>
            <sz val="10"/>
            <rFont val="Arial"/>
            <family val="2"/>
          </rPr>
          <t>Полная замена турбокомпрессора в сборе (новый агрегат) после 1-2 циклов капремонта. Диапазон стоимости для техники класса CAT/Cummins/Komatsu: $2 500-6 500.</t>
        </r>
      </text>
    </comment>
    <comment ref="B43" authorId="0" shapeId="0" xr:uid="{00000000-0006-0000-0200-000007000000}">
      <text>
        <r>
          <rPr>
            <sz val="10"/>
            <rFont val="Arial"/>
            <family val="2"/>
          </rPr>
          <t>QSK19 — рядный 6-цилиндровый двигатель (18.9 л) с системой впрыска MCRS, 6 форсунок (не 12, как у V12 CAT C27).</t>
        </r>
      </text>
    </comment>
    <comment ref="B45" authorId="0" shapeId="0" xr:uid="{00000000-0006-0000-0200-000008000000}">
      <text>
        <r>
          <rPr>
            <sz val="10"/>
            <rFont val="Arial"/>
            <family val="2"/>
          </rPr>
          <t>Интервал капремонта увеличен до 21 000 м/ч (Cummins заявляет для QSK19 «наибольший ресурс до капремонта в своём классе» за счёт модульной системы MCRS и усиленного ЦПГ). Количество капремонтов за 12 лет сокращено до 2 (год 3 и год 6, суммарно 42 000 м/ч наработки на капремонтах) — после этого на след. цикле выполняется полная замена двигателя (см. след. строку), т.к. это экономически выгоднее третьего капремонта изношенного блока.</t>
        </r>
      </text>
    </comment>
    <comment ref="B46" authorId="0" shapeId="0" xr:uid="{00000000-0006-0000-0200-000009000000}">
      <text>
        <r>
          <rPr>
            <sz val="10"/>
            <rFont val="Arial"/>
            <family val="2"/>
          </rPr>
          <t>после 2 капремонтов (год 9) выполняется ПОЛНАЯ ЗАМЕНА двигателя новым/реман агрегатом вместо 3-го капремонта изношенного блока — типовая практика для крупных карьерных дизелей, когда стоимость и риски повторного капремонта приближаются к стоимости нового агрегата. Ориентировочная цена нового/реман QSK19 в сборе (563 кВт) — $100 000-140 000 (оценка по классу двигателя; требует подтверждения прайсом Cummins/Epiroc в конкретном регионе). После замены двигатель эксплуатируется как новый до конца расчётного периода без дополнительного капремонта</t>
        </r>
      </text>
    </comment>
  </commentList>
</comments>
</file>

<file path=xl/sharedStrings.xml><?xml version="1.0" encoding="utf-8"?>
<sst xmlns="http://schemas.openxmlformats.org/spreadsheetml/2006/main" count="405" uniqueCount="174">
  <si>
    <t>ячейки к заполнению поставщиком</t>
  </si>
  <si>
    <t>Буровой станок</t>
  </si>
  <si>
    <t>Epiroc DM75</t>
  </si>
  <si>
    <t>Период</t>
  </si>
  <si>
    <t>Ед. изм.</t>
  </si>
  <si>
    <t>Диаметр долота</t>
  </si>
  <si>
    <t>мм</t>
  </si>
  <si>
    <t>Источник: Epiroc DM75 Brochure (открытые данные Epiroc)</t>
  </si>
  <si>
    <t>КТГ при нормативной эксплуатации</t>
  </si>
  <si>
    <t>коэф.</t>
  </si>
  <si>
    <t>расчетный</t>
  </si>
  <si>
    <t>простои на ТО</t>
  </si>
  <si>
    <t>часов</t>
  </si>
  <si>
    <t>простои в ремонтах</t>
  </si>
  <si>
    <t>ежесменный осмотр (20 мин/смену)</t>
  </si>
  <si>
    <t>Модель ДВС</t>
  </si>
  <si>
    <t>Cummins QSK19</t>
  </si>
  <si>
    <t>Источник: Epiroc DM75 Brochure</t>
  </si>
  <si>
    <t>Мощность двигателя</t>
  </si>
  <si>
    <t>кВт</t>
  </si>
  <si>
    <t>Длина штанги</t>
  </si>
  <si>
    <t>м</t>
  </si>
  <si>
    <t>Глубина бурения в первый заход</t>
  </si>
  <si>
    <t>Скорость подъема бур.снаряда, м/мин</t>
  </si>
  <si>
    <t>м/мин</t>
  </si>
  <si>
    <t>Скорость спуска бур.снаряда, м/мин</t>
  </si>
  <si>
    <t>Для вращательного бурения</t>
  </si>
  <si>
    <t>Мощность привода вращателя, кВт</t>
  </si>
  <si>
    <t>кВт / л.с.</t>
  </si>
  <si>
    <t>Крутящий момент вращателя</t>
  </si>
  <si>
    <t>Нм</t>
  </si>
  <si>
    <t>Частота вращения</t>
  </si>
  <si>
    <t>об/мин</t>
  </si>
  <si>
    <t>Для пневмоударного бурения</t>
  </si>
  <si>
    <t>Производительность компрессора</t>
  </si>
  <si>
    <t>м3/мин</t>
  </si>
  <si>
    <t>Давление компрессора</t>
  </si>
  <si>
    <t>бар</t>
  </si>
  <si>
    <t>Рекомендуемый буровой инструмент</t>
  </si>
  <si>
    <t>Паспортное потребление воздуха / давление</t>
  </si>
  <si>
    <t>н/п</t>
  </si>
  <si>
    <t>Число ударов пневмоударника</t>
  </si>
  <si>
    <t>уд/мин</t>
  </si>
  <si>
    <t>Энергия единичного удара</t>
  </si>
  <si>
    <t>Дж</t>
  </si>
  <si>
    <t>Затраты на ТО и ремонты</t>
  </si>
  <si>
    <t>тыс./год</t>
  </si>
  <si>
    <t>ТО</t>
  </si>
  <si>
    <t>текущие ремонты</t>
  </si>
  <si>
    <t>планово-предупредительные (капитальные) ремонты</t>
  </si>
  <si>
    <t>сервис (трудозатраты) - ТО</t>
  </si>
  <si>
    <t>сервис (трудозатраты) - ремонты</t>
  </si>
  <si>
    <t>удельный расход</t>
  </si>
  <si>
    <t>цена за ед.</t>
  </si>
  <si>
    <t>Штанги буровые</t>
  </si>
  <si>
    <t>другое</t>
  </si>
  <si>
    <t>Пневмоударник</t>
  </si>
  <si>
    <t>Масло для ППУ</t>
  </si>
  <si>
    <t>Коронки</t>
  </si>
  <si>
    <t>Переходники</t>
  </si>
  <si>
    <t>Электроэнергия / Дизтопливо</t>
  </si>
  <si>
    <t>л/час</t>
  </si>
  <si>
    <t>Сроки поставки</t>
  </si>
  <si>
    <t>мес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</si>
  <si>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</si>
  <si>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</si>
  <si>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</si>
  <si>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</si>
  <si>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</si>
  <si>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Затраты на ТО</t>
  </si>
  <si>
    <t>долларов/год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</si>
  <si>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</si>
  <si>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</si>
  <si>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</si>
  <si>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</si>
  <si>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</si>
  <si>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</si>
  <si>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</si>
  <si>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</si>
  <si>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</si>
  <si>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ТО-1</t>
  </si>
  <si>
    <t>формулы для примера, можно менять под необходимые параметры</t>
  </si>
  <si>
    <t>ТО-2</t>
  </si>
  <si>
    <t>ТО-3</t>
  </si>
  <si>
    <t>ТО-4</t>
  </si>
  <si>
    <t>ТО-5</t>
  </si>
  <si>
    <t>ТО-6</t>
  </si>
  <si>
    <t>Каталожный номер</t>
  </si>
  <si>
    <t>стоимость за ед., $</t>
  </si>
  <si>
    <t>Кол-во</t>
  </si>
  <si>
    <t>$</t>
  </si>
  <si>
    <t>фильтр</t>
  </si>
  <si>
    <t>EPI-FLT-FUEL-01</t>
  </si>
  <si>
    <t>EPI-FLT-FUEL-02</t>
  </si>
  <si>
    <t>масло</t>
  </si>
  <si>
    <t>EPI-OIL-ENG-15W40</t>
  </si>
  <si>
    <t>EPI-OIL-HYD-46</t>
  </si>
  <si>
    <t>смазка</t>
  </si>
  <si>
    <t>EPI-GRS-EP2-01</t>
  </si>
  <si>
    <t>EPI-GRS-EP2-02</t>
  </si>
  <si>
    <t>Расчетный КТГ</t>
  </si>
  <si>
    <t>Ед.изм.</t>
  </si>
  <si>
    <t>Простои в ремонтах</t>
  </si>
  <si>
    <t>$/год</t>
  </si>
  <si>
    <t>сервис (трудозатраты)</t>
  </si>
  <si>
    <t>Простои в ремонте (час)</t>
  </si>
  <si>
    <t>Вид ремонта</t>
  </si>
  <si>
    <t>Всего простоев</t>
  </si>
  <si>
    <t>ремонт-1</t>
  </si>
  <si>
    <t>ремонт-2</t>
  </si>
  <si>
    <t>ремонт-3</t>
  </si>
  <si>
    <t>ремонт-4</t>
  </si>
  <si>
    <t>ремонт-5</t>
  </si>
  <si>
    <t>Трудозатраты на ремонты (ч/час)</t>
  </si>
  <si>
    <t>Стоимость чел.часа</t>
  </si>
  <si>
    <t>ч/часов</t>
  </si>
  <si>
    <t>Затраты на ремонты ($)</t>
  </si>
  <si>
    <t>Детализация затрат</t>
  </si>
  <si>
    <t>Стоимость за ед., $</t>
  </si>
  <si>
    <t>Ресурс до замены / ремонта, м/ч</t>
  </si>
  <si>
    <t>Кол-во МТР</t>
  </si>
  <si>
    <t>Текущие ремонты
(если планируются)</t>
  </si>
  <si>
    <t>текущий ремонт (ходовая часть)</t>
  </si>
  <si>
    <t>текущий ремонт (рабочее оборудование)</t>
  </si>
  <si>
    <t>уплотнения и сальники (ходовая/гидравлика)</t>
  </si>
  <si>
    <t>электрика, датчики, разъёмы (мелкий ремонт)</t>
  </si>
  <si>
    <t>крепёж, шланги низкого давления, фитинги</t>
  </si>
  <si>
    <t>ДВС</t>
  </si>
  <si>
    <t>турбокомпрессор (Holset, одноступенчатый) — капитальный ремонт (ремкомплект)</t>
  </si>
  <si>
    <t>турбокомпрессор (Holset) — полная замена</t>
  </si>
  <si>
    <t>форсунки топливные MCRS (комплект, 6 шт.) — замена</t>
  </si>
  <si>
    <t>вспомогательное оборудование ДВС (стартер, генератор, водяной насос) — замена</t>
  </si>
  <si>
    <t>полная замена двигателя в сборе (новый/реман. агрегат)</t>
  </si>
  <si>
    <t>Силовой модуль</t>
  </si>
  <si>
    <t>гидромотор хода — капитальный ремонт (ремкомплект)</t>
  </si>
  <si>
    <t>гидромотор хода — полная замена</t>
  </si>
  <si>
    <t>редуктор хода (планетарный) — замена</t>
  </si>
  <si>
    <t>гусеничная цепь в сборе — полная замена</t>
  </si>
  <si>
    <t>натяжное устройство (ленивец + цилиндр натяжения) — замена комплектом</t>
  </si>
  <si>
    <t>катки опорные и ведущая звездочка — замена комплектом</t>
  </si>
  <si>
    <t>Гидравлика</t>
  </si>
  <si>
    <t>гидронасос главный (аксиально-поршневой) — капитальный ремонт (ремкомплект)</t>
  </si>
  <si>
    <t>гидронасос главный — полная замена</t>
  </si>
  <si>
    <t>гидрораспределитель (секционный клапан) — замена</t>
  </si>
  <si>
    <t>гидроцилиндр подачи/фиксации — замена</t>
  </si>
  <si>
    <t>рукава высокого давления (РВД, комплект) — замена</t>
  </si>
  <si>
    <t>Мачта и система подачи</t>
  </si>
  <si>
    <t>привод подачи (редуктор цепной/реечный) — капитальный ремонт</t>
  </si>
  <si>
    <t>привод подачи — полная замена</t>
  </si>
  <si>
    <t>кассета для штанг (карусель) — замена</t>
  </si>
  <si>
    <t>канаты/цепи подачи мачты — замена</t>
  </si>
  <si>
    <t>гидроцилиндр мачты (подъём/наклон) — замена</t>
  </si>
  <si>
    <t>Компрессор</t>
  </si>
  <si>
    <t>компрессорный (воздушный) блок — капитальный ремонт (переборка)</t>
  </si>
  <si>
    <t>компрессорный (воздушный) блок — полная замена</t>
  </si>
  <si>
    <t>клапан минимального давления / разгрузочный клапан — замена</t>
  </si>
  <si>
    <t>маслоотделитель / маслоохладитель компрессора — замена</t>
  </si>
  <si>
    <t>регулятор производительности (EARS) — замена</t>
  </si>
  <si>
    <t>Система пылеподавления</t>
  </si>
  <si>
    <t>вентилятор системы пылеподавления — капитальный ремонт</t>
  </si>
  <si>
    <t>вентилятор системы пылеподавления — полная замена</t>
  </si>
  <si>
    <t>насос орошения (водяной) — замена</t>
  </si>
  <si>
    <t>картриджи фильтров пылеулавливания (комплект) — замена</t>
  </si>
  <si>
    <t>форсунки орошения и рукава — замена</t>
  </si>
  <si>
    <t>350/476</t>
  </si>
  <si>
    <t>Данные по Epiroc DM75</t>
  </si>
  <si>
    <t>Неприменимо</t>
  </si>
  <si>
    <t>долота, USD</t>
  </si>
  <si>
    <t>Штанги буровые, USD</t>
  </si>
  <si>
    <t>Адаптер долота, USD</t>
  </si>
  <si>
    <t>Шпиндельный адаптер, USD</t>
  </si>
  <si>
    <t>другое, USD</t>
  </si>
  <si>
    <t>Срок эксплуатации 12 лет</t>
  </si>
  <si>
    <t>капитальный ремонт двигателя (переборка блока: ЦПГ, коленвал, вкладыши и т.п.)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</si>
</sst>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_-* #,##0&quot; р.&quot;_-;\-* #,##0&quot; р.&quot;_-;_-* &quot;- р.&quot;_-;_-@_-"/>
    <numFmt numFmtId="165" formatCode="#,##0&quot;  &quot;"/>
    <numFmt numFmtId="166" formatCode="#,##0.0&quot;  &quot;"/>
    <numFmt numFmtId="167" formatCode="0.0\ %\ "/>
    <numFmt numFmtId="168" formatCode="#,##0.000&quot;  &quot;"/>
    <numFmt numFmtId="169" formatCode="0.0%"/>
    <numFmt numFmtId="170" formatCode="_-* #,##0.00[$€-1]_-;\-* #,##0.00[$€-1]_-;_-* \-??[$€-1]_-"/>
    <numFmt numFmtId="171" formatCode="[$$-409]#,##0.00"/>
    <numFmt numFmtId="172" formatCode="#,##0.0;[Red]\(#,##0.0\)"/>
    <numFmt numFmtId="173" formatCode="General_)"/>
    <numFmt numFmtId="174" formatCode="#\ ##0\ "/>
    <numFmt numFmtId="175" formatCode="_(* #,##0.0_);_(* \(#,##0.00\);_(* \-??_);_(@_)"/>
    <numFmt numFmtId="176" formatCode="0.000"/>
    <numFmt numFmtId="177" formatCode="&quot;fl&quot;#,##0_);&quot;(fl&quot;#,##0\)"/>
    <numFmt numFmtId="178" formatCode="&quot;fl&quot;#,##0_);[Red]&quot;(fl&quot;#,##0\)"/>
    <numFmt numFmtId="179" formatCode="&quot;fl&quot;#,##0.00_);&quot;(fl&quot;#,##0.00\)"/>
    <numFmt numFmtId="180" formatCode="#,##0;[Red]\-#,##0;\-"/>
    <numFmt numFmtId="181" formatCode="0_ ;[Red]\-0\ "/>
    <numFmt numFmtId="182" formatCode="_-* #,##0_р_._-;\-* #,##0_р_._-;_-* \-??_р_._-;_-@_-"/>
    <numFmt numFmtId="183" formatCode="_-[$€-2]\ * #,##0_-;\-[$€-2]\ * #,##0_-;_-[$€-2]\ * \-_-;_-@_-"/>
    <numFmt numFmtId="184" formatCode="[$$-409]#,##0"/>
    <numFmt numFmtId="185" formatCode="_-* #,##0_-;\-* #,##0_-;_-* \-??_-;_-@_-"/>
    <numFmt numFmtId="186" formatCode="_-* #,##0_-;\-* #,##0_-;_-* \-_-;_-@_-"/>
  </numFmts>
  <fonts count="45">
    <font>
      <sz val="11"/>
      <color theme="1"/>
      <name val="Calibri"/>
      <family val="2"/>
      <charset val="204"/>
    </font>
    <font>
      <sz val="10"/>
      <name val="Arial"/>
      <charset val="204"/>
    </font>
    <font>
      <sz val="10"/>
      <name val="Futuris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Times New Roman"/>
      <charset val="1"/>
    </font>
    <font>
      <sz val="10"/>
      <name val="Arial"/>
      <charset val="1"/>
    </font>
    <font>
      <sz val="10"/>
      <name val="MS Sans Serif"/>
      <family val="2"/>
      <charset val="204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1"/>
    </font>
    <font>
      <sz val="11"/>
      <color rgb="FFFFFFFF"/>
      <name val="Calibri"/>
      <family val="2"/>
      <charset val="204"/>
    </font>
    <font>
      <sz val="10"/>
      <name val="Times New Roman"/>
      <family val="1"/>
      <charset val="204"/>
    </font>
    <font>
      <b/>
      <sz val="18"/>
      <color rgb="FF9999FF"/>
      <name val="Arial"/>
      <family val="2"/>
      <charset val="204"/>
    </font>
    <font>
      <sz val="10"/>
      <name val="Courier New"/>
      <family val="3"/>
      <charset val="1"/>
    </font>
    <font>
      <b/>
      <u/>
      <sz val="10"/>
      <name val="Arial Narrow"/>
      <family val="2"/>
      <charset val="204"/>
    </font>
    <font>
      <sz val="10"/>
      <name val="Arial"/>
      <family val="2"/>
      <charset val="1"/>
    </font>
    <font>
      <sz val="10"/>
      <name val="Arial Cyr"/>
      <charset val="204"/>
    </font>
    <font>
      <u/>
      <sz val="10"/>
      <color rgb="FF0000FF"/>
      <name val="Tahoma"/>
      <family val="2"/>
      <charset val="204"/>
    </font>
    <font>
      <sz val="12"/>
      <name val="Tahoma"/>
      <family val="2"/>
      <charset val="1"/>
    </font>
    <font>
      <sz val="10"/>
      <name val="Tahoma"/>
      <family val="2"/>
      <charset val="204"/>
    </font>
    <font>
      <u/>
      <sz val="10"/>
      <color rgb="FF0000FF"/>
      <name val="Arial Cyr"/>
      <charset val="204"/>
    </font>
    <font>
      <u/>
      <sz val="10"/>
      <color rgb="FFFFFFFF"/>
      <name val="Arial Cyr"/>
      <charset val="204"/>
    </font>
    <font>
      <sz val="9"/>
      <name val="Times New Roman"/>
      <family val="1"/>
      <charset val="1"/>
    </font>
    <font>
      <sz val="11"/>
      <color rgb="FF800080"/>
      <name val="Calibri"/>
      <family val="2"/>
      <charset val="1"/>
    </font>
    <font>
      <sz val="11"/>
      <color rgb="FF800000"/>
      <name val="Calibri"/>
      <family val="2"/>
      <charset val="1"/>
    </font>
    <font>
      <sz val="11"/>
      <color rgb="FF80008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b/>
      <sz val="8"/>
      <color rgb="FF0000FF"/>
      <name val="Times New Roman"/>
      <family val="1"/>
      <charset val="204"/>
    </font>
    <font>
      <b/>
      <sz val="10"/>
      <color rgb="FF0000FF"/>
      <name val="Arial"/>
      <family val="2"/>
      <charset val="204"/>
    </font>
    <font>
      <sz val="7"/>
      <name val="Times New Roman"/>
      <family val="1"/>
      <charset val="204"/>
    </font>
    <font>
      <sz val="11"/>
      <color rgb="FF008000"/>
      <name val="Calibri"/>
      <family val="2"/>
      <charset val="1"/>
    </font>
    <font>
      <b/>
      <sz val="1"/>
      <color rgb="FF000000"/>
      <name val="Courier New"/>
      <family val="1"/>
      <charset val="204"/>
    </font>
    <font>
      <b/>
      <sz val="11"/>
      <color rgb="FFFF9900"/>
      <name val="Calibri"/>
      <family val="2"/>
      <charset val="1"/>
    </font>
    <font>
      <b/>
      <sz val="11"/>
      <color rgb="FFFF6600"/>
      <name val="Calibri"/>
      <family val="2"/>
      <charset val="1"/>
    </font>
    <font>
      <b/>
      <sz val="11"/>
      <color rgb="FF008000"/>
      <name val="Calibri"/>
      <family val="2"/>
      <charset val="1"/>
    </font>
    <font>
      <b/>
      <sz val="11"/>
      <color rgb="FFFF9900"/>
      <name val="Calibri"/>
      <family val="2"/>
      <charset val="204"/>
    </font>
    <font>
      <sz val="10"/>
      <color theme="1"/>
      <name val="Arial"/>
      <family val="2"/>
      <charset val="204"/>
    </font>
    <font>
      <i/>
      <sz val="10"/>
      <color rgb="FF0000FF"/>
      <name val="Arial"/>
      <family val="2"/>
      <charset val="204"/>
    </font>
    <font>
      <b/>
      <u/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</font>
    <font>
      <b/>
      <sz val="10"/>
      <color theme="1"/>
      <name val="Arial"/>
      <family val="2"/>
      <charset val="204"/>
    </font>
  </fonts>
  <fills count="37">
    <fill>
      <patternFill patternType="none"/>
    </fill>
    <fill>
      <patternFill patternType="gray125"/>
    </fill>
    <fill>
      <patternFill patternType="solid">
        <fgColor rgb="FFF0F0F0"/>
        <bgColor rgb="FFFFFFFF"/>
      </patternFill>
    </fill>
    <fill>
      <patternFill patternType="solid">
        <fgColor rgb="FF99CCFF"/>
        <bgColor rgb="FFB7DEE8"/>
      </patternFill>
    </fill>
    <fill>
      <patternFill patternType="solid">
        <fgColor rgb="FFCCCCFF"/>
        <bgColor rgb="FFB7DEE8"/>
      </patternFill>
    </fill>
    <fill>
      <patternFill patternType="solid">
        <fgColor rgb="FFFFFF99"/>
        <bgColor rgb="FFFFFFCC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6600"/>
        <bgColor rgb="FFFF9900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003366"/>
        <bgColor rgb="FF323399"/>
      </patternFill>
    </fill>
    <fill>
      <patternFill patternType="solid">
        <fgColor rgb="FF993366"/>
        <bgColor rgb="FF993366"/>
      </patternFill>
    </fill>
    <fill>
      <patternFill patternType="solid">
        <fgColor rgb="FFC0C0C0"/>
        <bgColor rgb="FFCCCCFF"/>
      </patternFill>
    </fill>
    <fill>
      <patternFill patternType="solid">
        <fgColor rgb="FF003300"/>
        <bgColor rgb="FF333300"/>
      </patternFill>
    </fill>
    <fill>
      <patternFill patternType="solid">
        <fgColor rgb="FF3366FF"/>
        <bgColor rgb="FF0066CC"/>
      </patternFill>
    </fill>
    <fill>
      <patternFill patternType="solid">
        <fgColor rgb="FF323399"/>
        <bgColor rgb="FF003366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993300"/>
        <bgColor rgb="FF993366"/>
      </patternFill>
    </fill>
    <fill>
      <patternFill patternType="solid">
        <fgColor rgb="FF99CC00"/>
        <bgColor rgb="FFFFCC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969696"/>
        <bgColor rgb="FF808080"/>
      </patternFill>
    </fill>
    <fill>
      <patternFill patternType="solid">
        <fgColor rgb="FF000080"/>
        <bgColor rgb="FF000080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0F0F0"/>
      </patternFill>
    </fill>
    <fill>
      <patternFill patternType="solid">
        <fgColor rgb="FF00FFFF"/>
        <bgColor rgb="FF00FFFF"/>
      </patternFill>
    </fill>
    <fill>
      <patternFill patternType="solid">
        <fgColor theme="8" tint="0.59987182226020086"/>
        <bgColor rgb="FFCCCCFF"/>
      </patternFill>
    </fill>
  </fills>
  <borders count="4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1537">
    <xf numFmtId="0" fontId="0" fillId="0" borderId="0"/>
    <xf numFmtId="0" fontId="1" fillId="0" borderId="0"/>
    <xf numFmtId="164" fontId="2" fillId="0" borderId="0">
      <alignment horizontal="center" vertical="center"/>
    </xf>
    <xf numFmtId="165" fontId="3" fillId="0" borderId="0">
      <alignment horizontal="right" vertical="center"/>
    </xf>
    <xf numFmtId="166" fontId="3" fillId="0" borderId="0">
      <alignment horizontal="right" vertical="center"/>
    </xf>
    <xf numFmtId="167" fontId="3" fillId="0" borderId="0">
      <alignment horizontal="right" vertical="center"/>
    </xf>
    <xf numFmtId="168" fontId="4" fillId="0" borderId="0">
      <alignment vertical="center"/>
    </xf>
    <xf numFmtId="169" fontId="5" fillId="0" borderId="0"/>
    <xf numFmtId="0" fontId="6" fillId="0" borderId="0">
      <alignment horizontal="center"/>
    </xf>
    <xf numFmtId="170" fontId="6" fillId="0" borderId="0">
      <alignment horizontal="center"/>
    </xf>
    <xf numFmtId="0" fontId="7" fillId="2" borderId="0"/>
    <xf numFmtId="0" fontId="7" fillId="2" borderId="0"/>
    <xf numFmtId="0" fontId="7" fillId="2" borderId="0"/>
    <xf numFmtId="0" fontId="7" fillId="2" borderId="0"/>
    <xf numFmtId="170" fontId="7" fillId="2" borderId="0"/>
    <xf numFmtId="170" fontId="7" fillId="2" borderId="0"/>
    <xf numFmtId="0" fontId="8" fillId="3" borderId="0"/>
    <xf numFmtId="170" fontId="8" fillId="4" borderId="0"/>
    <xf numFmtId="171" fontId="9" fillId="4" borderId="0"/>
    <xf numFmtId="0" fontId="8" fillId="5" borderId="0"/>
    <xf numFmtId="170" fontId="8" fillId="6" borderId="0"/>
    <xf numFmtId="171" fontId="9" fillId="6" borderId="0"/>
    <xf numFmtId="0" fontId="8" fillId="5" borderId="0"/>
    <xf numFmtId="170" fontId="8" fillId="7" borderId="0"/>
    <xf numFmtId="171" fontId="9" fillId="7" borderId="0"/>
    <xf numFmtId="0" fontId="8" fillId="8" borderId="0"/>
    <xf numFmtId="170" fontId="8" fillId="9" borderId="0"/>
    <xf numFmtId="171" fontId="9" fillId="9" borderId="0"/>
    <xf numFmtId="0" fontId="8" fillId="3" borderId="0"/>
    <xf numFmtId="170" fontId="8" fillId="10" borderId="0"/>
    <xf numFmtId="171" fontId="9" fillId="10" borderId="0"/>
    <xf numFmtId="0" fontId="8" fillId="5" borderId="0"/>
    <xf numFmtId="170" fontId="8" fillId="8" borderId="0"/>
    <xf numFmtId="171" fontId="9" fillId="8" borderId="0"/>
    <xf numFmtId="0" fontId="8" fillId="4" borderId="0"/>
    <xf numFmtId="0" fontId="8" fillId="6" borderId="0"/>
    <xf numFmtId="0" fontId="8" fillId="7" borderId="0"/>
    <xf numFmtId="0" fontId="8" fillId="9" borderId="0"/>
    <xf numFmtId="0" fontId="8" fillId="10" borderId="0"/>
    <xf numFmtId="0" fontId="8" fillId="8" borderId="0"/>
    <xf numFmtId="0" fontId="8" fillId="3" borderId="0"/>
    <xf numFmtId="0" fontId="8" fillId="5" borderId="0"/>
    <xf numFmtId="0" fontId="8" fillId="5" borderId="0"/>
    <xf numFmtId="0" fontId="8" fillId="8" borderId="0"/>
    <xf numFmtId="0" fontId="8" fillId="3" borderId="0"/>
    <xf numFmtId="0" fontId="8" fillId="5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8" fillId="3" borderId="0"/>
    <xf numFmtId="170" fontId="8" fillId="3" borderId="0"/>
    <xf numFmtId="171" fontId="9" fillId="3" borderId="0"/>
    <xf numFmtId="0" fontId="8" fillId="11" borderId="0"/>
    <xf numFmtId="170" fontId="8" fillId="12" borderId="0"/>
    <xf numFmtId="171" fontId="9" fillId="12" borderId="0"/>
    <xf numFmtId="0" fontId="8" fillId="5" borderId="0"/>
    <xf numFmtId="170" fontId="8" fillId="13" borderId="0"/>
    <xf numFmtId="171" fontId="9" fillId="13" borderId="0"/>
    <xf numFmtId="0" fontId="8" fillId="6" borderId="0"/>
    <xf numFmtId="170" fontId="8" fillId="9" borderId="0"/>
    <xf numFmtId="171" fontId="9" fillId="9" borderId="0"/>
    <xf numFmtId="0" fontId="8" fillId="3" borderId="0"/>
    <xf numFmtId="170" fontId="8" fillId="3" borderId="0"/>
    <xf numFmtId="171" fontId="9" fillId="3" borderId="0"/>
    <xf numFmtId="0" fontId="8" fillId="5" borderId="0"/>
    <xf numFmtId="170" fontId="8" fillId="14" borderId="0"/>
    <xf numFmtId="171" fontId="9" fillId="14" borderId="0"/>
    <xf numFmtId="0" fontId="8" fillId="3" borderId="0"/>
    <xf numFmtId="0" fontId="8" fillId="12" borderId="0"/>
    <xf numFmtId="0" fontId="8" fillId="13" borderId="0"/>
    <xf numFmtId="0" fontId="8" fillId="9" borderId="0"/>
    <xf numFmtId="0" fontId="8" fillId="3" borderId="0"/>
    <xf numFmtId="0" fontId="8" fillId="14" borderId="0"/>
    <xf numFmtId="0" fontId="8" fillId="3" borderId="0"/>
    <xf numFmtId="0" fontId="8" fillId="11" borderId="0"/>
    <xf numFmtId="0" fontId="8" fillId="5" borderId="0"/>
    <xf numFmtId="0" fontId="8" fillId="6" borderId="0"/>
    <xf numFmtId="0" fontId="8" fillId="3" borderId="0"/>
    <xf numFmtId="0" fontId="8" fillId="5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14" borderId="0"/>
    <xf numFmtId="0" fontId="9" fillId="14" borderId="0"/>
    <xf numFmtId="0" fontId="9" fillId="14" borderId="0"/>
    <xf numFmtId="0" fontId="9" fillId="14" borderId="0"/>
    <xf numFmtId="0" fontId="9" fillId="14" borderId="0"/>
    <xf numFmtId="0" fontId="9" fillId="14" borderId="0"/>
    <xf numFmtId="0" fontId="10" fillId="3" borderId="0"/>
    <xf numFmtId="170" fontId="10" fillId="15" borderId="0"/>
    <xf numFmtId="171" fontId="11" fillId="15" borderId="0"/>
    <xf numFmtId="0" fontId="10" fillId="11" borderId="0"/>
    <xf numFmtId="170" fontId="10" fillId="12" borderId="0"/>
    <xf numFmtId="171" fontId="11" fillId="12" borderId="0"/>
    <xf numFmtId="0" fontId="10" fillId="14" borderId="0"/>
    <xf numFmtId="170" fontId="10" fillId="13" borderId="0"/>
    <xf numFmtId="171" fontId="11" fillId="13" borderId="0"/>
    <xf numFmtId="0" fontId="10" fillId="6" borderId="0"/>
    <xf numFmtId="170" fontId="10" fillId="16" borderId="0"/>
    <xf numFmtId="171" fontId="11" fillId="16" borderId="0"/>
    <xf numFmtId="0" fontId="10" fillId="3" borderId="0"/>
    <xf numFmtId="170" fontId="10" fillId="17" borderId="0"/>
    <xf numFmtId="171" fontId="11" fillId="17" borderId="0"/>
    <xf numFmtId="0" fontId="10" fillId="5" borderId="0"/>
    <xf numFmtId="170" fontId="10" fillId="18" borderId="0"/>
    <xf numFmtId="171" fontId="11" fillId="18" borderId="0"/>
    <xf numFmtId="0" fontId="10" fillId="15" borderId="0"/>
    <xf numFmtId="0" fontId="10" fillId="12" borderId="0"/>
    <xf numFmtId="0" fontId="10" fillId="13" borderId="0"/>
    <xf numFmtId="0" fontId="10" fillId="16" borderId="0"/>
    <xf numFmtId="0" fontId="10" fillId="17" borderId="0"/>
    <xf numFmtId="0" fontId="10" fillId="18" borderId="0"/>
    <xf numFmtId="0" fontId="10" fillId="3" borderId="0"/>
    <xf numFmtId="0" fontId="10" fillId="11" borderId="0"/>
    <xf numFmtId="0" fontId="10" fillId="14" borderId="0"/>
    <xf numFmtId="0" fontId="10" fillId="6" borderId="0"/>
    <xf numFmtId="0" fontId="10" fillId="3" borderId="0"/>
    <xf numFmtId="0" fontId="10" fillId="5" borderId="0"/>
    <xf numFmtId="0" fontId="11" fillId="15" borderId="0"/>
    <xf numFmtId="0" fontId="11" fillId="15" borderId="0"/>
    <xf numFmtId="0" fontId="11" fillId="15" borderId="0"/>
    <xf numFmtId="0" fontId="11" fillId="15" borderId="0"/>
    <xf numFmtId="0" fontId="11" fillId="12" borderId="0"/>
    <xf numFmtId="0" fontId="11" fillId="12" borderId="0"/>
    <xf numFmtId="0" fontId="11" fillId="12" borderId="0"/>
    <xf numFmtId="0" fontId="11" fillId="12" borderId="0"/>
    <xf numFmtId="0" fontId="11" fillId="13" borderId="0"/>
    <xf numFmtId="0" fontId="11" fillId="13" borderId="0"/>
    <xf numFmtId="0" fontId="11" fillId="13" borderId="0"/>
    <xf numFmtId="0" fontId="11" fillId="13" borderId="0"/>
    <xf numFmtId="0" fontId="11" fillId="16" borderId="0"/>
    <xf numFmtId="0" fontId="11" fillId="16" borderId="0"/>
    <xf numFmtId="0" fontId="11" fillId="16" borderId="0"/>
    <xf numFmtId="0" fontId="11" fillId="16" borderId="0"/>
    <xf numFmtId="0" fontId="11" fillId="17" borderId="0"/>
    <xf numFmtId="0" fontId="11" fillId="17" borderId="0"/>
    <xf numFmtId="0" fontId="11" fillId="17" borderId="0"/>
    <xf numFmtId="0" fontId="11" fillId="17" borderId="0"/>
    <xf numFmtId="0" fontId="11" fillId="18" borderId="0"/>
    <xf numFmtId="0" fontId="11" fillId="18" borderId="0"/>
    <xf numFmtId="0" fontId="11" fillId="18" borderId="0"/>
    <xf numFmtId="0" fontId="11" fillId="18" borderId="0"/>
    <xf numFmtId="171" fontId="12" fillId="0" borderId="0"/>
    <xf numFmtId="171" fontId="12" fillId="0" borderId="0"/>
    <xf numFmtId="171" fontId="12" fillId="0" borderId="0"/>
    <xf numFmtId="0" fontId="13" fillId="0" borderId="0"/>
    <xf numFmtId="0" fontId="1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70" fontId="6" fillId="0" borderId="0"/>
    <xf numFmtId="17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0" fontId="6" fillId="0" borderId="0"/>
    <xf numFmtId="17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3" fillId="0" borderId="0"/>
    <xf numFmtId="0" fontId="3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0" fontId="3" fillId="0" borderId="0"/>
    <xf numFmtId="17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0" fontId="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0" fontId="3" fillId="0" borderId="0"/>
    <xf numFmtId="17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0" fontId="3" fillId="0" borderId="0"/>
    <xf numFmtId="0" fontId="1" fillId="0" borderId="0"/>
    <xf numFmtId="171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6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6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0" fontId="6" fillId="0" borderId="0"/>
    <xf numFmtId="17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0" fontId="6" fillId="0" borderId="0"/>
    <xf numFmtId="17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0" fontId="6" fillId="0" borderId="0"/>
    <xf numFmtId="17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0" fontId="6" fillId="0" borderId="0"/>
    <xf numFmtId="17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0" fontId="6" fillId="0" borderId="0"/>
    <xf numFmtId="17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0" fontId="6" fillId="0" borderId="0"/>
    <xf numFmtId="170" fontId="6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171" fontId="3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0" fontId="6" fillId="0" borderId="0"/>
    <xf numFmtId="17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0" fontId="6" fillId="0" borderId="0"/>
    <xf numFmtId="0" fontId="6" fillId="0" borderId="0"/>
    <xf numFmtId="0" fontId="6" fillId="0" borderId="0"/>
    <xf numFmtId="17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0" fontId="6" fillId="0" borderId="0"/>
    <xf numFmtId="17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3" fillId="0" borderId="0"/>
    <xf numFmtId="0" fontId="3" fillId="0" borderId="0"/>
    <xf numFmtId="0" fontId="6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6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0" fontId="6" fillId="0" borderId="0"/>
    <xf numFmtId="17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0" fontId="6" fillId="0" borderId="0"/>
    <xf numFmtId="17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0" fontId="6" fillId="0" borderId="0"/>
    <xf numFmtId="17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0" fontId="6" fillId="0" borderId="0"/>
    <xf numFmtId="17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0" fontId="6" fillId="0" borderId="0"/>
    <xf numFmtId="17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0" fontId="6" fillId="0" borderId="0"/>
    <xf numFmtId="170" fontId="6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2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0" fontId="6" fillId="0" borderId="0"/>
    <xf numFmtId="170" fontId="6" fillId="0" borderId="0"/>
    <xf numFmtId="0" fontId="1" fillId="0" borderId="0"/>
    <xf numFmtId="0" fontId="1" fillId="0" borderId="0"/>
    <xf numFmtId="0" fontId="2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6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6" fillId="0" borderId="0"/>
    <xf numFmtId="0" fontId="10" fillId="19" borderId="0"/>
    <xf numFmtId="0" fontId="8" fillId="20" borderId="0"/>
    <xf numFmtId="0" fontId="8" fillId="20" borderId="0"/>
    <xf numFmtId="0" fontId="8" fillId="20" borderId="0"/>
    <xf numFmtId="0" fontId="8" fillId="20" borderId="0"/>
    <xf numFmtId="170" fontId="8" fillId="20" borderId="0"/>
    <xf numFmtId="0" fontId="8" fillId="21" borderId="0"/>
    <xf numFmtId="0" fontId="8" fillId="21" borderId="0"/>
    <xf numFmtId="0" fontId="8" fillId="21" borderId="0"/>
    <xf numFmtId="0" fontId="8" fillId="21" borderId="0"/>
    <xf numFmtId="170" fontId="8" fillId="21" borderId="0"/>
    <xf numFmtId="0" fontId="10" fillId="22" borderId="0"/>
    <xf numFmtId="0" fontId="10" fillId="22" borderId="0"/>
    <xf numFmtId="0" fontId="10" fillId="22" borderId="0"/>
    <xf numFmtId="0" fontId="10" fillId="22" borderId="0"/>
    <xf numFmtId="170" fontId="10" fillId="22" borderId="0"/>
    <xf numFmtId="170" fontId="10" fillId="23" borderId="0"/>
    <xf numFmtId="170" fontId="10" fillId="23" borderId="0"/>
    <xf numFmtId="170" fontId="10" fillId="23" borderId="0"/>
    <xf numFmtId="170" fontId="10" fillId="23" borderId="0"/>
    <xf numFmtId="170" fontId="10" fillId="23" borderId="0"/>
    <xf numFmtId="170" fontId="10" fillId="23" borderId="0"/>
    <xf numFmtId="0" fontId="10" fillId="23" borderId="0"/>
    <xf numFmtId="170" fontId="10" fillId="24" borderId="0"/>
    <xf numFmtId="0" fontId="10" fillId="23" borderId="0"/>
    <xf numFmtId="171" fontId="11" fillId="24" borderId="0"/>
    <xf numFmtId="0" fontId="10" fillId="23" borderId="0"/>
    <xf numFmtId="0" fontId="10" fillId="23" borderId="0"/>
    <xf numFmtId="170" fontId="10" fillId="23" borderId="0"/>
    <xf numFmtId="170" fontId="10" fillId="23" borderId="0"/>
    <xf numFmtId="170" fontId="10" fillId="23" borderId="0"/>
    <xf numFmtId="170" fontId="10" fillId="23" borderId="0"/>
    <xf numFmtId="170" fontId="10" fillId="23" borderId="0"/>
    <xf numFmtId="0" fontId="10" fillId="11" borderId="0"/>
    <xf numFmtId="0" fontId="8" fillId="4" borderId="0"/>
    <xf numFmtId="0" fontId="8" fillId="4" borderId="0"/>
    <xf numFmtId="0" fontId="8" fillId="4" borderId="0"/>
    <xf numFmtId="0" fontId="8" fillId="4" borderId="0"/>
    <xf numFmtId="170" fontId="8" fillId="4" borderId="0"/>
    <xf numFmtId="0" fontId="8" fillId="25" borderId="0"/>
    <xf numFmtId="0" fontId="8" fillId="25" borderId="0"/>
    <xf numFmtId="0" fontId="8" fillId="25" borderId="0"/>
    <xf numFmtId="0" fontId="8" fillId="25" borderId="0"/>
    <xf numFmtId="170" fontId="8" fillId="25" borderId="0"/>
    <xf numFmtId="0" fontId="10" fillId="6" borderId="0"/>
    <xf numFmtId="0" fontId="10" fillId="6" borderId="0"/>
    <xf numFmtId="0" fontId="10" fillId="6" borderId="0"/>
    <xf numFmtId="0" fontId="10" fillId="6" borderId="0"/>
    <xf numFmtId="170" fontId="10" fillId="6" borderId="0"/>
    <xf numFmtId="170" fontId="10" fillId="20" borderId="0"/>
    <xf numFmtId="170" fontId="10" fillId="20" borderId="0"/>
    <xf numFmtId="170" fontId="10" fillId="20" borderId="0"/>
    <xf numFmtId="170" fontId="10" fillId="20" borderId="0"/>
    <xf numFmtId="170" fontId="10" fillId="20" borderId="0"/>
    <xf numFmtId="170" fontId="10" fillId="20" borderId="0"/>
    <xf numFmtId="0" fontId="10" fillId="20" borderId="0"/>
    <xf numFmtId="170" fontId="10" fillId="26" borderId="0"/>
    <xf numFmtId="0" fontId="10" fillId="20" borderId="0"/>
    <xf numFmtId="171" fontId="11" fillId="26" borderId="0"/>
    <xf numFmtId="0" fontId="10" fillId="20" borderId="0"/>
    <xf numFmtId="0" fontId="10" fillId="20" borderId="0"/>
    <xf numFmtId="170" fontId="10" fillId="20" borderId="0"/>
    <xf numFmtId="170" fontId="10" fillId="20" borderId="0"/>
    <xf numFmtId="170" fontId="10" fillId="20" borderId="0"/>
    <xf numFmtId="170" fontId="10" fillId="20" borderId="0"/>
    <xf numFmtId="170" fontId="10" fillId="20" borderId="0"/>
    <xf numFmtId="0" fontId="10" fillId="14" borderId="0"/>
    <xf numFmtId="0" fontId="8" fillId="27" borderId="0"/>
    <xf numFmtId="0" fontId="8" fillId="27" borderId="0"/>
    <xf numFmtId="0" fontId="8" fillId="27" borderId="0"/>
    <xf numFmtId="0" fontId="8" fillId="27" borderId="0"/>
    <xf numFmtId="170" fontId="8" fillId="27" borderId="0"/>
    <xf numFmtId="0" fontId="8" fillId="13" borderId="0"/>
    <xf numFmtId="0" fontId="8" fillId="13" borderId="0"/>
    <xf numFmtId="0" fontId="8" fillId="13" borderId="0"/>
    <xf numFmtId="0" fontId="8" fillId="13" borderId="0"/>
    <xf numFmtId="170" fontId="8" fillId="13" borderId="0"/>
    <xf numFmtId="0" fontId="10" fillId="28" borderId="0"/>
    <xf numFmtId="0" fontId="10" fillId="28" borderId="0"/>
    <xf numFmtId="0" fontId="10" fillId="28" borderId="0"/>
    <xf numFmtId="0" fontId="10" fillId="28" borderId="0"/>
    <xf numFmtId="170" fontId="10" fillId="28" borderId="0"/>
    <xf numFmtId="170" fontId="10" fillId="29" borderId="0"/>
    <xf numFmtId="170" fontId="10" fillId="29" borderId="0"/>
    <xf numFmtId="170" fontId="10" fillId="29" borderId="0"/>
    <xf numFmtId="170" fontId="10" fillId="29" borderId="0"/>
    <xf numFmtId="170" fontId="10" fillId="29" borderId="0"/>
    <xf numFmtId="170" fontId="10" fillId="29" borderId="0"/>
    <xf numFmtId="0" fontId="10" fillId="29" borderId="0"/>
    <xf numFmtId="170" fontId="10" fillId="29" borderId="0"/>
    <xf numFmtId="0" fontId="10" fillId="29" borderId="0"/>
    <xf numFmtId="171" fontId="11" fillId="29" borderId="0"/>
    <xf numFmtId="0" fontId="10" fillId="29" borderId="0"/>
    <xf numFmtId="0" fontId="10" fillId="29" borderId="0"/>
    <xf numFmtId="170" fontId="10" fillId="29" borderId="0"/>
    <xf numFmtId="170" fontId="10" fillId="29" borderId="0"/>
    <xf numFmtId="170" fontId="10" fillId="29" borderId="0"/>
    <xf numFmtId="170" fontId="10" fillId="29" borderId="0"/>
    <xf numFmtId="170" fontId="10" fillId="29" borderId="0"/>
    <xf numFmtId="0" fontId="10" fillId="30" borderId="0"/>
    <xf numFmtId="0" fontId="8" fillId="4" borderId="0"/>
    <xf numFmtId="0" fontId="8" fillId="4" borderId="0"/>
    <xf numFmtId="0" fontId="8" fillId="4" borderId="0"/>
    <xf numFmtId="0" fontId="8" fillId="4" borderId="0"/>
    <xf numFmtId="170" fontId="8" fillId="4" borderId="0"/>
    <xf numFmtId="0" fontId="8" fillId="31" borderId="0"/>
    <xf numFmtId="0" fontId="8" fillId="31" borderId="0"/>
    <xf numFmtId="0" fontId="8" fillId="31" borderId="0"/>
    <xf numFmtId="0" fontId="8" fillId="31" borderId="0"/>
    <xf numFmtId="170" fontId="8" fillId="31" borderId="0"/>
    <xf numFmtId="0" fontId="10" fillId="25" borderId="0"/>
    <xf numFmtId="0" fontId="10" fillId="25" borderId="0"/>
    <xf numFmtId="0" fontId="10" fillId="25" borderId="0"/>
    <xf numFmtId="0" fontId="10" fillId="25" borderId="0"/>
    <xf numFmtId="170" fontId="10" fillId="25" borderId="0"/>
    <xf numFmtId="170" fontId="10" fillId="32" borderId="0"/>
    <xf numFmtId="170" fontId="10" fillId="32" borderId="0"/>
    <xf numFmtId="170" fontId="10" fillId="32" borderId="0"/>
    <xf numFmtId="170" fontId="10" fillId="32" borderId="0"/>
    <xf numFmtId="170" fontId="10" fillId="32" borderId="0"/>
    <xf numFmtId="170" fontId="10" fillId="32" borderId="0"/>
    <xf numFmtId="0" fontId="10" fillId="32" borderId="0"/>
    <xf numFmtId="170" fontId="10" fillId="16" borderId="0"/>
    <xf numFmtId="0" fontId="10" fillId="32" borderId="0"/>
    <xf numFmtId="171" fontId="11" fillId="16" borderId="0"/>
    <xf numFmtId="0" fontId="10" fillId="32" borderId="0"/>
    <xf numFmtId="0" fontId="10" fillId="32" borderId="0"/>
    <xf numFmtId="170" fontId="10" fillId="32" borderId="0"/>
    <xf numFmtId="170" fontId="10" fillId="32" borderId="0"/>
    <xf numFmtId="170" fontId="10" fillId="32" borderId="0"/>
    <xf numFmtId="170" fontId="10" fillId="32" borderId="0"/>
    <xf numFmtId="170" fontId="10" fillId="32" borderId="0"/>
    <xf numFmtId="0" fontId="10" fillId="17" borderId="0"/>
    <xf numFmtId="0" fontId="8" fillId="10" borderId="0"/>
    <xf numFmtId="0" fontId="8" fillId="10" borderId="0"/>
    <xf numFmtId="0" fontId="8" fillId="10" borderId="0"/>
    <xf numFmtId="0" fontId="8" fillId="10" borderId="0"/>
    <xf numFmtId="170" fontId="8" fillId="10" borderId="0"/>
    <xf numFmtId="0" fontId="8" fillId="30" borderId="0"/>
    <xf numFmtId="0" fontId="8" fillId="30" borderId="0"/>
    <xf numFmtId="0" fontId="8" fillId="30" borderId="0"/>
    <xf numFmtId="0" fontId="8" fillId="30" borderId="0"/>
    <xf numFmtId="170" fontId="8" fillId="30" borderId="0"/>
    <xf numFmtId="0" fontId="10" fillId="22" borderId="0"/>
    <xf numFmtId="0" fontId="10" fillId="22" borderId="0"/>
    <xf numFmtId="0" fontId="10" fillId="22" borderId="0"/>
    <xf numFmtId="0" fontId="10" fillId="22" borderId="0"/>
    <xf numFmtId="170" fontId="10" fillId="22" borderId="0"/>
    <xf numFmtId="170" fontId="10" fillId="22" borderId="0"/>
    <xf numFmtId="170" fontId="10" fillId="22" borderId="0"/>
    <xf numFmtId="170" fontId="10" fillId="22" borderId="0"/>
    <xf numFmtId="170" fontId="10" fillId="22" borderId="0"/>
    <xf numFmtId="170" fontId="10" fillId="22" borderId="0"/>
    <xf numFmtId="170" fontId="10" fillId="22" borderId="0"/>
    <xf numFmtId="0" fontId="10" fillId="22" borderId="0"/>
    <xf numFmtId="170" fontId="10" fillId="17" borderId="0"/>
    <xf numFmtId="0" fontId="10" fillId="22" borderId="0"/>
    <xf numFmtId="171" fontId="11" fillId="17" borderId="0"/>
    <xf numFmtId="0" fontId="10" fillId="22" borderId="0"/>
    <xf numFmtId="0" fontId="10" fillId="22" borderId="0"/>
    <xf numFmtId="170" fontId="10" fillId="22" borderId="0"/>
    <xf numFmtId="170" fontId="10" fillId="22" borderId="0"/>
    <xf numFmtId="170" fontId="10" fillId="22" borderId="0"/>
    <xf numFmtId="170" fontId="10" fillId="22" borderId="0"/>
    <xf numFmtId="170" fontId="10" fillId="22" borderId="0"/>
    <xf numFmtId="0" fontId="10" fillId="26" borderId="0"/>
    <xf numFmtId="0" fontId="8" fillId="33" borderId="0"/>
    <xf numFmtId="0" fontId="8" fillId="33" borderId="0"/>
    <xf numFmtId="0" fontId="8" fillId="33" borderId="0"/>
    <xf numFmtId="0" fontId="8" fillId="33" borderId="0"/>
    <xf numFmtId="170" fontId="8" fillId="33" borderId="0"/>
    <xf numFmtId="0" fontId="8" fillId="8" borderId="0"/>
    <xf numFmtId="0" fontId="8" fillId="8" borderId="0"/>
    <xf numFmtId="0" fontId="8" fillId="8" borderId="0"/>
    <xf numFmtId="0" fontId="8" fillId="8" borderId="0"/>
    <xf numFmtId="170" fontId="8" fillId="8" borderId="0"/>
    <xf numFmtId="0" fontId="10" fillId="14" borderId="0"/>
    <xf numFmtId="0" fontId="10" fillId="14" borderId="0"/>
    <xf numFmtId="0" fontId="10" fillId="14" borderId="0"/>
    <xf numFmtId="0" fontId="10" fillId="14" borderId="0"/>
    <xf numFmtId="170" fontId="10" fillId="14" borderId="0"/>
    <xf numFmtId="170" fontId="10" fillId="11" borderId="0"/>
    <xf numFmtId="170" fontId="10" fillId="11" borderId="0"/>
    <xf numFmtId="170" fontId="10" fillId="11" borderId="0"/>
    <xf numFmtId="170" fontId="10" fillId="11" borderId="0"/>
    <xf numFmtId="170" fontId="10" fillId="11" borderId="0"/>
    <xf numFmtId="170" fontId="10" fillId="11" borderId="0"/>
    <xf numFmtId="0" fontId="10" fillId="11" borderId="0"/>
    <xf numFmtId="170" fontId="10" fillId="11" borderId="0"/>
    <xf numFmtId="0" fontId="10" fillId="11" borderId="0"/>
    <xf numFmtId="171" fontId="11" fillId="11" borderId="0"/>
    <xf numFmtId="0" fontId="10" fillId="11" borderId="0"/>
    <xf numFmtId="0" fontId="10" fillId="11" borderId="0"/>
    <xf numFmtId="170" fontId="10" fillId="11" borderId="0"/>
    <xf numFmtId="170" fontId="10" fillId="11" borderId="0"/>
    <xf numFmtId="170" fontId="10" fillId="11" borderId="0"/>
    <xf numFmtId="170" fontId="10" fillId="11" borderId="0"/>
    <xf numFmtId="170" fontId="10" fillId="11" borderId="0"/>
    <xf numFmtId="0" fontId="21" fillId="0" borderId="0">
      <alignment vertical="top"/>
      <protection locked="0"/>
    </xf>
    <xf numFmtId="0" fontId="21" fillId="0" borderId="0">
      <alignment vertical="top"/>
      <protection locked="0"/>
    </xf>
    <xf numFmtId="0" fontId="21" fillId="0" borderId="0">
      <alignment vertical="top"/>
      <protection locked="0"/>
    </xf>
    <xf numFmtId="0" fontId="21" fillId="0" borderId="0">
      <alignment vertical="top"/>
      <protection locked="0"/>
    </xf>
    <xf numFmtId="0" fontId="22" fillId="0" borderId="0">
      <alignment vertical="top"/>
      <protection locked="0"/>
    </xf>
    <xf numFmtId="170" fontId="21" fillId="0" borderId="0">
      <alignment vertical="top"/>
      <protection locked="0"/>
    </xf>
    <xf numFmtId="0" fontId="16" fillId="0" borderId="0"/>
    <xf numFmtId="0" fontId="23" fillId="0" borderId="0"/>
    <xf numFmtId="0" fontId="24" fillId="9" borderId="0"/>
    <xf numFmtId="0" fontId="25" fillId="6" borderId="0"/>
    <xf numFmtId="0" fontId="25" fillId="33" borderId="0"/>
    <xf numFmtId="170" fontId="24" fillId="6" borderId="0"/>
    <xf numFmtId="0" fontId="25" fillId="33" borderId="0"/>
    <xf numFmtId="171" fontId="26" fillId="6" borderId="0"/>
    <xf numFmtId="0" fontId="25" fillId="33" borderId="0"/>
    <xf numFmtId="170" fontId="25" fillId="33" borderId="0"/>
    <xf numFmtId="0" fontId="25" fillId="33" borderId="0"/>
    <xf numFmtId="1" fontId="27" fillId="0" borderId="0">
      <alignment horizontal="right" wrapText="1"/>
      <protection locked="0"/>
    </xf>
    <xf numFmtId="172" fontId="28" fillId="0" borderId="0">
      <alignment horizontal="right"/>
      <protection locked="0"/>
    </xf>
    <xf numFmtId="1" fontId="27" fillId="0" borderId="0">
      <alignment horizontal="right" wrapText="1"/>
      <protection locked="0"/>
    </xf>
    <xf numFmtId="0" fontId="29" fillId="0" borderId="0">
      <protection locked="0"/>
    </xf>
    <xf numFmtId="172" fontId="30" fillId="0" borderId="0">
      <protection locked="0"/>
    </xf>
    <xf numFmtId="0" fontId="29" fillId="0" borderId="0">
      <protection locked="0"/>
    </xf>
    <xf numFmtId="173" fontId="12" fillId="0" borderId="0">
      <alignment vertical="top"/>
    </xf>
    <xf numFmtId="174" fontId="31" fillId="0" borderId="0"/>
    <xf numFmtId="173" fontId="31" fillId="0" borderId="0">
      <alignment horizontal="left"/>
    </xf>
    <xf numFmtId="0" fontId="32" fillId="7" borderId="0"/>
    <xf numFmtId="0" fontId="32" fillId="7" borderId="0"/>
    <xf numFmtId="175" fontId="23" fillId="0" borderId="0"/>
    <xf numFmtId="175" fontId="33" fillId="0" borderId="0"/>
    <xf numFmtId="175" fontId="23" fillId="0" borderId="0"/>
    <xf numFmtId="175" fontId="33" fillId="0" borderId="0"/>
    <xf numFmtId="175" fontId="33" fillId="0" borderId="0"/>
    <xf numFmtId="173" fontId="23" fillId="0" borderId="0"/>
    <xf numFmtId="173" fontId="33" fillId="0" borderId="0"/>
    <xf numFmtId="173" fontId="33" fillId="0" borderId="0"/>
    <xf numFmtId="173" fontId="33" fillId="0" borderId="0"/>
    <xf numFmtId="176" fontId="23" fillId="0" borderId="0"/>
    <xf numFmtId="176" fontId="33" fillId="0" borderId="0"/>
    <xf numFmtId="176" fontId="33" fillId="0" borderId="0"/>
    <xf numFmtId="176" fontId="33" fillId="0" borderId="0"/>
    <xf numFmtId="177" fontId="23" fillId="0" borderId="0"/>
    <xf numFmtId="177" fontId="33" fillId="0" borderId="0"/>
    <xf numFmtId="177" fontId="33" fillId="0" borderId="0"/>
    <xf numFmtId="177" fontId="33" fillId="0" borderId="0"/>
    <xf numFmtId="178" fontId="23" fillId="0" borderId="0"/>
    <xf numFmtId="178" fontId="33" fillId="0" borderId="0"/>
    <xf numFmtId="178" fontId="33" fillId="0" borderId="0"/>
    <xf numFmtId="178" fontId="33" fillId="0" borderId="0"/>
    <xf numFmtId="175" fontId="23" fillId="0" borderId="0"/>
    <xf numFmtId="175" fontId="33" fillId="0" borderId="0"/>
    <xf numFmtId="175" fontId="33" fillId="0" borderId="0"/>
    <xf numFmtId="175" fontId="33" fillId="0" borderId="0"/>
    <xf numFmtId="179" fontId="23" fillId="0" borderId="0"/>
    <xf numFmtId="179" fontId="33" fillId="0" borderId="0"/>
    <xf numFmtId="179" fontId="33" fillId="0" borderId="0"/>
    <xf numFmtId="179" fontId="33" fillId="0" borderId="0"/>
    <xf numFmtId="173" fontId="23" fillId="0" borderId="0"/>
    <xf numFmtId="173" fontId="33" fillId="0" borderId="0"/>
    <xf numFmtId="173" fontId="33" fillId="0" borderId="0"/>
    <xf numFmtId="173" fontId="33" fillId="0" borderId="0"/>
    <xf numFmtId="0" fontId="34" fillId="21" borderId="1"/>
    <xf numFmtId="0" fontId="35" fillId="34" borderId="1"/>
    <xf numFmtId="0" fontId="35" fillId="34" borderId="1"/>
    <xf numFmtId="0" fontId="35" fillId="34" borderId="1"/>
    <xf numFmtId="0" fontId="35" fillId="34" borderId="1"/>
    <xf numFmtId="170" fontId="36" fillId="35" borderId="2"/>
    <xf numFmtId="0" fontId="35" fillId="34" borderId="1"/>
    <xf numFmtId="0" fontId="35" fillId="34" borderId="1"/>
    <xf numFmtId="170" fontId="36" fillId="35" borderId="2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6" fillId="35" borderId="2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171" fontId="37" fillId="21" borderId="1"/>
    <xf numFmtId="0" fontId="34" fillId="21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6" fillId="35" borderId="2"/>
    <xf numFmtId="0" fontId="35" fillId="34" borderId="1"/>
    <xf numFmtId="0" fontId="35" fillId="34" borderId="1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5" fillId="34" borderId="1"/>
    <xf numFmtId="0" fontId="35" fillId="34" borderId="1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5" fillId="34" borderId="1"/>
    <xf numFmtId="0" fontId="35" fillId="34" borderId="1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5" fillId="34" borderId="1"/>
    <xf numFmtId="0" fontId="35" fillId="34" borderId="1"/>
    <xf numFmtId="0" fontId="36" fillId="35" borderId="2"/>
    <xf numFmtId="0" fontId="36" fillId="35" borderId="2"/>
    <xf numFmtId="0" fontId="35" fillId="34" borderId="1"/>
    <xf numFmtId="0" fontId="35" fillId="34" borderId="1"/>
    <xf numFmtId="0" fontId="36" fillId="35" borderId="2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4" fillId="21" borderId="1"/>
    <xf numFmtId="0" fontId="36" fillId="35" borderId="2"/>
    <xf numFmtId="0" fontId="36" fillId="35" borderId="2"/>
    <xf numFmtId="170" fontId="34" fillId="21" borderId="1"/>
    <xf numFmtId="170" fontId="34" fillId="21" borderId="1"/>
    <xf numFmtId="170" fontId="34" fillId="21" borderId="1"/>
    <xf numFmtId="170" fontId="34" fillId="21" borderId="1"/>
    <xf numFmtId="0" fontId="36" fillId="35" borderId="2"/>
    <xf numFmtId="170" fontId="34" fillId="21" borderId="1"/>
    <xf numFmtId="170" fontId="34" fillId="21" borderId="1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170" fontId="34" fillId="21" borderId="1"/>
    <xf numFmtId="170" fontId="34" fillId="21" borderId="1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170" fontId="34" fillId="21" borderId="1"/>
    <xf numFmtId="170" fontId="34" fillId="21" borderId="1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170" fontId="34" fillId="21" borderId="1"/>
    <xf numFmtId="170" fontId="34" fillId="21" borderId="1"/>
    <xf numFmtId="0" fontId="36" fillId="35" borderId="2"/>
    <xf numFmtId="0" fontId="36" fillId="35" borderId="2"/>
    <xf numFmtId="170" fontId="34" fillId="21" borderId="1"/>
    <xf numFmtId="170" fontId="34" fillId="21" borderId="1"/>
    <xf numFmtId="0" fontId="36" fillId="35" borderId="2"/>
    <xf numFmtId="170" fontId="34" fillId="21" borderId="1"/>
    <xf numFmtId="170" fontId="34" fillId="21" borderId="1"/>
    <xf numFmtId="170" fontId="34" fillId="21" borderId="1"/>
    <xf numFmtId="170" fontId="34" fillId="21" borderId="1"/>
    <xf numFmtId="170" fontId="34" fillId="21" borderId="1"/>
    <xf numFmtId="170" fontId="34" fillId="21" borderId="1"/>
    <xf numFmtId="0" fontId="36" fillId="35" borderId="2"/>
    <xf numFmtId="0" fontId="35" fillId="34" borderId="1"/>
    <xf numFmtId="0" fontId="35" fillId="34" borderId="1"/>
    <xf numFmtId="0" fontId="35" fillId="34" borderId="1"/>
    <xf numFmtId="0" fontId="35" fillId="34" borderId="1"/>
    <xf numFmtId="0" fontId="36" fillId="35" borderId="2"/>
    <xf numFmtId="0" fontId="35" fillId="34" borderId="1"/>
    <xf numFmtId="0" fontId="35" fillId="34" borderId="1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5" fillId="34" borderId="1"/>
    <xf numFmtId="0" fontId="35" fillId="34" borderId="1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5" fillId="34" borderId="1"/>
    <xf numFmtId="0" fontId="35" fillId="34" borderId="1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6" fillId="35" borderId="2"/>
    <xf numFmtId="0" fontId="35" fillId="34" borderId="1"/>
    <xf numFmtId="0" fontId="35" fillId="34" borderId="1"/>
    <xf numFmtId="0" fontId="36" fillId="35" borderId="2"/>
    <xf numFmtId="0" fontId="36" fillId="35" borderId="2"/>
    <xf numFmtId="0" fontId="35" fillId="34" borderId="1"/>
    <xf numFmtId="0" fontId="35" fillId="34" borderId="1"/>
    <xf numFmtId="0" fontId="36" fillId="35" borderId="2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6" fillId="35" borderId="2"/>
    <xf numFmtId="0" fontId="35" fillId="34" borderId="1"/>
    <xf numFmtId="0" fontId="35" fillId="34" borderId="1"/>
    <xf numFmtId="0" fontId="35" fillId="34" borderId="1"/>
    <xf numFmtId="0" fontId="35" fillId="34" borderId="1"/>
    <xf numFmtId="170" fontId="36" fillId="35" borderId="2"/>
    <xf numFmtId="0" fontId="35" fillId="34" borderId="1"/>
    <xf numFmtId="0" fontId="35" fillId="34" borderId="1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0" fontId="35" fillId="34" borderId="1"/>
    <xf numFmtId="0" fontId="35" fillId="34" borderId="1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0" fontId="35" fillId="34" borderId="1"/>
    <xf numFmtId="0" fontId="35" fillId="34" borderId="1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170" fontId="36" fillId="35" borderId="2"/>
    <xf numFmtId="0" fontId="35" fillId="34" borderId="1"/>
    <xf numFmtId="0" fontId="35" fillId="34" borderId="1"/>
    <xf numFmtId="170" fontId="36" fillId="35" borderId="2"/>
    <xf numFmtId="170" fontId="36" fillId="35" borderId="2"/>
    <xf numFmtId="0" fontId="35" fillId="34" borderId="1"/>
    <xf numFmtId="0" fontId="35" fillId="34" borderId="1"/>
    <xf numFmtId="170" fontId="36" fillId="35" borderId="2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0" fontId="35" fillId="34" borderId="1"/>
    <xf numFmtId="170" fontId="36" fillId="35" borderId="2"/>
    <xf numFmtId="0" fontId="35" fillId="34" borderId="1"/>
    <xf numFmtId="0" fontId="35" fillId="34" borderId="1"/>
    <xf numFmtId="0" fontId="35" fillId="34" borderId="1"/>
    <xf numFmtId="0" fontId="35" fillId="34" borderId="1"/>
  </cellStyleXfs>
  <cellXfs count="24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0" fontId="38" fillId="36" borderId="0" xfId="0" applyFont="1" applyFill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horizontal="left" vertical="center" wrapText="1"/>
    </xf>
    <xf numFmtId="0" fontId="39" fillId="0" borderId="0" xfId="0" applyFont="1" applyAlignment="1">
      <alignment horizontal="left" vertical="center"/>
    </xf>
    <xf numFmtId="181" fontId="3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41" fillId="0" borderId="3" xfId="0" applyFont="1" applyBorder="1" applyAlignment="1">
      <alignment vertical="center" wrapText="1"/>
    </xf>
    <xf numFmtId="0" fontId="41" fillId="0" borderId="4" xfId="0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left" vertical="center" wrapText="1"/>
    </xf>
    <xf numFmtId="182" fontId="41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6" xfId="0" applyFont="1" applyBorder="1" applyAlignment="1">
      <alignment vertical="center" wrapText="1"/>
    </xf>
    <xf numFmtId="0" fontId="41" fillId="0" borderId="7" xfId="0" applyFont="1" applyBorder="1" applyAlignment="1">
      <alignment horizontal="center" vertical="center" wrapText="1"/>
    </xf>
    <xf numFmtId="0" fontId="41" fillId="36" borderId="7" xfId="0" applyFont="1" applyFill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left" vertical="center" wrapText="1"/>
    </xf>
    <xf numFmtId="4" fontId="41" fillId="0" borderId="7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right" vertical="center" wrapText="1"/>
    </xf>
    <xf numFmtId="0" fontId="3" fillId="36" borderId="7" xfId="0" applyFont="1" applyFill="1" applyBorder="1" applyAlignment="1">
      <alignment horizontal="center" vertical="center" wrapText="1"/>
    </xf>
    <xf numFmtId="4" fontId="3" fillId="0" borderId="7" xfId="0" applyNumberFormat="1" applyFont="1" applyBorder="1" applyAlignment="1">
      <alignment horizontal="center" vertical="center" wrapText="1"/>
    </xf>
    <xf numFmtId="0" fontId="41" fillId="0" borderId="9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36" borderId="10" xfId="0" applyFont="1" applyFill="1" applyBorder="1" applyAlignment="1">
      <alignment horizontal="center" vertical="center" wrapText="1"/>
    </xf>
    <xf numFmtId="4" fontId="3" fillId="0" borderId="10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left" vertical="center" wrapText="1"/>
    </xf>
    <xf numFmtId="0" fontId="30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36" borderId="4" xfId="0" applyFont="1" applyFill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0" fontId="41" fillId="0" borderId="12" xfId="0" applyFont="1" applyBorder="1" applyAlignment="1">
      <alignment vertical="center" wrapText="1"/>
    </xf>
    <xf numFmtId="4" fontId="3" fillId="36" borderId="10" xfId="0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horizontal="right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80" fontId="41" fillId="0" borderId="4" xfId="0" applyNumberFormat="1" applyFont="1" applyBorder="1" applyAlignment="1">
      <alignment horizontal="center" vertical="center" wrapText="1"/>
    </xf>
    <xf numFmtId="0" fontId="42" fillId="0" borderId="6" xfId="0" applyFont="1" applyBorder="1" applyAlignment="1">
      <alignment horizontal="right" vertical="center" wrapText="1"/>
    </xf>
    <xf numFmtId="1" fontId="42" fillId="0" borderId="7" xfId="0" applyNumberFormat="1" applyFont="1" applyBorder="1" applyAlignment="1">
      <alignment horizontal="center" vertical="center" wrapText="1"/>
    </xf>
    <xf numFmtId="180" fontId="42" fillId="0" borderId="7" xfId="0" applyNumberFormat="1" applyFont="1" applyBorder="1" applyAlignment="1">
      <alignment horizontal="right" vertical="center" wrapText="1"/>
    </xf>
    <xf numFmtId="0" fontId="42" fillId="0" borderId="9" xfId="0" applyFont="1" applyBorder="1" applyAlignment="1">
      <alignment horizontal="right" vertical="center" wrapText="1"/>
    </xf>
    <xf numFmtId="1" fontId="42" fillId="0" borderId="10" xfId="0" applyNumberFormat="1" applyFont="1" applyBorder="1" applyAlignment="1">
      <alignment horizontal="center" vertical="center" wrapText="1"/>
    </xf>
    <xf numFmtId="180" fontId="42" fillId="0" borderId="10" xfId="0" applyNumberFormat="1" applyFont="1" applyBorder="1" applyAlignment="1">
      <alignment horizontal="right" vertical="center" wrapText="1"/>
    </xf>
    <xf numFmtId="1" fontId="41" fillId="0" borderId="3" xfId="0" applyNumberFormat="1" applyFont="1" applyBorder="1" applyAlignment="1">
      <alignment horizontal="left" vertical="center"/>
    </xf>
    <xf numFmtId="3" fontId="3" fillId="0" borderId="4" xfId="0" applyNumberFormat="1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1" fontId="3" fillId="0" borderId="6" xfId="0" applyNumberFormat="1" applyFont="1" applyBorder="1" applyAlignment="1">
      <alignment horizontal="center" vertical="center" wrapText="1"/>
    </xf>
    <xf numFmtId="1" fontId="42" fillId="0" borderId="6" xfId="0" applyNumberFormat="1" applyFont="1" applyBorder="1" applyAlignment="1">
      <alignment horizontal="right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center" vertical="center"/>
    </xf>
    <xf numFmtId="1" fontId="3" fillId="36" borderId="7" xfId="0" applyNumberFormat="1" applyFont="1" applyFill="1" applyBorder="1" applyAlignment="1">
      <alignment horizontal="center" vertical="center" wrapText="1"/>
    </xf>
    <xf numFmtId="183" fontId="3" fillId="0" borderId="7" xfId="0" applyNumberFormat="1" applyFont="1" applyBorder="1" applyAlignment="1">
      <alignment vertical="center"/>
    </xf>
    <xf numFmtId="180" fontId="3" fillId="0" borderId="7" xfId="0" applyNumberFormat="1" applyFont="1" applyBorder="1" applyAlignment="1">
      <alignment horizontal="center" vertical="center"/>
    </xf>
    <xf numFmtId="1" fontId="42" fillId="0" borderId="9" xfId="0" applyNumberFormat="1" applyFont="1" applyBorder="1" applyAlignment="1">
      <alignment horizontal="right" vertical="center" wrapText="1"/>
    </xf>
    <xf numFmtId="183" fontId="3" fillId="0" borderId="10" xfId="0" applyNumberFormat="1" applyFont="1" applyBorder="1" applyAlignment="1">
      <alignment vertical="center"/>
    </xf>
    <xf numFmtId="3" fontId="3" fillId="0" borderId="10" xfId="0" applyNumberFormat="1" applyFont="1" applyBorder="1" applyAlignment="1">
      <alignment horizontal="center" vertical="center"/>
    </xf>
    <xf numFmtId="1" fontId="42" fillId="0" borderId="0" xfId="0" applyNumberFormat="1" applyFont="1" applyAlignment="1">
      <alignment horizontal="right" vertical="center" wrapText="1"/>
    </xf>
    <xf numFmtId="1" fontId="3" fillId="0" borderId="0" xfId="0" applyNumberFormat="1" applyFont="1" applyAlignment="1">
      <alignment horizontal="center" vertical="center" wrapText="1"/>
    </xf>
    <xf numFmtId="183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left" vertical="center" wrapText="1"/>
    </xf>
    <xf numFmtId="1" fontId="41" fillId="0" borderId="3" xfId="0" applyNumberFormat="1" applyFont="1" applyBorder="1" applyAlignment="1">
      <alignment horizontal="left" vertical="center" wrapText="1"/>
    </xf>
    <xf numFmtId="1" fontId="42" fillId="0" borderId="4" xfId="0" applyNumberFormat="1" applyFont="1" applyBorder="1" applyAlignment="1">
      <alignment horizontal="center" vertical="center" wrapText="1"/>
    </xf>
    <xf numFmtId="180" fontId="3" fillId="0" borderId="4" xfId="0" applyNumberFormat="1" applyFont="1" applyBorder="1" applyAlignment="1">
      <alignment horizontal="center" vertical="center"/>
    </xf>
    <xf numFmtId="0" fontId="3" fillId="36" borderId="0" xfId="0" applyFont="1" applyFill="1" applyAlignment="1">
      <alignment horizontal="center" vertical="center" wrapText="1"/>
    </xf>
    <xf numFmtId="1" fontId="42" fillId="36" borderId="7" xfId="0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36" borderId="10" xfId="0" applyFont="1" applyFill="1" applyBorder="1" applyAlignment="1">
      <alignment horizontal="center" vertical="center"/>
    </xf>
    <xf numFmtId="180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8" fillId="0" borderId="0" xfId="0" applyFont="1"/>
    <xf numFmtId="0" fontId="44" fillId="0" borderId="15" xfId="0" applyFont="1" applyBorder="1"/>
    <xf numFmtId="0" fontId="41" fillId="0" borderId="16" xfId="0" applyFont="1" applyBorder="1" applyAlignment="1">
      <alignment horizontal="center" vertical="center" wrapText="1"/>
    </xf>
    <xf numFmtId="0" fontId="38" fillId="0" borderId="17" xfId="0" applyFont="1" applyBorder="1"/>
    <xf numFmtId="0" fontId="38" fillId="0" borderId="18" xfId="0" applyFont="1" applyBorder="1"/>
    <xf numFmtId="0" fontId="38" fillId="0" borderId="19" xfId="0" applyFont="1" applyBorder="1" applyAlignment="1">
      <alignment horizontal="center"/>
    </xf>
    <xf numFmtId="0" fontId="41" fillId="0" borderId="17" xfId="0" applyFont="1" applyBorder="1" applyAlignment="1">
      <alignment horizontal="center" vertical="center" wrapText="1"/>
    </xf>
    <xf numFmtId="0" fontId="38" fillId="0" borderId="20" xfId="0" applyFont="1" applyBorder="1"/>
    <xf numFmtId="0" fontId="38" fillId="0" borderId="21" xfId="0" applyFont="1" applyBorder="1" applyAlignment="1">
      <alignment horizontal="center"/>
    </xf>
    <xf numFmtId="0" fontId="38" fillId="0" borderId="22" xfId="0" applyFont="1" applyBorder="1"/>
    <xf numFmtId="0" fontId="38" fillId="0" borderId="23" xfId="0" applyFont="1" applyBorder="1"/>
    <xf numFmtId="0" fontId="38" fillId="0" borderId="24" xfId="0" applyFont="1" applyBorder="1" applyAlignment="1">
      <alignment horizontal="center"/>
    </xf>
    <xf numFmtId="3" fontId="38" fillId="0" borderId="22" xfId="0" applyNumberFormat="1" applyFont="1" applyBorder="1"/>
    <xf numFmtId="0" fontId="38" fillId="0" borderId="25" xfId="0" applyFont="1" applyBorder="1"/>
    <xf numFmtId="0" fontId="38" fillId="0" borderId="6" xfId="0" applyFont="1" applyBorder="1" applyAlignment="1">
      <alignment horizontal="center"/>
    </xf>
    <xf numFmtId="0" fontId="38" fillId="0" borderId="7" xfId="0" applyFont="1" applyBorder="1"/>
    <xf numFmtId="0" fontId="38" fillId="0" borderId="8" xfId="0" applyFont="1" applyBorder="1"/>
    <xf numFmtId="3" fontId="3" fillId="0" borderId="26" xfId="0" applyNumberFormat="1" applyFont="1" applyBorder="1" applyAlignment="1">
      <alignment horizontal="center" vertical="center" wrapText="1"/>
    </xf>
    <xf numFmtId="3" fontId="38" fillId="0" borderId="7" xfId="0" applyNumberFormat="1" applyFont="1" applyBorder="1"/>
    <xf numFmtId="0" fontId="3" fillId="0" borderId="25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center" vertical="center" wrapText="1"/>
    </xf>
    <xf numFmtId="0" fontId="41" fillId="0" borderId="25" xfId="0" applyFont="1" applyBorder="1" applyAlignment="1">
      <alignment vertical="center" wrapText="1"/>
    </xf>
    <xf numFmtId="3" fontId="41" fillId="0" borderId="7" xfId="0" applyNumberFormat="1" applyFont="1" applyBorder="1" applyAlignment="1">
      <alignment horizontal="center" vertical="center" wrapText="1"/>
    </xf>
    <xf numFmtId="0" fontId="42" fillId="0" borderId="25" xfId="0" applyFont="1" applyBorder="1" applyAlignment="1">
      <alignment horizontal="right" vertical="center" wrapText="1"/>
    </xf>
    <xf numFmtId="1" fontId="42" fillId="0" borderId="6" xfId="0" applyNumberFormat="1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1" fontId="3" fillId="0" borderId="26" xfId="0" applyNumberFormat="1" applyFont="1" applyBorder="1" applyAlignment="1">
      <alignment horizontal="center" vertical="center" wrapText="1"/>
    </xf>
    <xf numFmtId="180" fontId="3" fillId="0" borderId="7" xfId="0" applyNumberFormat="1" applyFont="1" applyBorder="1" applyAlignment="1">
      <alignment horizontal="center" vertical="center" wrapText="1"/>
    </xf>
    <xf numFmtId="0" fontId="42" fillId="0" borderId="27" xfId="0" applyFont="1" applyBorder="1" applyAlignment="1">
      <alignment horizontal="right" vertical="center" wrapText="1"/>
    </xf>
    <xf numFmtId="1" fontId="42" fillId="0" borderId="9" xfId="0" applyNumberFormat="1" applyFont="1" applyBorder="1" applyAlignment="1">
      <alignment horizontal="center" vertical="center" wrapText="1"/>
    </xf>
    <xf numFmtId="1" fontId="3" fillId="0" borderId="11" xfId="0" applyNumberFormat="1" applyFont="1" applyBorder="1" applyAlignment="1">
      <alignment horizontal="center" vertical="center" wrapText="1"/>
    </xf>
    <xf numFmtId="184" fontId="3" fillId="36" borderId="28" xfId="0" applyNumberFormat="1" applyFont="1" applyFill="1" applyBorder="1" applyAlignment="1">
      <alignment horizontal="center" vertical="center" wrapText="1"/>
    </xf>
    <xf numFmtId="180" fontId="3" fillId="0" borderId="10" xfId="0" applyNumberFormat="1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1" fontId="41" fillId="0" borderId="3" xfId="0" applyNumberFormat="1" applyFont="1" applyBorder="1" applyAlignment="1">
      <alignment horizontal="center" vertical="center" wrapText="1"/>
    </xf>
    <xf numFmtId="1" fontId="41" fillId="0" borderId="4" xfId="0" applyNumberFormat="1" applyFont="1" applyBorder="1" applyAlignment="1">
      <alignment horizontal="center" vertical="center" wrapText="1"/>
    </xf>
    <xf numFmtId="1" fontId="41" fillId="0" borderId="5" xfId="0" applyNumberFormat="1" applyFont="1" applyBorder="1" applyAlignment="1">
      <alignment horizontal="center" vertical="center" wrapText="1"/>
    </xf>
    <xf numFmtId="1" fontId="41" fillId="0" borderId="31" xfId="0" applyNumberFormat="1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1" fillId="0" borderId="25" xfId="0" applyFont="1" applyBorder="1" applyAlignment="1">
      <alignment horizontal="center" vertical="center" wrapText="1"/>
    </xf>
    <xf numFmtId="1" fontId="41" fillId="0" borderId="6" xfId="0" applyNumberFormat="1" applyFont="1" applyBorder="1" applyAlignment="1">
      <alignment horizontal="center" vertical="center" wrapText="1"/>
    </xf>
    <xf numFmtId="1" fontId="41" fillId="0" borderId="33" xfId="0" applyNumberFormat="1" applyFont="1" applyBorder="1" applyAlignment="1">
      <alignment horizontal="center" vertical="center" wrapText="1"/>
    </xf>
    <xf numFmtId="1" fontId="41" fillId="0" borderId="34" xfId="0" applyNumberFormat="1" applyFont="1" applyBorder="1" applyAlignment="1">
      <alignment horizontal="center" vertical="center" wrapText="1"/>
    </xf>
    <xf numFmtId="0" fontId="38" fillId="0" borderId="35" xfId="0" applyFont="1" applyBorder="1"/>
    <xf numFmtId="0" fontId="41" fillId="0" borderId="33" xfId="0" applyFont="1" applyBorder="1" applyAlignment="1">
      <alignment horizontal="center" vertical="center" wrapText="1"/>
    </xf>
    <xf numFmtId="0" fontId="3" fillId="36" borderId="25" xfId="0" applyFont="1" applyFill="1" applyBorder="1" applyAlignment="1">
      <alignment horizontal="right" vertical="center" wrapText="1"/>
    </xf>
    <xf numFmtId="3" fontId="38" fillId="36" borderId="6" xfId="0" applyNumberFormat="1" applyFont="1" applyFill="1" applyBorder="1"/>
    <xf numFmtId="0" fontId="38" fillId="36" borderId="7" xfId="0" applyFont="1" applyFill="1" applyBorder="1" applyAlignment="1">
      <alignment horizontal="center"/>
    </xf>
    <xf numFmtId="0" fontId="38" fillId="36" borderId="8" xfId="0" applyFont="1" applyFill="1" applyBorder="1" applyAlignment="1">
      <alignment horizontal="center"/>
    </xf>
    <xf numFmtId="0" fontId="38" fillId="36" borderId="26" xfId="0" applyFont="1" applyFill="1" applyBorder="1" applyAlignment="1">
      <alignment horizontal="center"/>
    </xf>
    <xf numFmtId="0" fontId="3" fillId="36" borderId="27" xfId="0" applyFont="1" applyFill="1" applyBorder="1" applyAlignment="1">
      <alignment horizontal="right" vertical="center" wrapText="1"/>
    </xf>
    <xf numFmtId="3" fontId="38" fillId="36" borderId="9" xfId="0" applyNumberFormat="1" applyFont="1" applyFill="1" applyBorder="1"/>
    <xf numFmtId="0" fontId="38" fillId="36" borderId="10" xfId="0" applyFont="1" applyFill="1" applyBorder="1" applyAlignment="1">
      <alignment horizontal="center"/>
    </xf>
    <xf numFmtId="0" fontId="38" fillId="36" borderId="11" xfId="0" applyFont="1" applyFill="1" applyBorder="1" applyAlignment="1">
      <alignment horizontal="center"/>
    </xf>
    <xf numFmtId="0" fontId="38" fillId="36" borderId="28" xfId="0" applyFont="1" applyFill="1" applyBorder="1" applyAlignment="1">
      <alignment horizontal="center"/>
    </xf>
    <xf numFmtId="0" fontId="41" fillId="0" borderId="3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/>
    </xf>
    <xf numFmtId="0" fontId="41" fillId="0" borderId="36" xfId="0" applyFont="1" applyBorder="1" applyAlignment="1">
      <alignment horizontal="center" vertical="center" wrapText="1"/>
    </xf>
    <xf numFmtId="0" fontId="41" fillId="0" borderId="13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14" xfId="0" applyFont="1" applyBorder="1" applyAlignment="1">
      <alignment horizontal="center" vertical="center" wrapText="1"/>
    </xf>
    <xf numFmtId="0" fontId="41" fillId="0" borderId="26" xfId="0" applyFont="1" applyBorder="1" applyAlignment="1">
      <alignment horizontal="center" vertical="center" wrapText="1"/>
    </xf>
    <xf numFmtId="3" fontId="44" fillId="0" borderId="7" xfId="0" applyNumberFormat="1" applyFont="1" applyBorder="1" applyAlignment="1">
      <alignment horizontal="center"/>
    </xf>
    <xf numFmtId="0" fontId="38" fillId="0" borderId="25" xfId="0" applyFont="1" applyBorder="1" applyAlignment="1">
      <alignment horizontal="left" indent="2"/>
    </xf>
    <xf numFmtId="0" fontId="38" fillId="0" borderId="6" xfId="0" applyFont="1" applyBorder="1" applyAlignment="1">
      <alignment horizontal="left" indent="2"/>
    </xf>
    <xf numFmtId="184" fontId="3" fillId="0" borderId="7" xfId="0" applyNumberFormat="1" applyFont="1" applyBorder="1" applyAlignment="1">
      <alignment horizontal="center" vertical="center" wrapText="1"/>
    </xf>
    <xf numFmtId="3" fontId="3" fillId="0" borderId="8" xfId="0" applyNumberFormat="1" applyFont="1" applyBorder="1" applyAlignment="1">
      <alignment horizontal="center" vertical="center" wrapText="1"/>
    </xf>
    <xf numFmtId="0" fontId="38" fillId="0" borderId="25" xfId="0" applyFont="1" applyBorder="1" applyAlignment="1">
      <alignment horizontal="right" indent="2"/>
    </xf>
    <xf numFmtId="0" fontId="38" fillId="36" borderId="6" xfId="0" applyFont="1" applyFill="1" applyBorder="1" applyAlignment="1">
      <alignment horizontal="right" indent="2"/>
    </xf>
    <xf numFmtId="184" fontId="3" fillId="36" borderId="7" xfId="0" applyNumberFormat="1" applyFont="1" applyFill="1" applyBorder="1" applyAlignment="1">
      <alignment horizontal="center" vertical="center" wrapText="1"/>
    </xf>
    <xf numFmtId="3" fontId="3" fillId="36" borderId="8" xfId="0" applyNumberFormat="1" applyFont="1" applyFill="1" applyBorder="1" applyAlignment="1">
      <alignment horizontal="right" vertical="center" wrapText="1"/>
    </xf>
    <xf numFmtId="185" fontId="38" fillId="0" borderId="7" xfId="0" applyNumberFormat="1" applyFont="1" applyBorder="1"/>
    <xf numFmtId="0" fontId="38" fillId="36" borderId="6" xfId="0" applyFont="1" applyFill="1" applyBorder="1" applyAlignment="1">
      <alignment horizontal="left" indent="2"/>
    </xf>
    <xf numFmtId="0" fontId="38" fillId="0" borderId="26" xfId="0" applyFont="1" applyBorder="1"/>
    <xf numFmtId="0" fontId="38" fillId="0" borderId="27" xfId="0" applyFont="1" applyBorder="1" applyAlignment="1">
      <alignment horizontal="right" indent="2"/>
    </xf>
    <xf numFmtId="0" fontId="38" fillId="0" borderId="28" xfId="0" applyFont="1" applyBorder="1"/>
    <xf numFmtId="185" fontId="38" fillId="0" borderId="10" xfId="0" applyNumberFormat="1" applyFont="1" applyBorder="1"/>
    <xf numFmtId="4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44" fillId="0" borderId="30" xfId="0" applyFont="1" applyBorder="1" applyAlignment="1">
      <alignment horizontal="center" vertical="center"/>
    </xf>
    <xf numFmtId="0" fontId="44" fillId="0" borderId="31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27" xfId="0" applyFont="1" applyBorder="1"/>
    <xf numFmtId="0" fontId="38" fillId="0" borderId="28" xfId="0" applyFont="1" applyBorder="1" applyAlignment="1">
      <alignment horizontal="center"/>
    </xf>
    <xf numFmtId="0" fontId="38" fillId="0" borderId="10" xfId="0" applyFont="1" applyBorder="1"/>
    <xf numFmtId="3" fontId="3" fillId="0" borderId="10" xfId="0" applyNumberFormat="1" applyFont="1" applyBorder="1" applyAlignment="1">
      <alignment horizontal="center" vertical="center" wrapText="1"/>
    </xf>
    <xf numFmtId="3" fontId="38" fillId="0" borderId="10" xfId="0" applyNumberFormat="1" applyFont="1" applyBorder="1"/>
    <xf numFmtId="0" fontId="38" fillId="0" borderId="13" xfId="0" applyFont="1" applyBorder="1"/>
    <xf numFmtId="0" fontId="3" fillId="0" borderId="3" xfId="0" applyFont="1" applyBorder="1" applyAlignment="1">
      <alignment horizontal="right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1" fontId="41" fillId="0" borderId="7" xfId="0" applyNumberFormat="1" applyFont="1" applyBorder="1" applyAlignment="1">
      <alignment horizontal="center" vertical="center" wrapText="1"/>
    </xf>
    <xf numFmtId="3" fontId="41" fillId="0" borderId="8" xfId="0" applyNumberFormat="1" applyFont="1" applyBorder="1" applyAlignment="1">
      <alignment horizontal="center" vertical="center" wrapText="1"/>
    </xf>
    <xf numFmtId="180" fontId="3" fillId="0" borderId="8" xfId="0" applyNumberFormat="1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0" fontId="42" fillId="0" borderId="0" xfId="0" applyFont="1" applyAlignment="1">
      <alignment horizontal="right" vertical="center" wrapText="1"/>
    </xf>
    <xf numFmtId="3" fontId="3" fillId="0" borderId="0" xfId="0" applyNumberFormat="1" applyFont="1" applyAlignment="1">
      <alignment horizontal="center" vertical="center" wrapText="1"/>
    </xf>
    <xf numFmtId="3" fontId="38" fillId="0" borderId="0" xfId="0" applyNumberFormat="1" applyFont="1"/>
    <xf numFmtId="0" fontId="44" fillId="0" borderId="0" xfId="0" applyFont="1" applyAlignment="1">
      <alignment horizontal="left"/>
    </xf>
    <xf numFmtId="0" fontId="41" fillId="0" borderId="37" xfId="0" applyFont="1" applyBorder="1" applyAlignment="1">
      <alignment horizontal="center" vertical="center" wrapText="1"/>
    </xf>
    <xf numFmtId="0" fontId="44" fillId="0" borderId="19" xfId="0" applyFont="1" applyBorder="1" applyAlignment="1">
      <alignment horizontal="center" vertical="center"/>
    </xf>
    <xf numFmtId="0" fontId="44" fillId="0" borderId="17" xfId="0" applyFont="1" applyBorder="1" applyAlignment="1">
      <alignment horizontal="center" vertical="center"/>
    </xf>
    <xf numFmtId="0" fontId="44" fillId="0" borderId="18" xfId="0" applyFont="1" applyBorder="1" applyAlignment="1">
      <alignment horizontal="center" vertical="center"/>
    </xf>
    <xf numFmtId="0" fontId="41" fillId="0" borderId="29" xfId="0" applyFont="1" applyBorder="1" applyAlignment="1">
      <alignment vertical="center" wrapText="1"/>
    </xf>
    <xf numFmtId="0" fontId="41" fillId="0" borderId="38" xfId="0" applyFont="1" applyBorder="1" applyAlignment="1">
      <alignment vertical="center" wrapText="1"/>
    </xf>
    <xf numFmtId="0" fontId="41" fillId="0" borderId="19" xfId="0" applyFont="1" applyBorder="1" applyAlignment="1">
      <alignment vertical="center" wrapText="1"/>
    </xf>
    <xf numFmtId="3" fontId="44" fillId="0" borderId="19" xfId="0" applyNumberFormat="1" applyFont="1" applyBorder="1" applyAlignment="1">
      <alignment horizontal="center"/>
    </xf>
    <xf numFmtId="3" fontId="44" fillId="0" borderId="17" xfId="0" applyNumberFormat="1" applyFont="1" applyBorder="1" applyAlignment="1">
      <alignment horizontal="center"/>
    </xf>
    <xf numFmtId="3" fontId="44" fillId="0" borderId="18" xfId="0" applyNumberFormat="1" applyFont="1" applyBorder="1" applyAlignment="1">
      <alignment horizontal="center"/>
    </xf>
    <xf numFmtId="3" fontId="3" fillId="36" borderId="21" xfId="0" applyNumberFormat="1" applyFont="1" applyFill="1" applyBorder="1" applyAlignment="1">
      <alignment horizontal="right" vertical="center" wrapText="1"/>
    </xf>
    <xf numFmtId="3" fontId="3" fillId="0" borderId="22" xfId="0" applyNumberFormat="1" applyFont="1" applyBorder="1" applyAlignment="1">
      <alignment horizontal="center" vertical="center" wrapText="1"/>
    </xf>
    <xf numFmtId="184" fontId="3" fillId="0" borderId="39" xfId="0" applyNumberFormat="1" applyFont="1" applyBorder="1" applyAlignment="1">
      <alignment horizontal="center" vertical="center" wrapText="1"/>
    </xf>
    <xf numFmtId="186" fontId="38" fillId="36" borderId="24" xfId="0" applyNumberFormat="1" applyFont="1" applyFill="1" applyBorder="1"/>
    <xf numFmtId="186" fontId="38" fillId="36" borderId="40" xfId="0" applyNumberFormat="1" applyFont="1" applyFill="1" applyBorder="1"/>
    <xf numFmtId="184" fontId="3" fillId="0" borderId="41" xfId="0" applyNumberFormat="1" applyFont="1" applyBorder="1" applyAlignment="1">
      <alignment horizontal="center" vertical="center" wrapText="1"/>
    </xf>
    <xf numFmtId="186" fontId="38" fillId="36" borderId="26" xfId="0" applyNumberFormat="1" applyFont="1" applyFill="1" applyBorder="1"/>
    <xf numFmtId="186" fontId="38" fillId="36" borderId="7" xfId="0" applyNumberFormat="1" applyFont="1" applyFill="1" applyBorder="1"/>
    <xf numFmtId="186" fontId="38" fillId="36" borderId="8" xfId="0" applyNumberFormat="1" applyFont="1" applyFill="1" applyBorder="1"/>
    <xf numFmtId="3" fontId="3" fillId="36" borderId="42" xfId="0" applyNumberFormat="1" applyFont="1" applyFill="1" applyBorder="1" applyAlignment="1">
      <alignment horizontal="right" vertical="center" wrapText="1"/>
    </xf>
    <xf numFmtId="3" fontId="3" fillId="0" borderId="43" xfId="0" applyNumberFormat="1" applyFont="1" applyBorder="1" applyAlignment="1">
      <alignment horizontal="center" vertical="center" wrapText="1"/>
    </xf>
    <xf numFmtId="184" fontId="3" fillId="0" borderId="10" xfId="0" applyNumberFormat="1" applyFont="1" applyBorder="1" applyAlignment="1">
      <alignment horizontal="center" vertical="center" wrapText="1"/>
    </xf>
    <xf numFmtId="186" fontId="38" fillId="36" borderId="10" xfId="0" applyNumberFormat="1" applyFont="1" applyFill="1" applyBorder="1"/>
    <xf numFmtId="186" fontId="38" fillId="36" borderId="11" xfId="0" applyNumberFormat="1" applyFont="1" applyFill="1" applyBorder="1"/>
    <xf numFmtId="171" fontId="38" fillId="0" borderId="0" xfId="0" applyNumberFormat="1" applyFont="1" applyAlignment="1">
      <alignment horizontal="center"/>
    </xf>
    <xf numFmtId="0" fontId="41" fillId="0" borderId="44" xfId="0" applyFont="1" applyBorder="1" applyAlignment="1">
      <alignment horizontal="center" vertical="center" wrapText="1"/>
    </xf>
    <xf numFmtId="0" fontId="44" fillId="0" borderId="45" xfId="0" applyFont="1" applyBorder="1" applyAlignment="1">
      <alignment horizontal="center" vertical="center"/>
    </xf>
    <xf numFmtId="0" fontId="44" fillId="0" borderId="46" xfId="0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right" vertical="center" wrapText="1"/>
    </xf>
    <xf numFmtId="3" fontId="38" fillId="36" borderId="7" xfId="0" applyNumberFormat="1" applyFont="1" applyFill="1" applyBorder="1"/>
    <xf numFmtId="3" fontId="38" fillId="36" borderId="8" xfId="0" applyNumberFormat="1" applyFont="1" applyFill="1" applyBorder="1"/>
    <xf numFmtId="3" fontId="3" fillId="0" borderId="42" xfId="0" applyNumberFormat="1" applyFont="1" applyBorder="1" applyAlignment="1">
      <alignment horizontal="right" vertical="center" wrapText="1"/>
    </xf>
    <xf numFmtId="3" fontId="38" fillId="36" borderId="10" xfId="0" applyNumberFormat="1" applyFont="1" applyFill="1" applyBorder="1"/>
    <xf numFmtId="3" fontId="38" fillId="36" borderId="11" xfId="0" applyNumberFormat="1" applyFont="1" applyFill="1" applyBorder="1"/>
    <xf numFmtId="0" fontId="41" fillId="0" borderId="47" xfId="0" applyFont="1" applyBorder="1" applyAlignment="1">
      <alignment horizontal="center" vertical="center" wrapText="1"/>
    </xf>
    <xf numFmtId="0" fontId="41" fillId="0" borderId="45" xfId="0" applyFont="1" applyBorder="1" applyAlignment="1">
      <alignment horizontal="center" vertical="center" wrapText="1"/>
    </xf>
    <xf numFmtId="0" fontId="44" fillId="0" borderId="32" xfId="0" applyFont="1" applyBorder="1" applyAlignment="1">
      <alignment horizontal="center" vertical="center"/>
    </xf>
    <xf numFmtId="0" fontId="41" fillId="0" borderId="15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center" vertical="center" wrapText="1"/>
    </xf>
    <xf numFmtId="0" fontId="38" fillId="0" borderId="20" xfId="0" applyFont="1" applyBorder="1" applyAlignment="1">
      <alignment horizontal="left" wrapText="1" indent="2"/>
    </xf>
    <xf numFmtId="184" fontId="3" fillId="36" borderId="24" xfId="0" applyNumberFormat="1" applyFont="1" applyFill="1" applyBorder="1" applyAlignment="1">
      <alignment horizontal="center" vertical="center" wrapText="1"/>
    </xf>
    <xf numFmtId="3" fontId="3" fillId="36" borderId="22" xfId="0" applyNumberFormat="1" applyFont="1" applyFill="1" applyBorder="1" applyAlignment="1">
      <alignment horizontal="right" vertical="center" wrapText="1"/>
    </xf>
    <xf numFmtId="0" fontId="3" fillId="36" borderId="22" xfId="0" applyFont="1" applyFill="1" applyBorder="1" applyAlignment="1">
      <alignment horizontal="center" vertical="center" wrapText="1"/>
    </xf>
    <xf numFmtId="0" fontId="38" fillId="0" borderId="25" xfId="0" applyFont="1" applyBorder="1" applyAlignment="1">
      <alignment horizontal="left" wrapText="1" indent="2"/>
    </xf>
    <xf numFmtId="184" fontId="3" fillId="36" borderId="26" xfId="0" applyNumberFormat="1" applyFont="1" applyFill="1" applyBorder="1" applyAlignment="1">
      <alignment horizontal="center" vertical="center" wrapText="1"/>
    </xf>
    <xf numFmtId="3" fontId="3" fillId="36" borderId="7" xfId="0" applyNumberFormat="1" applyFont="1" applyFill="1" applyBorder="1" applyAlignment="1">
      <alignment horizontal="right" vertical="center" wrapText="1"/>
    </xf>
    <xf numFmtId="0" fontId="38" fillId="0" borderId="48" xfId="0" applyFont="1" applyBorder="1" applyAlignment="1">
      <alignment horizontal="left" indent="2"/>
    </xf>
    <xf numFmtId="184" fontId="3" fillId="36" borderId="35" xfId="0" applyNumberFormat="1" applyFont="1" applyFill="1" applyBorder="1" applyAlignment="1">
      <alignment horizontal="center" vertical="center" wrapText="1"/>
    </xf>
    <xf numFmtId="3" fontId="3" fillId="36" borderId="33" xfId="0" applyNumberFormat="1" applyFont="1" applyFill="1" applyBorder="1" applyAlignment="1">
      <alignment horizontal="right" vertical="center" wrapText="1"/>
    </xf>
    <xf numFmtId="0" fontId="3" fillId="36" borderId="33" xfId="0" applyFont="1" applyFill="1" applyBorder="1" applyAlignment="1">
      <alignment horizontal="center" vertical="center" wrapText="1"/>
    </xf>
    <xf numFmtId="3" fontId="38" fillId="0" borderId="33" xfId="0" applyNumberFormat="1" applyFont="1" applyBorder="1"/>
    <xf numFmtId="0" fontId="38" fillId="0" borderId="24" xfId="0" applyFont="1" applyBorder="1"/>
    <xf numFmtId="3" fontId="38" fillId="36" borderId="7" xfId="0" applyNumberFormat="1" applyFont="1" applyFill="1" applyBorder="1" applyAlignment="1">
      <alignment horizontal="center"/>
    </xf>
    <xf numFmtId="0" fontId="38" fillId="0" borderId="29" xfId="0" applyFont="1" applyBorder="1" applyAlignment="1">
      <alignment horizontal="center"/>
    </xf>
    <xf numFmtId="0" fontId="3" fillId="36" borderId="4" xfId="0" applyFont="1" applyFill="1" applyBorder="1" applyAlignment="1">
      <alignment horizontal="center" vertical="center"/>
    </xf>
    <xf numFmtId="0" fontId="3" fillId="36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" fontId="3" fillId="36" borderId="0" xfId="0" applyNumberFormat="1" applyFont="1" applyFill="1" applyAlignment="1">
      <alignment horizontal="center" vertical="center"/>
    </xf>
    <xf numFmtId="2" fontId="3" fillId="36" borderId="7" xfId="0" applyNumberFormat="1" applyFont="1" applyFill="1" applyBorder="1" applyAlignment="1">
      <alignment horizontal="center" vertical="center" wrapText="1"/>
    </xf>
    <xf numFmtId="0" fontId="38" fillId="36" borderId="6" xfId="0" applyFont="1" applyFill="1" applyBorder="1" applyAlignment="1">
      <alignment horizontal="left" vertical="center"/>
    </xf>
    <xf numFmtId="0" fontId="38" fillId="0" borderId="25" xfId="0" applyFont="1" applyBorder="1" applyAlignment="1"/>
    <xf numFmtId="0" fontId="44" fillId="0" borderId="20" xfId="0" applyFont="1" applyBorder="1" applyAlignment="1">
      <alignment horizontal="center"/>
    </xf>
    <xf numFmtId="0" fontId="44" fillId="0" borderId="25" xfId="0" applyFont="1" applyBorder="1" applyAlignment="1">
      <alignment horizontal="center"/>
    </xf>
    <xf numFmtId="0" fontId="44" fillId="0" borderId="7" xfId="0" applyFont="1" applyBorder="1" applyAlignment="1">
      <alignment horizontal="center"/>
    </xf>
  </cellXfs>
  <cellStyles count="1537">
    <cellStyle name=" 1" xfId="1" xr:uid="{00000000-0005-0000-0000-000006000000}"/>
    <cellStyle name="$" xfId="2" xr:uid="{00000000-0005-0000-0000-000007000000}"/>
    <cellStyle name="_(4-1)Проходка (СС)" xfId="207" xr:uid="{00000000-0005-0000-0000-0000D4000000}"/>
    <cellStyle name="_(4-1)Проходка (СС) 2" xfId="208" xr:uid="{00000000-0005-0000-0000-0000D5000000}"/>
    <cellStyle name="_(4-1)Проходка (СС) 3" xfId="209" xr:uid="{00000000-0005-0000-0000-0000D6000000}"/>
    <cellStyle name="_(4-1)Проходка (СС) 4" xfId="210" xr:uid="{00000000-0005-0000-0000-0000D7000000}"/>
    <cellStyle name="_(4-1)Проходка (СС) 5" xfId="211" xr:uid="{00000000-0005-0000-0000-0000D8000000}"/>
    <cellStyle name="_(4-1)Проходка (СС)_2014БП" xfId="212" xr:uid="{00000000-0005-0000-0000-0000D9000000}"/>
    <cellStyle name="_(7)Ремонты" xfId="213" xr:uid="{00000000-0005-0000-0000-0000DA000000}"/>
    <cellStyle name="_(7)Ремонты 2" xfId="214" xr:uid="{00000000-0005-0000-0000-0000DB000000}"/>
    <cellStyle name="_(7)Ремонты 3" xfId="215" xr:uid="{00000000-0005-0000-0000-0000DC000000}"/>
    <cellStyle name="_(7)Ремонты 4" xfId="216" xr:uid="{00000000-0005-0000-0000-0000DD000000}"/>
    <cellStyle name="_(7)Ремонты 5" xfId="217" xr:uid="{00000000-0005-0000-0000-0000DE000000}"/>
    <cellStyle name="_(7)Ремонты_2014БП" xfId="218" xr:uid="{00000000-0005-0000-0000-0000DF000000}"/>
    <cellStyle name="_01_144 " xfId="219" xr:uid="{00000000-0005-0000-0000-0000E0000000}"/>
    <cellStyle name="_01_144  2" xfId="220" xr:uid="{00000000-0005-0000-0000-0000E1000000}"/>
    <cellStyle name="_01_144  3" xfId="221" xr:uid="{00000000-0005-0000-0000-0000E2000000}"/>
    <cellStyle name="_01_144  4" xfId="222" xr:uid="{00000000-0005-0000-0000-0000E3000000}"/>
    <cellStyle name="_01_144  5" xfId="223" xr:uid="{00000000-0005-0000-0000-0000E4000000}"/>
    <cellStyle name="_01_144 _2014БП" xfId="224" xr:uid="{00000000-0005-0000-0000-0000E5000000}"/>
    <cellStyle name="_245 - по  контрагентам" xfId="225" xr:uid="{00000000-0005-0000-0000-0000E6000000}"/>
    <cellStyle name="_Analitical 07m12" xfId="226" xr:uid="{00000000-0005-0000-0000-0000E7000000}"/>
    <cellStyle name="_Appendix.Sales" xfId="227" xr:uid="{00000000-0005-0000-0000-0000E8000000}"/>
    <cellStyle name="_EBITDA_bridge" xfId="228" xr:uid="{00000000-0005-0000-0000-0000E9000000}"/>
    <cellStyle name="_Finplan" xfId="229" xr:uid="{00000000-0005-0000-0000-0000EA000000}"/>
    <cellStyle name="_Finplan 2" xfId="230" xr:uid="{00000000-0005-0000-0000-0000EB000000}"/>
    <cellStyle name="_Finplan 3" xfId="231" xr:uid="{00000000-0005-0000-0000-0000EC000000}"/>
    <cellStyle name="_Finplan 4" xfId="232" xr:uid="{00000000-0005-0000-0000-0000ED000000}"/>
    <cellStyle name="_Finplan 5" xfId="233" xr:uid="{00000000-0005-0000-0000-0000EE000000}"/>
    <cellStyle name="_Finplan 6" xfId="234" xr:uid="{00000000-0005-0000-0000-0000EF000000}"/>
    <cellStyle name="_Finplan 7" xfId="235" xr:uid="{00000000-0005-0000-0000-0000F0000000}"/>
    <cellStyle name="_Finplan_2014БП" xfId="236" xr:uid="{00000000-0005-0000-0000-0000F1000000}"/>
    <cellStyle name="_Flash_08m03" xfId="237" xr:uid="{00000000-0005-0000-0000-0000F2000000}"/>
    <cellStyle name="_Flash_08m05" xfId="238" xr:uid="{00000000-0005-0000-0000-0000F3000000}"/>
    <cellStyle name="_Flash_08m08" xfId="239" xr:uid="{00000000-0005-0000-0000-0000F4000000}"/>
    <cellStyle name="_FM" xfId="240" xr:uid="{00000000-0005-0000-0000-0000F5000000}"/>
    <cellStyle name="_FM 2" xfId="241" xr:uid="{00000000-0005-0000-0000-0000F6000000}"/>
    <cellStyle name="_FM 3" xfId="242" xr:uid="{00000000-0005-0000-0000-0000F7000000}"/>
    <cellStyle name="_FM 4" xfId="243" xr:uid="{00000000-0005-0000-0000-0000F8000000}"/>
    <cellStyle name="_FM 5" xfId="244" xr:uid="{00000000-0005-0000-0000-0000F9000000}"/>
    <cellStyle name="_FM CAPEX 2 от 10.10.07г" xfId="245" xr:uid="{00000000-0005-0000-0000-0000FA000000}"/>
    <cellStyle name="_FM CAPEX 2 от 10.10.07г 2" xfId="246" xr:uid="{00000000-0005-0000-0000-0000FB000000}"/>
    <cellStyle name="_FM CAPEX 2 от 10.10.07г 3" xfId="247" xr:uid="{00000000-0005-0000-0000-0000FC000000}"/>
    <cellStyle name="_FM CAPEX 2 от 10.10.07г 4" xfId="248" xr:uid="{00000000-0005-0000-0000-0000FD000000}"/>
    <cellStyle name="_FM CAPEX 2 от 10.10.07г 5" xfId="249" xr:uid="{00000000-0005-0000-0000-0000FE000000}"/>
    <cellStyle name="_FM CAPEX 2 от 10.10.07г_2014БП" xfId="250" xr:uid="{00000000-0005-0000-0000-0000FF000000}"/>
    <cellStyle name="_FM CAPEX 2 от 10.10.07г_3.Рез-ты вариантов" xfId="251" xr:uid="{00000000-0005-0000-0000-000000010000}"/>
    <cellStyle name="_FM CAPEX 2 от 10.10.07г_5.Производительность" xfId="252" xr:uid="{00000000-0005-0000-0000-000001010000}"/>
    <cellStyle name="_FM CAPEX 2 от 10.10.07г_7.Аннуитет СБШ-250-32КП" xfId="253" xr:uid="{00000000-0005-0000-0000-000002010000}"/>
    <cellStyle name="_FM CAPEX 2 от 10.10.07г_БП 2009 КО  21.01.09 г" xfId="254" xr:uid="{00000000-0005-0000-0000-000003010000}"/>
    <cellStyle name="_FM CAPEX 2 от 10.10.07г_БП 2009 КО  21.01.09 г_Формат План производства 2011 КО-3" xfId="255" xr:uid="{00000000-0005-0000-0000-000004010000}"/>
    <cellStyle name="_FM CAPEX 2 от 10.10.07г_Тендер БС" xfId="256" xr:uid="{00000000-0005-0000-0000-000005010000}"/>
    <cellStyle name="_FM CAPEX 2 от 10.10.07г_Формат план производства 2010 КО" xfId="258" xr:uid="{00000000-0005-0000-0000-000007010000}"/>
    <cellStyle name="_FM CAPEX 2 от 10.10.07г_Формат План производства 2011 КО-3" xfId="257" xr:uid="{00000000-0005-0000-0000-000006010000}"/>
    <cellStyle name="_FM_2014БП" xfId="259" xr:uid="{00000000-0005-0000-0000-000008010000}"/>
    <cellStyle name="_FM_Olkon_2009" xfId="260" xr:uid="{00000000-0005-0000-0000-000009010000}"/>
    <cellStyle name="_FM_Olkon_2009 2" xfId="261" xr:uid="{00000000-0005-0000-0000-00000A010000}"/>
    <cellStyle name="_FM_Olkon_2009 3" xfId="262" xr:uid="{00000000-0005-0000-0000-00000B010000}"/>
    <cellStyle name="_FM_Olkon_2009 4" xfId="263" xr:uid="{00000000-0005-0000-0000-00000C010000}"/>
    <cellStyle name="_FM_Olkon_2009 5" xfId="264" xr:uid="{00000000-0005-0000-0000-00000D010000}"/>
    <cellStyle name="_FM_Olkon_2009_2014БП" xfId="265" xr:uid="{00000000-0005-0000-0000-00000E010000}"/>
    <cellStyle name="_Forex advances iss." xfId="266" xr:uid="{00000000-0005-0000-0000-00000F010000}"/>
    <cellStyle name="_IFRS" xfId="267" xr:uid="{00000000-0005-0000-0000-000010010000}"/>
    <cellStyle name="_ITZ" xfId="268" xr:uid="{00000000-0005-0000-0000-000011010000}"/>
    <cellStyle name="_PL_БП_KO_2008" xfId="269" xr:uid="{00000000-0005-0000-0000-000012010000}"/>
    <cellStyle name="_PL_БП_KO_2008 10" xfId="270" xr:uid="{00000000-0005-0000-0000-000013010000}"/>
    <cellStyle name="_PL_БП_KO_2008 11" xfId="271" xr:uid="{00000000-0005-0000-0000-000014010000}"/>
    <cellStyle name="_PL_БП_KO_2008 12" xfId="272" xr:uid="{00000000-0005-0000-0000-000015010000}"/>
    <cellStyle name="_PL_БП_KO_2008 13" xfId="273" xr:uid="{00000000-0005-0000-0000-000016010000}"/>
    <cellStyle name="_PL_БП_KO_2008 2" xfId="274" xr:uid="{00000000-0005-0000-0000-000017010000}"/>
    <cellStyle name="_PL_БП_KO_2008 3" xfId="275" xr:uid="{00000000-0005-0000-0000-000018010000}"/>
    <cellStyle name="_PL_БП_KO_2008 4" xfId="276" xr:uid="{00000000-0005-0000-0000-000019010000}"/>
    <cellStyle name="_PL_БП_KO_2008 5" xfId="277" xr:uid="{00000000-0005-0000-0000-00001A010000}"/>
    <cellStyle name="_PL_БП_KO_2008 6" xfId="278" xr:uid="{00000000-0005-0000-0000-00001B010000}"/>
    <cellStyle name="_PL_БП_KO_2008 7" xfId="279" xr:uid="{00000000-0005-0000-0000-00001C010000}"/>
    <cellStyle name="_PL_БП_KO_2008 8" xfId="280" xr:uid="{00000000-0005-0000-0000-00001D010000}"/>
    <cellStyle name="_PL_БП_KO_2008 9" xfId="281" xr:uid="{00000000-0005-0000-0000-00001E010000}"/>
    <cellStyle name="_PL_БП_KO_2008_2014БП" xfId="282" xr:uid="{00000000-0005-0000-0000-00001F010000}"/>
    <cellStyle name="_Q3_07vsQ4" xfId="283" xr:uid="{00000000-0005-0000-0000-000020010000}"/>
    <cellStyle name="_Q3_07vsQ4 Смета" xfId="284" xr:uid="{00000000-0005-0000-0000-000021010000}"/>
    <cellStyle name="_Steel SD Summary" xfId="285" xr:uid="{00000000-0005-0000-0000-000022010000}"/>
    <cellStyle name="_Vol_AT_JD" xfId="286" xr:uid="{00000000-0005-0000-0000-000023010000}"/>
    <cellStyle name="_Vol_AT_JD 2" xfId="287" xr:uid="{00000000-0005-0000-0000-000024010000}"/>
    <cellStyle name="_Vol_AT_JD 3" xfId="288" xr:uid="{00000000-0005-0000-0000-000025010000}"/>
    <cellStyle name="_Vol_AT_JD 4" xfId="289" xr:uid="{00000000-0005-0000-0000-000026010000}"/>
    <cellStyle name="_Vol_AT_JD 5" xfId="290" xr:uid="{00000000-0005-0000-0000-000027010000}"/>
    <cellStyle name="_Vol_AT_JD_2014БП" xfId="291" xr:uid="{00000000-0005-0000-0000-000028010000}"/>
    <cellStyle name="_Volum" xfId="292" xr:uid="{00000000-0005-0000-0000-000029010000}"/>
    <cellStyle name="_Volum 2" xfId="293" xr:uid="{00000000-0005-0000-0000-00002A010000}"/>
    <cellStyle name="_Volum 3" xfId="294" xr:uid="{00000000-0005-0000-0000-00002B010000}"/>
    <cellStyle name="_Volum 4" xfId="295" xr:uid="{00000000-0005-0000-0000-00002C010000}"/>
    <cellStyle name="_Volum 5" xfId="296" xr:uid="{00000000-0005-0000-0000-00002D010000}"/>
    <cellStyle name="_Volum_2014БП" xfId="297" xr:uid="{00000000-0005-0000-0000-00002E010000}"/>
    <cellStyle name="_YNG FA at 31.12. 2003" xfId="298" xr:uid="{00000000-0005-0000-0000-00002F010000}"/>
    <cellStyle name="_YNG FA at 31.12. 2003 2" xfId="299" xr:uid="{00000000-0005-0000-0000-000030010000}"/>
    <cellStyle name="_YNG FA at 31.12. 2003 3" xfId="300" xr:uid="{00000000-0005-0000-0000-000031010000}"/>
    <cellStyle name="_YNG FA at 31.12. 2003 4" xfId="301" xr:uid="{00000000-0005-0000-0000-000032010000}"/>
    <cellStyle name="_YNG FA at 31.12. 2003 5" xfId="302" xr:uid="{00000000-0005-0000-0000-000033010000}"/>
    <cellStyle name="_YNG FA at 31.12. 2003 new reserves for 4Q only" xfId="303" xr:uid="{00000000-0005-0000-0000-000034010000}"/>
    <cellStyle name="_YNG FA at 31.12. 2003 new reserves for 4Q only 2" xfId="304" xr:uid="{00000000-0005-0000-0000-000035010000}"/>
    <cellStyle name="_YNG FA at 31.12. 2003 new reserves for 4Q only 3" xfId="305" xr:uid="{00000000-0005-0000-0000-000036010000}"/>
    <cellStyle name="_YNG FA at 31.12. 2003 new reserves for 4Q only 4" xfId="306" xr:uid="{00000000-0005-0000-0000-000037010000}"/>
    <cellStyle name="_YNG FA at 31.12. 2003 new reserves for 4Q only 5" xfId="307" xr:uid="{00000000-0005-0000-0000-000038010000}"/>
    <cellStyle name="_YNG FA at 31.12. 2003 new reserves for 4Q only_2014БП" xfId="308" xr:uid="{00000000-0005-0000-0000-000039010000}"/>
    <cellStyle name="_YNG FA at 31.12. 2003_2014БП" xfId="309" xr:uid="{00000000-0005-0000-0000-00003A010000}"/>
    <cellStyle name="_Автосамосвалы-2007-рабочий (24.06.2006), 06 июл.06 - к защите" xfId="322" xr:uid="{00000000-0005-0000-0000-000047010000}"/>
    <cellStyle name="_Автосамосвалы-2007-рабочий (24.06.2006), 06 июл.06 - к защите 2" xfId="323" xr:uid="{00000000-0005-0000-0000-000048010000}"/>
    <cellStyle name="_Автосамосвалы-2007-рабочий (24.06.2006), 06 июл.06 - к защите 3" xfId="324" xr:uid="{00000000-0005-0000-0000-000049010000}"/>
    <cellStyle name="_Автосамосвалы-2007-рабочий (24.06.2006), 06 июл.06 - к защите 4" xfId="325" xr:uid="{00000000-0005-0000-0000-00004A010000}"/>
    <cellStyle name="_Автосамосвалы-2007-рабочий (24.06.2006), 06 июл.06 - к защите 5" xfId="326" xr:uid="{00000000-0005-0000-0000-00004B010000}"/>
    <cellStyle name="_Автосамосвалы-2007-рабочий (24.06.2006), 06 июл.06 - к защите_2014БП" xfId="327" xr:uid="{00000000-0005-0000-0000-00004C010000}"/>
    <cellStyle name="_АСУ ГТК - без ЖД" xfId="310" xr:uid="{00000000-0005-0000-0000-00003B010000}"/>
    <cellStyle name="_АСУ ГТК - без ЖД 2" xfId="311" xr:uid="{00000000-0005-0000-0000-00003C010000}"/>
    <cellStyle name="_АСУ ГТК - без ЖД 3" xfId="312" xr:uid="{00000000-0005-0000-0000-00003D010000}"/>
    <cellStyle name="_АСУ ГТК - без ЖД 4" xfId="313" xr:uid="{00000000-0005-0000-0000-00003E010000}"/>
    <cellStyle name="_АСУ ГТК - без ЖД 5" xfId="314" xr:uid="{00000000-0005-0000-0000-00003F010000}"/>
    <cellStyle name="_АСУ ГТК - без ЖД_2014БП" xfId="315" xr:uid="{00000000-0005-0000-0000-000040010000}"/>
    <cellStyle name="_АТЦ-2006, Замена ОФ, 03.11.05" xfId="316" xr:uid="{00000000-0005-0000-0000-000041010000}"/>
    <cellStyle name="_АТЦ-2006, Замена ОФ, 03.11.05 2" xfId="317" xr:uid="{00000000-0005-0000-0000-000042010000}"/>
    <cellStyle name="_АТЦ-2006, Замена ОФ, 03.11.05 3" xfId="318" xr:uid="{00000000-0005-0000-0000-000043010000}"/>
    <cellStyle name="_АТЦ-2006, Замена ОФ, 03.11.05 4" xfId="319" xr:uid="{00000000-0005-0000-0000-000044010000}"/>
    <cellStyle name="_АТЦ-2006, Замена ОФ, 03.11.05 5" xfId="320" xr:uid="{00000000-0005-0000-0000-000045010000}"/>
    <cellStyle name="_АТЦ-2006, Замена ОФ, 03.11.05_2014БП" xfId="321" xr:uid="{00000000-0005-0000-0000-000046010000}"/>
    <cellStyle name="_База БП УАТ 2009" xfId="352" xr:uid="{00000000-0005-0000-0000-000065010000}"/>
    <cellStyle name="_База БП УАТ 2009 2" xfId="353" xr:uid="{00000000-0005-0000-0000-000066010000}"/>
    <cellStyle name="_База БП УАТ 2009 3" xfId="354" xr:uid="{00000000-0005-0000-0000-000067010000}"/>
    <cellStyle name="_База БП УАТ 2009 4" xfId="355" xr:uid="{00000000-0005-0000-0000-000068010000}"/>
    <cellStyle name="_База БП УАТ 2009 5" xfId="356" xr:uid="{00000000-0005-0000-0000-000069010000}"/>
    <cellStyle name="_База БП УАТ 2009 6" xfId="357" xr:uid="{00000000-0005-0000-0000-00006A010000}"/>
    <cellStyle name="_База БП УАТ 2009 7" xfId="358" xr:uid="{00000000-0005-0000-0000-00006B010000}"/>
    <cellStyle name="_База БП УАТ 2009 8" xfId="359" xr:uid="{00000000-0005-0000-0000-00006C010000}"/>
    <cellStyle name="_База БП УАТ 2009 9" xfId="360" xr:uid="{00000000-0005-0000-0000-00006D010000}"/>
    <cellStyle name="_База БП УАТ 2009_2014БП" xfId="361" xr:uid="{00000000-0005-0000-0000-00006E010000}"/>
    <cellStyle name="_БДДС для ЛГОК" xfId="328" xr:uid="{00000000-0005-0000-0000-00004D010000}"/>
    <cellStyle name="_БДДС для МГОК" xfId="329" xr:uid="{00000000-0005-0000-0000-00004E010000}"/>
    <cellStyle name="_БДДС для ОЭМК" xfId="330" xr:uid="{00000000-0005-0000-0000-00004F010000}"/>
    <cellStyle name="_БДДС для УралСталь" xfId="331" xr:uid="{00000000-0005-0000-0000-000050010000}"/>
    <cellStyle name="_БЮДЖЕТ 2004 от  28.11 агл. 2870 АХБпрочие" xfId="332" xr:uid="{00000000-0005-0000-0000-000051010000}"/>
    <cellStyle name="_БЮДЖЕТ 2004 от  28.11 агл. 2870 АХБпрочие_Дайджест 2003-2004 гг." xfId="333" xr:uid="{00000000-0005-0000-0000-000052010000}"/>
    <cellStyle name="_БЮДЖЕТ 2004 от  28.11 агл. 2870 АХБпрочие_Дайджест 2003-2004 гг._8" xfId="334" xr:uid="{00000000-0005-0000-0000-000053010000}"/>
    <cellStyle name="_БЮДЖЕТ 2004 от  28.11 агл. 2870 АХБпрочие_Дайджест 2003-2004 гг._Запрос МИ Менеджмент 18 08 06 (новый формат)" xfId="335" xr:uid="{00000000-0005-0000-0000-000054010000}"/>
    <cellStyle name="_БЮДЖЕТ 2004 от  28.11 агл. 2870 АХБпрочие_Дайджест 2003-2004 гг._Формы общие отчет за год" xfId="336" xr:uid="{00000000-0005-0000-0000-000055010000}"/>
    <cellStyle name="_БЮДЖЕТ 2004 от 17.12.03 сырье 13.40" xfId="337" xr:uid="{00000000-0005-0000-0000-000056010000}"/>
    <cellStyle name="_БЮДЖЕТ 2004 от 17.12.03 сырье 13.40_Дайджест 2003-2004 гг." xfId="338" xr:uid="{00000000-0005-0000-0000-000057010000}"/>
    <cellStyle name="_БЮДЖЕТ 2004 от 17.12.03 сырье 13.40_Дайджест 2003-2004 гг._8" xfId="339" xr:uid="{00000000-0005-0000-0000-000058010000}"/>
    <cellStyle name="_БЮДЖЕТ 2004 от 17.12.03 сырье 13.40_Дайджест 2003-2004 гг._Запрос МИ Менеджмент 18 08 06 (новый формат)" xfId="340" xr:uid="{00000000-0005-0000-0000-000059010000}"/>
    <cellStyle name="_БЮДЖЕТ 2004 от 17.12.03 сырье 13.40_Дайджест 2003-2004 гг._Формы общие отчет за год" xfId="341" xr:uid="{00000000-0005-0000-0000-00005A010000}"/>
    <cellStyle name="_БЮДЖЕТ 2004 от 22.12.03.инвестиц" xfId="342" xr:uid="{00000000-0005-0000-0000-00005B010000}"/>
    <cellStyle name="_БЮДЖЕТ 2004 от 22.12.03.инвестиц_Дайджест 2003-2004 гг." xfId="343" xr:uid="{00000000-0005-0000-0000-00005C010000}"/>
    <cellStyle name="_БЮДЖЕТ 2004 от 22.12.03.инвестиц_Дайджест 2003-2004 гг._8" xfId="344" xr:uid="{00000000-0005-0000-0000-00005D010000}"/>
    <cellStyle name="_БЮДЖЕТ 2004 от 22.12.03.инвестиц_Дайджест 2003-2004 гг._Запрос МИ Менеджмент 18 08 06 (новый формат)" xfId="345" xr:uid="{00000000-0005-0000-0000-00005E010000}"/>
    <cellStyle name="_БЮДЖЕТ 2004 от 22.12.03.инвестиц_Дайджест 2003-2004 гг._Формы общие отчет за год" xfId="346" xr:uid="{00000000-0005-0000-0000-00005F010000}"/>
    <cellStyle name="_БЮДЖЕТ 2004 от 9.12 газ" xfId="347" xr:uid="{00000000-0005-0000-0000-000060010000}"/>
    <cellStyle name="_БЮДЖЕТ 2004 от 9.12 газ_Дайджест 2003-2004 гг." xfId="348" xr:uid="{00000000-0005-0000-0000-000061010000}"/>
    <cellStyle name="_БЮДЖЕТ 2004 от 9.12 газ_Дайджест 2003-2004 гг._8" xfId="349" xr:uid="{00000000-0005-0000-0000-000062010000}"/>
    <cellStyle name="_БЮДЖЕТ 2004 от 9.12 газ_Дайджест 2003-2004 гг._Запрос МИ Менеджмент 18 08 06 (новый формат)" xfId="350" xr:uid="{00000000-0005-0000-0000-000063010000}"/>
    <cellStyle name="_БЮДЖЕТ 2004 от 9.12 газ_Дайджест 2003-2004 гг._Формы общие отчет за год" xfId="351" xr:uid="{00000000-0005-0000-0000-000064010000}"/>
    <cellStyle name="_Бюджет прочих расходов 2004" xfId="362" xr:uid="{00000000-0005-0000-0000-00006F010000}"/>
    <cellStyle name="_Бюджет прочих расходов 2004_Дайджест 2003-2004 гг." xfId="363" xr:uid="{00000000-0005-0000-0000-000070010000}"/>
    <cellStyle name="_Бюджет прочих расходов 2004_Дайджест 2003-2004 гг._8" xfId="364" xr:uid="{00000000-0005-0000-0000-000071010000}"/>
    <cellStyle name="_Бюджет прочих расходов 2004_Дайджест 2003-2004 гг._Запрос МИ Менеджмент 18 08 06 (новый формат)" xfId="365" xr:uid="{00000000-0005-0000-0000-000072010000}"/>
    <cellStyle name="_Бюджет прочих расходов 2004_Дайджест 2003-2004 гг._Формы общие отчет за год" xfId="366" xr:uid="{00000000-0005-0000-0000-000073010000}"/>
    <cellStyle name="_Бюджет2004" xfId="367" xr:uid="{00000000-0005-0000-0000-000074010000}"/>
    <cellStyle name="_Бюджет2004_Дайджест 2003-2004 гг." xfId="368" xr:uid="{00000000-0005-0000-0000-000075010000}"/>
    <cellStyle name="_Бюджет2004_Дайджест 2003-2004 гг._8" xfId="369" xr:uid="{00000000-0005-0000-0000-000076010000}"/>
    <cellStyle name="_Бюджет2004_Дайджест 2003-2004 гг._Запрос МИ Менеджмент 18 08 06 (новый формат)" xfId="370" xr:uid="{00000000-0005-0000-0000-000077010000}"/>
    <cellStyle name="_Бюджет2004_Дайджест 2003-2004 гг._Формы общие отчет за год" xfId="371" xr:uid="{00000000-0005-0000-0000-000078010000}"/>
    <cellStyle name="_Воркутинская опер_2007 6 02 06" xfId="402" xr:uid="{00000000-0005-0000-0000-000097010000}"/>
    <cellStyle name="_Воркутинская опер_2008 6 02 06" xfId="403" xr:uid="{00000000-0005-0000-0000-000098010000}"/>
    <cellStyle name="_ВУ_Прох по бриг КС сентябрь_07 РАБОЧИЙ" xfId="372" xr:uid="{00000000-0005-0000-0000-000079010000}"/>
    <cellStyle name="_ВУ_Прох по бриг КС сентябрь_07 РАБОЧИЙ 2" xfId="373" xr:uid="{00000000-0005-0000-0000-00007A010000}"/>
    <cellStyle name="_ВУ_Прох по бриг КС сентябрь_07 РАБОЧИЙ 3" xfId="374" xr:uid="{00000000-0005-0000-0000-00007B010000}"/>
    <cellStyle name="_ВУ_Прох по бриг КС сентябрь_07 РАБОЧИЙ 4" xfId="375" xr:uid="{00000000-0005-0000-0000-00007C010000}"/>
    <cellStyle name="_ВУ_Прох по бриг КС сентябрь_07 РАБОЧИЙ 5" xfId="376" xr:uid="{00000000-0005-0000-0000-00007D010000}"/>
    <cellStyle name="_ВУ_Прох по бриг КС сентябрь_07 РАБОЧИЙ_2014БП" xfId="377" xr:uid="{00000000-0005-0000-0000-00007E010000}"/>
    <cellStyle name="_ВУ_Прох по бриг СВОД август07 2(испр Назинцевым)" xfId="378" xr:uid="{00000000-0005-0000-0000-00007F010000}"/>
    <cellStyle name="_ВУ_Прох по бриг СВОД август07 2(испр Назинцевым) 2" xfId="379" xr:uid="{00000000-0005-0000-0000-000080010000}"/>
    <cellStyle name="_ВУ_Прох по бриг СВОД август07 2(испр Назинцевым) 3" xfId="380" xr:uid="{00000000-0005-0000-0000-000081010000}"/>
    <cellStyle name="_ВУ_Прох по бриг СВОД август07 2(испр Назинцевым) 4" xfId="381" xr:uid="{00000000-0005-0000-0000-000082010000}"/>
    <cellStyle name="_ВУ_Прох по бриг СВОД август07 2(испр Назинцевым) 5" xfId="382" xr:uid="{00000000-0005-0000-0000-000083010000}"/>
    <cellStyle name="_ВУ_Прох по бриг СВОД август07 2(испр Назинцевым)_2014БП" xfId="383" xr:uid="{00000000-0005-0000-0000-000084010000}"/>
    <cellStyle name="_ВУ_Прох по бриг СС сентябрь_07 РАБОЧИЙ" xfId="384" xr:uid="{00000000-0005-0000-0000-000085010000}"/>
    <cellStyle name="_ВУ_Прох по бриг СС сентябрь_07 РАБОЧИЙ 2" xfId="385" xr:uid="{00000000-0005-0000-0000-000086010000}"/>
    <cellStyle name="_ВУ_Прох по бриг СС сентябрь_07 РАБОЧИЙ 3" xfId="386" xr:uid="{00000000-0005-0000-0000-000087010000}"/>
    <cellStyle name="_ВУ_Прох по бриг СС сентябрь_07 РАБОЧИЙ 4" xfId="387" xr:uid="{00000000-0005-0000-0000-000088010000}"/>
    <cellStyle name="_ВУ_Прох по бриг СС сентябрь_07 РАБОЧИЙ 5" xfId="388" xr:uid="{00000000-0005-0000-0000-000089010000}"/>
    <cellStyle name="_ВУ_Прох по бриг СС сентябрь_07 РАБОЧИЙ_2014БП" xfId="389" xr:uid="{00000000-0005-0000-0000-00008A010000}"/>
    <cellStyle name="_ВУ_Проходка по бриг_СВОД_07 ноябрь " xfId="390" xr:uid="{00000000-0005-0000-0000-00008B010000}"/>
    <cellStyle name="_ВУ_Проходка по бриг_СВОД_07 ноябрь  2" xfId="391" xr:uid="{00000000-0005-0000-0000-00008C010000}"/>
    <cellStyle name="_ВУ_Проходка по бриг_СВОД_07 ноябрь  3" xfId="392" xr:uid="{00000000-0005-0000-0000-00008D010000}"/>
    <cellStyle name="_ВУ_Проходка по бриг_СВОД_07 ноябрь  4" xfId="393" xr:uid="{00000000-0005-0000-0000-00008E010000}"/>
    <cellStyle name="_ВУ_Проходка по бриг_СВОД_07 ноябрь  5" xfId="394" xr:uid="{00000000-0005-0000-0000-00008F010000}"/>
    <cellStyle name="_ВУ_Проходка по бриг_СВОД_07 ноябрь _2014БП" xfId="395" xr:uid="{00000000-0005-0000-0000-000090010000}"/>
    <cellStyle name="_ВУ_Проходка по бригадам МАЙ (2)" xfId="396" xr:uid="{00000000-0005-0000-0000-000091010000}"/>
    <cellStyle name="_ВУ_Проходка по бригадам МАЙ (2) 2" xfId="397" xr:uid="{00000000-0005-0000-0000-000092010000}"/>
    <cellStyle name="_ВУ_Проходка по бригадам МАЙ (2) 3" xfId="398" xr:uid="{00000000-0005-0000-0000-000093010000}"/>
    <cellStyle name="_ВУ_Проходка по бригадам МАЙ (2) 4" xfId="399" xr:uid="{00000000-0005-0000-0000-000094010000}"/>
    <cellStyle name="_ВУ_Проходка по бригадам МАЙ (2) 5" xfId="400" xr:uid="{00000000-0005-0000-0000-000095010000}"/>
    <cellStyle name="_ВУ_Проходка по бригадам МАЙ (2)_2014БП" xfId="401" xr:uid="{00000000-0005-0000-0000-000096010000}"/>
    <cellStyle name="_График прох_Ворк_2006(13.11.05г.)" xfId="404" xr:uid="{00000000-0005-0000-0000-000099010000}"/>
    <cellStyle name="_График прох_Ворк_2006(13.11.05г.) 2" xfId="405" xr:uid="{00000000-0005-0000-0000-00009A010000}"/>
    <cellStyle name="_График прох_Ворк_2006(13.11.05г.) 3" xfId="406" xr:uid="{00000000-0005-0000-0000-00009B010000}"/>
    <cellStyle name="_График прох_Ворк_2006(13.11.05г.) 4" xfId="407" xr:uid="{00000000-0005-0000-0000-00009C010000}"/>
    <cellStyle name="_График прох_Ворк_2006(13.11.05г.) 5" xfId="408" xr:uid="{00000000-0005-0000-0000-00009D010000}"/>
    <cellStyle name="_График прох_Ворк_2006(13.11.05г.)_2014БП" xfId="409" xr:uid="{00000000-0005-0000-0000-00009E010000}"/>
    <cellStyle name="_График прох_Ворк_2006(13.11.05г.)_БП 2010-4089 ц" xfId="410" xr:uid="{00000000-0005-0000-0000-00009F010000}"/>
    <cellStyle name="_График прох_Ворк_2006(13.11.05г.)_План производства 2010 Олкон 09 10 09" xfId="411" xr:uid="{00000000-0005-0000-0000-0000A0010000}"/>
    <cellStyle name="_Дайджест 2003-2004 гг." xfId="412" xr:uid="{00000000-0005-0000-0000-0000A1010000}"/>
    <cellStyle name="_Дайджест 2003-2004 гг._8" xfId="413" xr:uid="{00000000-0005-0000-0000-0000A2010000}"/>
    <cellStyle name="_Дайджест 2003-2004 гг._Запрос МИ Менеджмент 18 08 06 (новый формат)" xfId="414" xr:uid="{00000000-0005-0000-0000-0000A3010000}"/>
    <cellStyle name="_Дайджест 2003-2004 гг._Формы общие отчет за год" xfId="415" xr:uid="{00000000-0005-0000-0000-0000A4010000}"/>
    <cellStyle name="_Для ФП (1 кв.) (2)" xfId="416" xr:uid="{00000000-0005-0000-0000-0000A5010000}"/>
    <cellStyle name="_Для ЦТА" xfId="417" xr:uid="{00000000-0005-0000-0000-0000A6010000}"/>
    <cellStyle name="_Для ЦТА 2" xfId="418" xr:uid="{00000000-0005-0000-0000-0000A7010000}"/>
    <cellStyle name="_Для ЦТА 3" xfId="419" xr:uid="{00000000-0005-0000-0000-0000A8010000}"/>
    <cellStyle name="_Для ЦТА 4" xfId="420" xr:uid="{00000000-0005-0000-0000-0000A9010000}"/>
    <cellStyle name="_Для ЦТА 5" xfId="421" xr:uid="{00000000-0005-0000-0000-0000AA010000}"/>
    <cellStyle name="_Для ЦТА_2014БП" xfId="422" xr:uid="{00000000-0005-0000-0000-0000AB010000}"/>
    <cellStyle name="_ЖРС" xfId="423" xr:uid="{00000000-0005-0000-0000-0000AC010000}"/>
    <cellStyle name="_ИБ Здоровье март, 1 кв., год 2006" xfId="424" xr:uid="{00000000-0005-0000-0000-0000AD010000}"/>
    <cellStyle name="_ИБП Транспорт 05" xfId="425" xr:uid="{00000000-0005-0000-0000-0000AE010000}"/>
    <cellStyle name="_ИГ_Северная_1.06.07" xfId="426" xr:uid="{00000000-0005-0000-0000-0000AF010000}"/>
    <cellStyle name="_ИГ_Северная_1.06.07 2" xfId="427" xr:uid="{00000000-0005-0000-0000-0000B0010000}"/>
    <cellStyle name="_ИГ_Северная_1.06.07 3" xfId="428" xr:uid="{00000000-0005-0000-0000-0000B1010000}"/>
    <cellStyle name="_ИГ_Северная_1.06.07 4" xfId="429" xr:uid="{00000000-0005-0000-0000-0000B2010000}"/>
    <cellStyle name="_ИГ_Северная_1.06.07 5" xfId="430" xr:uid="{00000000-0005-0000-0000-0000B3010000}"/>
    <cellStyle name="_ИГ_Северная_1.06.07_2014БП" xfId="431" xr:uid="{00000000-0005-0000-0000-0000B4010000}"/>
    <cellStyle name="_Инвест проект-проходка-2006" xfId="444" xr:uid="{00000000-0005-0000-0000-0000C1010000}"/>
    <cellStyle name="_ИУ_00020_17012006" xfId="437" xr:uid="{00000000-0005-0000-0000-0000BA010000}"/>
    <cellStyle name="_ИУ-00018 (проходка)-201205" xfId="432" xr:uid="{00000000-0005-0000-0000-0000B5010000}"/>
    <cellStyle name="_ИУ-00018 (проходка)-201205_БП 2010-4089 ц" xfId="433" xr:uid="{00000000-0005-0000-0000-0000B6010000}"/>
    <cellStyle name="_ИУ-00018 (проходка)-260106 v11" xfId="434" xr:uid="{00000000-0005-0000-0000-0000B7010000}"/>
    <cellStyle name="_ИУ-00018 (проходка)-260106 v11_БП 2010-4089 ц" xfId="435" xr:uid="{00000000-0005-0000-0000-0000B8010000}"/>
    <cellStyle name="_ИУ-00021 (816)-270206 (2)" xfId="436" xr:uid="{00000000-0005-0000-0000-0000B9010000}"/>
    <cellStyle name="_ИФП_СС_2006_06" xfId="438" xr:uid="{00000000-0005-0000-0000-0000BB010000}"/>
    <cellStyle name="_ИФП_СС_2006_06 2" xfId="439" xr:uid="{00000000-0005-0000-0000-0000BC010000}"/>
    <cellStyle name="_ИФП_СС_2006_06 3" xfId="440" xr:uid="{00000000-0005-0000-0000-0000BD010000}"/>
    <cellStyle name="_ИФП_СС_2006_06 4" xfId="441" xr:uid="{00000000-0005-0000-0000-0000BE010000}"/>
    <cellStyle name="_ИФП_СС_2006_06 5" xfId="442" xr:uid="{00000000-0005-0000-0000-0000BF010000}"/>
    <cellStyle name="_ИФП_СС_2006_06_2014БП" xfId="443" xr:uid="{00000000-0005-0000-0000-0000C0010000}"/>
    <cellStyle name="_Кап.вложения 2006г. ожид. по новой форме_ИННА" xfId="465" xr:uid="{00000000-0005-0000-0000-0000D6010000}"/>
    <cellStyle name="_Капвложения" xfId="466" xr:uid="{00000000-0005-0000-0000-0000D7010000}"/>
    <cellStyle name="_КАПЕКС" xfId="445" xr:uid="{00000000-0005-0000-0000-0000C2010000}"/>
    <cellStyle name="_КАПЕКС_3.Рез-ты вариантов" xfId="446" xr:uid="{00000000-0005-0000-0000-0000C3010000}"/>
    <cellStyle name="_КАПЕКС_5.Производительность" xfId="447" xr:uid="{00000000-0005-0000-0000-0000C4010000}"/>
    <cellStyle name="_КАПЕКС_7.Аннуитет СБШ-250-32КП" xfId="448" xr:uid="{00000000-0005-0000-0000-0000C5010000}"/>
    <cellStyle name="_КАПЕКС_БП 2009 КО  21.01.09 г" xfId="449" xr:uid="{00000000-0005-0000-0000-0000C6010000}"/>
    <cellStyle name="_КАПЕКС_БП 2009 КО  21.01.09 г_Формат План производства 2011 КО-3" xfId="450" xr:uid="{00000000-0005-0000-0000-0000C7010000}"/>
    <cellStyle name="_КАПЕКС_Тендер БС" xfId="451" xr:uid="{00000000-0005-0000-0000-0000C8010000}"/>
    <cellStyle name="_КАПЕКС_Формат план производства 2010 КО" xfId="453" xr:uid="{00000000-0005-0000-0000-0000CA010000}"/>
    <cellStyle name="_КАПЕКС_Формат План производства 2011 КО-3" xfId="452" xr:uid="{00000000-0005-0000-0000-0000C9010000}"/>
    <cellStyle name="_Карточка - Бур.станок, 14.12.05-утвержден 14.12.05" xfId="467" xr:uid="{00000000-0005-0000-0000-0000D8010000}"/>
    <cellStyle name="_Карточка - Бур.станок, 14.12.05-утвержден 14.12.05 2" xfId="468" xr:uid="{00000000-0005-0000-0000-0000D9010000}"/>
    <cellStyle name="_Карточка - Бур.станок, 14.12.05-утвержден 14.12.05 3" xfId="469" xr:uid="{00000000-0005-0000-0000-0000DA010000}"/>
    <cellStyle name="_Карточка - Бур.станок, 14.12.05-утвержден 14.12.05 4" xfId="470" xr:uid="{00000000-0005-0000-0000-0000DB010000}"/>
    <cellStyle name="_Карточка - Бур.станок, 14.12.05-утвержден 14.12.05 5" xfId="471" xr:uid="{00000000-0005-0000-0000-0000DC010000}"/>
    <cellStyle name="_Карточка - Бур.станок, 14.12.05-утвержден 14.12.05_2014БП" xfId="472" xr:uid="{00000000-0005-0000-0000-0000DD010000}"/>
    <cellStyle name="_Карточка ЦТА-2006. Замена ОФ, 08.07.05" xfId="473" xr:uid="{00000000-0005-0000-0000-0000DE010000}"/>
    <cellStyle name="_Карточка ЦТА-2006. Замена ОФ, 08.07.05 2" xfId="474" xr:uid="{00000000-0005-0000-0000-0000DF010000}"/>
    <cellStyle name="_Карточка ЦТА-2006. Замена ОФ, 08.07.05 3" xfId="475" xr:uid="{00000000-0005-0000-0000-0000E0010000}"/>
    <cellStyle name="_Карточка ЦТА-2006. Замена ОФ, 08.07.05 4" xfId="476" xr:uid="{00000000-0005-0000-0000-0000E1010000}"/>
    <cellStyle name="_Карточка ЦТА-2006. Замена ОФ, 08.07.05 5" xfId="477" xr:uid="{00000000-0005-0000-0000-0000E2010000}"/>
    <cellStyle name="_Карточка ЦТА-2006. Замена ОФ, 08.07.05_2014БП" xfId="478" xr:uid="{00000000-0005-0000-0000-0000E3010000}"/>
    <cellStyle name="_Карточка ЦТА-2006. Сокр.простоев, 10.08.05" xfId="479" xr:uid="{00000000-0005-0000-0000-0000E4010000}"/>
    <cellStyle name="_Карточка ЦТА-2006. Сокр.простоев, 10.08.05 2" xfId="480" xr:uid="{00000000-0005-0000-0000-0000E5010000}"/>
    <cellStyle name="_Карточка ЦТА-2006. Сокр.простоев, 10.08.05 3" xfId="481" xr:uid="{00000000-0005-0000-0000-0000E6010000}"/>
    <cellStyle name="_Карточка ЦТА-2006. Сокр.простоев, 10.08.05 4" xfId="482" xr:uid="{00000000-0005-0000-0000-0000E7010000}"/>
    <cellStyle name="_Карточка ЦТА-2006. Сокр.простоев, 10.08.05 5" xfId="483" xr:uid="{00000000-0005-0000-0000-0000E8010000}"/>
    <cellStyle name="_Карточка ЦТА-2006. Сокр.простоев, 10.08.05_2014БП" xfId="484" xr:uid="{00000000-0005-0000-0000-0000E9010000}"/>
    <cellStyle name="_Карточка ЦТА-2006. Сокр.простоев, 10.08.05_БП 2010-4089 ц" xfId="485" xr:uid="{00000000-0005-0000-0000-0000EA010000}"/>
    <cellStyle name="_Карточка ЦТА-2006. Сокр.простоев, 10.08.05_План производства 2010 Олкон 09 10 09" xfId="486" xr:uid="{00000000-0005-0000-0000-0000EB010000}"/>
    <cellStyle name="_Карточка ЦТА-2006. столовая аварийная, 14.07.05-утв." xfId="487" xr:uid="{00000000-0005-0000-0000-0000EC010000}"/>
    <cellStyle name="_Карточка ЦТА-2006. столовая аварийная, 14.07.05-утв. 2" xfId="488" xr:uid="{00000000-0005-0000-0000-0000ED010000}"/>
    <cellStyle name="_Карточка ЦТА-2006. столовая аварийная, 14.07.05-утв. 3" xfId="489" xr:uid="{00000000-0005-0000-0000-0000EE010000}"/>
    <cellStyle name="_Карточка ЦТА-2006. столовая аварийная, 14.07.05-утв. 4" xfId="490" xr:uid="{00000000-0005-0000-0000-0000EF010000}"/>
    <cellStyle name="_Карточка ЦТА-2006. столовая аварийная, 14.07.05-утв. 5" xfId="491" xr:uid="{00000000-0005-0000-0000-0000F0010000}"/>
    <cellStyle name="_Карточка ЦТА-2006. столовая аварийная, 14.07.05-утв._2014БП" xfId="492" xr:uid="{00000000-0005-0000-0000-0000F1010000}"/>
    <cellStyle name="_Книга1" xfId="493" xr:uid="{00000000-0005-0000-0000-0000F2010000}"/>
    <cellStyle name="_Книга1_БП 2009 КО  21.01.09 г" xfId="500" xr:uid="{00000000-0005-0000-0000-0000F9010000}"/>
    <cellStyle name="_Книга1_БП 2009 КО  21.01.09 г_Формат План производства 2011 КО-3" xfId="501" xr:uid="{00000000-0005-0000-0000-0000FA010000}"/>
    <cellStyle name="_Книга1_Формат план производства 2010 КО" xfId="503" xr:uid="{00000000-0005-0000-0000-0000FC010000}"/>
    <cellStyle name="_Книга1_Формат План производства 2011 КО-3" xfId="502" xr:uid="{00000000-0005-0000-0000-0000FB010000}"/>
    <cellStyle name="_Книга10" xfId="494" xr:uid="{00000000-0005-0000-0000-0000F3010000}"/>
    <cellStyle name="_Книга11" xfId="495" xr:uid="{00000000-0005-0000-0000-0000F4010000}"/>
    <cellStyle name="_Книга11_Дайджест 2003-2004 гг." xfId="496" xr:uid="{00000000-0005-0000-0000-0000F5010000}"/>
    <cellStyle name="_Книга11_Дайджест 2003-2004 гг._8" xfId="497" xr:uid="{00000000-0005-0000-0000-0000F6010000}"/>
    <cellStyle name="_Книга11_Дайджест 2003-2004 гг._Запрос МИ Менеджмент 18 08 06 (новый формат)" xfId="498" xr:uid="{00000000-0005-0000-0000-0000F7010000}"/>
    <cellStyle name="_Книга11_Дайджест 2003-2004 гг._Формы общие отчет за год" xfId="499" xr:uid="{00000000-0005-0000-0000-0000F8010000}"/>
    <cellStyle name="_Книга22" xfId="504" xr:uid="{00000000-0005-0000-0000-0000FD010000}"/>
    <cellStyle name="_Книга22_1" xfId="505" xr:uid="{00000000-0005-0000-0000-0000FE010000}"/>
    <cellStyle name="_Книга22_1_Дайджест 2003-2004 гг." xfId="506" xr:uid="{00000000-0005-0000-0000-0000FF010000}"/>
    <cellStyle name="_Книга22_1_Дайджест 2003-2004 гг._8" xfId="507" xr:uid="{00000000-0005-0000-0000-000000020000}"/>
    <cellStyle name="_Книга22_1_Дайджест 2003-2004 гг._Запрос МИ Менеджмент 18 08 06 (новый формат)" xfId="508" xr:uid="{00000000-0005-0000-0000-000001020000}"/>
    <cellStyle name="_Книга22_1_Дайджест 2003-2004 гг._Формы общие отчет за год" xfId="509" xr:uid="{00000000-0005-0000-0000-000002020000}"/>
    <cellStyle name="_Книга22_Дайджест 2003-2004 гг." xfId="510" xr:uid="{00000000-0005-0000-0000-000003020000}"/>
    <cellStyle name="_Книга22_Дайджест 2003-2004 гг._8" xfId="511" xr:uid="{00000000-0005-0000-0000-000004020000}"/>
    <cellStyle name="_Книга22_Дайджест 2003-2004 гг._Запрос МИ Менеджмент 18 08 06 (новый формат)" xfId="512" xr:uid="{00000000-0005-0000-0000-000005020000}"/>
    <cellStyle name="_Книга22_Дайджест 2003-2004 гг._Формы общие отчет за год" xfId="513" xr:uid="{00000000-0005-0000-0000-000006020000}"/>
    <cellStyle name="_КО-30346.АС на щебень" xfId="454" xr:uid="{00000000-0005-0000-0000-0000CB010000}"/>
    <cellStyle name="_КО-30346.АС на щебень 2" xfId="455" xr:uid="{00000000-0005-0000-0000-0000CC010000}"/>
    <cellStyle name="_КО-30346.АС на щебень 3" xfId="456" xr:uid="{00000000-0005-0000-0000-0000CD010000}"/>
    <cellStyle name="_КО-30346.АС на щебень 4" xfId="457" xr:uid="{00000000-0005-0000-0000-0000CE010000}"/>
    <cellStyle name="_КО-30346.АС на щебень 5" xfId="458" xr:uid="{00000000-0005-0000-0000-0000CF010000}"/>
    <cellStyle name="_КО-30346.АС на щебень, 10 авг.06,к защите, согл." xfId="459" xr:uid="{00000000-0005-0000-0000-0000D0010000}"/>
    <cellStyle name="_КО-30346.АС на щебень, утв.СВС-Р, 17 авг.06" xfId="460" xr:uid="{00000000-0005-0000-0000-0000D1010000}"/>
    <cellStyle name="_КО-30346.АС на щебень_2014БП" xfId="461" xr:uid="{00000000-0005-0000-0000-0000D2010000}"/>
    <cellStyle name="_КО-30346.АС на щебень_БП 2010-4089 ц" xfId="462" xr:uid="{00000000-0005-0000-0000-0000D3010000}"/>
    <cellStyle name="_КО-30346.АС на щебень_План производства 2010 Олкон 09 10 09" xfId="463" xr:uid="{00000000-0005-0000-0000-0000D4010000}"/>
    <cellStyle name="_Копия Проходка по бригадам ЗАМШ-НАЗ август СС (РАБОЧИЙ)" xfId="514" xr:uid="{00000000-0005-0000-0000-000007020000}"/>
    <cellStyle name="_Копия Проходка по бригадам ЗАМШ-НАЗ август СС (РАБОЧИЙ) 2" xfId="515" xr:uid="{00000000-0005-0000-0000-000008020000}"/>
    <cellStyle name="_Копия Проходка по бригадам ЗАМШ-НАЗ август СС (РАБОЧИЙ) 3" xfId="516" xr:uid="{00000000-0005-0000-0000-000009020000}"/>
    <cellStyle name="_Копия Проходка по бригадам ЗАМШ-НАЗ август СС (РАБОЧИЙ) 4" xfId="517" xr:uid="{00000000-0005-0000-0000-00000A020000}"/>
    <cellStyle name="_Копия Проходка по бригадам ЗАМШ-НАЗ август СС (РАБОЧИЙ) 5" xfId="518" xr:uid="{00000000-0005-0000-0000-00000B020000}"/>
    <cellStyle name="_Копия Проходка по бригадам ЗАМШ-НАЗ август СС (РАБОЧИЙ)_2014БП" xfId="519" xr:uid="{00000000-0005-0000-0000-00000C020000}"/>
    <cellStyle name="_Копия Ремонты - отчет (3)" xfId="520" xr:uid="{00000000-0005-0000-0000-00000D020000}"/>
    <cellStyle name="_Копия Ремонты - отчет (3) 2" xfId="521" xr:uid="{00000000-0005-0000-0000-00000E020000}"/>
    <cellStyle name="_Копия Ремонты - отчет (3) 3" xfId="522" xr:uid="{00000000-0005-0000-0000-00000F020000}"/>
    <cellStyle name="_Копия Ремонты - отчет (3) 4" xfId="523" xr:uid="{00000000-0005-0000-0000-000010020000}"/>
    <cellStyle name="_Копия Ремонты - отчет (3) 5" xfId="524" xr:uid="{00000000-0005-0000-0000-000011020000}"/>
    <cellStyle name="_Копия Ремонты - отчет (3)_2014БП" xfId="525" xr:uid="{00000000-0005-0000-0000-000012020000}"/>
    <cellStyle name="_КП08 Лицензия гор -600 БР_10.10.07" xfId="464" xr:uid="{00000000-0005-0000-0000-0000D5010000}"/>
    <cellStyle name="_л 828 (для проходки)" xfId="758" xr:uid="{00000000-0005-0000-0000-0000FB020000}"/>
    <cellStyle name="_Лист1" xfId="526" xr:uid="{00000000-0005-0000-0000-000013020000}"/>
    <cellStyle name="_МОИ формы (2)" xfId="527" xr:uid="{00000000-0005-0000-0000-000014020000}"/>
    <cellStyle name="_НАШИ УСЛУГИ+УСЛУГИ РАМИСА" xfId="528" xr:uid="{00000000-0005-0000-0000-000015020000}"/>
    <cellStyle name="_НАШИ УСЛУГИ+УСЛУГИ РАМИСА (Доработанные)" xfId="529" xr:uid="{00000000-0005-0000-0000-000016020000}"/>
    <cellStyle name="_Ненормируемые к БП2008" xfId="530" xr:uid="{00000000-0005-0000-0000-000017020000}"/>
    <cellStyle name="_Ненормируемые к БП2008 2" xfId="531" xr:uid="{00000000-0005-0000-0000-000018020000}"/>
    <cellStyle name="_Ненормируемые к БП2008 3" xfId="532" xr:uid="{00000000-0005-0000-0000-000019020000}"/>
    <cellStyle name="_Ненормируемые к БП2008 4" xfId="533" xr:uid="{00000000-0005-0000-0000-00001A020000}"/>
    <cellStyle name="_Ненормируемые к БП2008 5" xfId="534" xr:uid="{00000000-0005-0000-0000-00001B020000}"/>
    <cellStyle name="_Ненормируемые к БП2008_2014БП" xfId="535" xr:uid="{00000000-0005-0000-0000-00001C020000}"/>
    <cellStyle name="_Ожид. 2 кв. по новой форме" xfId="536" xr:uid="{00000000-0005-0000-0000-00001D020000}"/>
    <cellStyle name="_Основные Формы ГОК" xfId="537" xr:uid="{00000000-0005-0000-0000-00001E020000}"/>
    <cellStyle name="_Основные Формы ГОК_1 кв" xfId="538" xr:uid="{00000000-0005-0000-0000-00001F020000}"/>
    <cellStyle name="_Отчет_1  2006-send new" xfId="539" xr:uid="{00000000-0005-0000-0000-000020020000}"/>
    <cellStyle name="_План производства 2010" xfId="540" xr:uid="{00000000-0005-0000-0000-000021020000}"/>
    <cellStyle name="_План производства 2010 2" xfId="541" xr:uid="{00000000-0005-0000-0000-000022020000}"/>
    <cellStyle name="_План производства 2010 3" xfId="542" xr:uid="{00000000-0005-0000-0000-000023020000}"/>
    <cellStyle name="_План производства 2010 4" xfId="543" xr:uid="{00000000-0005-0000-0000-000024020000}"/>
    <cellStyle name="_План производства 2010 5" xfId="544" xr:uid="{00000000-0005-0000-0000-000025020000}"/>
    <cellStyle name="_План производства 2010_2014БП" xfId="545" xr:uid="{00000000-0005-0000-0000-000026020000}"/>
    <cellStyle name="_План-факт 1 кв. по новой форме" xfId="546" xr:uid="{00000000-0005-0000-0000-000027020000}"/>
    <cellStyle name="_Платные АТЦ 08 в ценах 2008г" xfId="547" xr:uid="{00000000-0005-0000-0000-000028020000}"/>
    <cellStyle name="_Платные АТЦ 08 в ценах 2008г 2" xfId="548" xr:uid="{00000000-0005-0000-0000-000029020000}"/>
    <cellStyle name="_Платные АТЦ 08 в ценах 2008г 3" xfId="549" xr:uid="{00000000-0005-0000-0000-00002A020000}"/>
    <cellStyle name="_Платные АТЦ 08 в ценах 2008г 4" xfId="550" xr:uid="{00000000-0005-0000-0000-00002B020000}"/>
    <cellStyle name="_Платные АТЦ 08 в ценах 2008г 5" xfId="551" xr:uid="{00000000-0005-0000-0000-00002C020000}"/>
    <cellStyle name="_Платные АТЦ 08 в ценах 2008г 6" xfId="552" xr:uid="{00000000-0005-0000-0000-00002D020000}"/>
    <cellStyle name="_Платные АТЦ 08 в ценах 2008г 7" xfId="553" xr:uid="{00000000-0005-0000-0000-00002E020000}"/>
    <cellStyle name="_Платные АТЦ 08 в ценах 2008г 8" xfId="554" xr:uid="{00000000-0005-0000-0000-00002F020000}"/>
    <cellStyle name="_Платные АТЦ 08 в ценах 2008г 9" xfId="555" xr:uid="{00000000-0005-0000-0000-000030020000}"/>
    <cellStyle name="_Платные АТЦ 08 в ценах 2008г_2014БП" xfId="556" xr:uid="{00000000-0005-0000-0000-000031020000}"/>
    <cellStyle name="_Платные ЦПА 08 в ценах 2008г" xfId="557" xr:uid="{00000000-0005-0000-0000-000032020000}"/>
    <cellStyle name="_Платные ЦПА 08 в ценах 2008г 2" xfId="558" xr:uid="{00000000-0005-0000-0000-000033020000}"/>
    <cellStyle name="_Платные ЦПА 08 в ценах 2008г 3" xfId="559" xr:uid="{00000000-0005-0000-0000-000034020000}"/>
    <cellStyle name="_Платные ЦПА 08 в ценах 2008г 4" xfId="560" xr:uid="{00000000-0005-0000-0000-000035020000}"/>
    <cellStyle name="_Платные ЦПА 08 в ценах 2008г 5" xfId="561" xr:uid="{00000000-0005-0000-0000-000036020000}"/>
    <cellStyle name="_Платные ЦПА 08 в ценах 2008г 6" xfId="562" xr:uid="{00000000-0005-0000-0000-000037020000}"/>
    <cellStyle name="_Платные ЦПА 08 в ценах 2008г 7" xfId="563" xr:uid="{00000000-0005-0000-0000-000038020000}"/>
    <cellStyle name="_Платные ЦПА 08 в ценах 2008г 8" xfId="564" xr:uid="{00000000-0005-0000-0000-000039020000}"/>
    <cellStyle name="_Платные ЦПА 08 в ценах 2008г 9" xfId="565" xr:uid="{00000000-0005-0000-0000-00003A020000}"/>
    <cellStyle name="_Платные ЦПА 08 в ценах 2008г_2014БП" xfId="566" xr:uid="{00000000-0005-0000-0000-00003B020000}"/>
    <cellStyle name="_Подбор оптимального типа долот26.12.2004" xfId="567" xr:uid="{00000000-0005-0000-0000-00003C020000}"/>
    <cellStyle name="_Подбор оптимального типа долот26.12.2004 2" xfId="568" xr:uid="{00000000-0005-0000-0000-00003D020000}"/>
    <cellStyle name="_Подбор оптимального типа долот26.12.2004 3" xfId="569" xr:uid="{00000000-0005-0000-0000-00003E020000}"/>
    <cellStyle name="_Подбор оптимального типа долот26.12.2004 4" xfId="570" xr:uid="{00000000-0005-0000-0000-00003F020000}"/>
    <cellStyle name="_Подбор оптимального типа долот26.12.2004 5" xfId="571" xr:uid="{00000000-0005-0000-0000-000040020000}"/>
    <cellStyle name="_Подбор оптимального типа долот26.12.2004_2014БП" xfId="572" xr:uid="{00000000-0005-0000-0000-000041020000}"/>
    <cellStyle name="_Приложения ко 2 с 1 от 15 апреля" xfId="573" xr:uid="{00000000-0005-0000-0000-000042020000}"/>
    <cellStyle name="_Прох 2006 Сев Ворк Воргаш" xfId="574" xr:uid="{00000000-0005-0000-0000-000043020000}"/>
    <cellStyle name="_Прох 2006 Сев Ворк Воргаш 2" xfId="575" xr:uid="{00000000-0005-0000-0000-000044020000}"/>
    <cellStyle name="_Прох 2006 Сев Ворк Воргаш 3" xfId="576" xr:uid="{00000000-0005-0000-0000-000045020000}"/>
    <cellStyle name="_Прох 2006 Сев Ворк Воргаш 4" xfId="577" xr:uid="{00000000-0005-0000-0000-000046020000}"/>
    <cellStyle name="_Прох 2006 Сев Ворк Воргаш 5" xfId="578" xr:uid="{00000000-0005-0000-0000-000047020000}"/>
    <cellStyle name="_Прох 2006 Сев Ворк Воргаш_2014БП" xfId="579" xr:uid="{00000000-0005-0000-0000-000048020000}"/>
    <cellStyle name="_Прох окт 07рабочий СС 09.11.07" xfId="580" xr:uid="{00000000-0005-0000-0000-000049020000}"/>
    <cellStyle name="_Прох окт 07рабочий СС 09.11.07 2" xfId="581" xr:uid="{00000000-0005-0000-0000-00004A020000}"/>
    <cellStyle name="_Прох окт 07рабочий СС 09.11.07 3" xfId="582" xr:uid="{00000000-0005-0000-0000-00004B020000}"/>
    <cellStyle name="_Прох окт 07рабочий СС 09.11.07 4" xfId="583" xr:uid="{00000000-0005-0000-0000-00004C020000}"/>
    <cellStyle name="_Прох окт 07рабочий СС 09.11.07 5" xfId="584" xr:uid="{00000000-0005-0000-0000-00004D020000}"/>
    <cellStyle name="_Прох окт 07рабочий СС 09.11.07_2014БП" xfId="585" xr:uid="{00000000-0005-0000-0000-00004E020000}"/>
    <cellStyle name="_Проходка по бриг_СС_ ноябрь РАБОЧИЙ" xfId="586" xr:uid="{00000000-0005-0000-0000-00004F020000}"/>
    <cellStyle name="_Проходка по бриг_СС_ ноябрь РАБОЧИЙ 2" xfId="587" xr:uid="{00000000-0005-0000-0000-000050020000}"/>
    <cellStyle name="_Проходка по бриг_СС_ ноябрь РАБОЧИЙ 3" xfId="588" xr:uid="{00000000-0005-0000-0000-000051020000}"/>
    <cellStyle name="_Проходка по бриг_СС_ ноябрь РАБОЧИЙ 4" xfId="589" xr:uid="{00000000-0005-0000-0000-000052020000}"/>
    <cellStyle name="_Проходка по бриг_СС_ ноябрь РАБОЧИЙ 5" xfId="590" xr:uid="{00000000-0005-0000-0000-000053020000}"/>
    <cellStyle name="_Проходка по бриг_СС_ ноябрь РАБОЧИЙ_2014БП" xfId="591" xr:uid="{00000000-0005-0000-0000-000054020000}"/>
    <cellStyle name="_Проходка по бригадам для СВС-Р август СС (РАБОЧИЙ)" xfId="592" xr:uid="{00000000-0005-0000-0000-000055020000}"/>
    <cellStyle name="_Проходка по бригадам для СВС-Р август СС (РАБОЧИЙ) 2" xfId="593" xr:uid="{00000000-0005-0000-0000-000056020000}"/>
    <cellStyle name="_Проходка по бригадам для СВС-Р август СС (РАБОЧИЙ) 3" xfId="594" xr:uid="{00000000-0005-0000-0000-000057020000}"/>
    <cellStyle name="_Проходка по бригадам для СВС-Р август СС (РАБОЧИЙ) 4" xfId="595" xr:uid="{00000000-0005-0000-0000-000058020000}"/>
    <cellStyle name="_Проходка по бригадам для СВС-Р август СС (РАБОЧИЙ) 5" xfId="596" xr:uid="{00000000-0005-0000-0000-000059020000}"/>
    <cellStyle name="_Проходка по бригадам для СВС-Р август СС (РАБОЧИЙ)_2014БП" xfId="597" xr:uid="{00000000-0005-0000-0000-00005A020000}"/>
    <cellStyle name="_Проходка_2007г_все шахты" xfId="598" xr:uid="{00000000-0005-0000-0000-00005B020000}"/>
    <cellStyle name="_Проходка_2007г_все шахты 2" xfId="599" xr:uid="{00000000-0005-0000-0000-00005C020000}"/>
    <cellStyle name="_Проходка_2007г_все шахты 3" xfId="600" xr:uid="{00000000-0005-0000-0000-00005D020000}"/>
    <cellStyle name="_Проходка_2007г_все шахты 4" xfId="601" xr:uid="{00000000-0005-0000-0000-00005E020000}"/>
    <cellStyle name="_Проходка_2007г_все шахты 5" xfId="602" xr:uid="{00000000-0005-0000-0000-00005F020000}"/>
    <cellStyle name="_Проходка_2007г_все шахты_2014БП" xfId="603" xr:uid="{00000000-0005-0000-0000-000060020000}"/>
    <cellStyle name="_Проходка_2007г_все шахты_БП 2010-4089 ц" xfId="604" xr:uid="{00000000-0005-0000-0000-000061020000}"/>
    <cellStyle name="_Проходка_2007г_все шахты_План производства 2010 Олкон 09 10 09" xfId="605" xr:uid="{00000000-0005-0000-0000-000062020000}"/>
    <cellStyle name="_Работы и услуги со стороны 2010 год" xfId="625" xr:uid="{00000000-0005-0000-0000-000076020000}"/>
    <cellStyle name="_Работы и услуги со стороны 2010 год 2" xfId="626" xr:uid="{00000000-0005-0000-0000-000077020000}"/>
    <cellStyle name="_Работы и услуги со стороны 2010 год 3" xfId="627" xr:uid="{00000000-0005-0000-0000-000078020000}"/>
    <cellStyle name="_Работы и услуги со стороны 2010 год 4" xfId="628" xr:uid="{00000000-0005-0000-0000-000079020000}"/>
    <cellStyle name="_Работы и услуги со стороны 2010 год 5" xfId="629" xr:uid="{00000000-0005-0000-0000-00007A020000}"/>
    <cellStyle name="_Работы и услуги со стороны 2010 год_2014БП" xfId="630" xr:uid="{00000000-0005-0000-0000-00007B020000}"/>
    <cellStyle name="_Радиост., 21.01.05" xfId="631" xr:uid="{00000000-0005-0000-0000-00007C020000}"/>
    <cellStyle name="_Радиост., 21.01.05 2" xfId="632" xr:uid="{00000000-0005-0000-0000-00007D020000}"/>
    <cellStyle name="_Радиост., 21.01.05 3" xfId="633" xr:uid="{00000000-0005-0000-0000-00007E020000}"/>
    <cellStyle name="_Радиост., 21.01.05 4" xfId="634" xr:uid="{00000000-0005-0000-0000-00007F020000}"/>
    <cellStyle name="_Радиост., 21.01.05 5" xfId="635" xr:uid="{00000000-0005-0000-0000-000080020000}"/>
    <cellStyle name="_Радиост., 21.01.05_2014БП" xfId="636" xr:uid="{00000000-0005-0000-0000-000081020000}"/>
    <cellStyle name="_Радиост., 21.01.05_БП 2010-4089 ц" xfId="637" xr:uid="{00000000-0005-0000-0000-000082020000}"/>
    <cellStyle name="_Радиост., 21.01.05_План производства 2010 Олкон 09 10 09" xfId="638" xr:uid="{00000000-0005-0000-0000-000083020000}"/>
    <cellStyle name="_Разбивка РПХ услуг в БП 2010 г " xfId="639" xr:uid="{00000000-0005-0000-0000-000084020000}"/>
    <cellStyle name="_Разбивка РПХ услуг в БП 2010 г  2" xfId="640" xr:uid="{00000000-0005-0000-0000-000085020000}"/>
    <cellStyle name="_Разбивка РПХ услуг в БП 2010 г  3" xfId="641" xr:uid="{00000000-0005-0000-0000-000086020000}"/>
    <cellStyle name="_Разбивка РПХ услуг в БП 2010 г  4" xfId="642" xr:uid="{00000000-0005-0000-0000-000087020000}"/>
    <cellStyle name="_Разбивка РПХ услуг в БП 2010 г  5" xfId="643" xr:uid="{00000000-0005-0000-0000-000088020000}"/>
    <cellStyle name="_Разбивка РПХ услуг в БП 2010 г _2014БП" xfId="644" xr:uid="{00000000-0005-0000-0000-000089020000}"/>
    <cellStyle name="_Расчет KarelOK" xfId="645" xr:uid="{00000000-0005-0000-0000-00008A020000}"/>
    <cellStyle name="_Расчет KarelOK 2" xfId="646" xr:uid="{00000000-0005-0000-0000-00008B020000}"/>
    <cellStyle name="_Расчет KarelOK 3" xfId="647" xr:uid="{00000000-0005-0000-0000-00008C020000}"/>
    <cellStyle name="_Расчет KarelOK 4" xfId="648" xr:uid="{00000000-0005-0000-0000-00008D020000}"/>
    <cellStyle name="_Расчет KarelOK 5" xfId="649" xr:uid="{00000000-0005-0000-0000-00008E020000}"/>
    <cellStyle name="_Расчет KarelOK_2014БП" xfId="650" xr:uid="{00000000-0005-0000-0000-00008F020000}"/>
    <cellStyle name="_Расчет выручки по переделам ИУ" xfId="651" xr:uid="{00000000-0005-0000-0000-000090020000}"/>
    <cellStyle name="_Расшифровки Б159 Б216 и счет 98" xfId="652" xr:uid="{00000000-0005-0000-0000-000091020000}"/>
    <cellStyle name="_Расшифровки Б159 Б216 и счет 98 2" xfId="653" xr:uid="{00000000-0005-0000-0000-000092020000}"/>
    <cellStyle name="_Расшифровки Б159 Б216 и счет 98 3" xfId="654" xr:uid="{00000000-0005-0000-0000-000093020000}"/>
    <cellStyle name="_Расшифровки Б159 Б216 и счет 98 4" xfId="655" xr:uid="{00000000-0005-0000-0000-000094020000}"/>
    <cellStyle name="_Расшифровки Б159 Б216 и счет 98 5" xfId="656" xr:uid="{00000000-0005-0000-0000-000095020000}"/>
    <cellStyle name="_Расшифровки Б159 Б216 и счет 98_2014БП" xfId="657" xr:uid="{00000000-0005-0000-0000-000096020000}"/>
    <cellStyle name="_ремонты 2010" xfId="759" xr:uid="{00000000-0005-0000-0000-0000FC020000}"/>
    <cellStyle name="_РПХ" xfId="606" xr:uid="{00000000-0005-0000-0000-000063020000}"/>
    <cellStyle name="_РПХ 10" xfId="607" xr:uid="{00000000-0005-0000-0000-000064020000}"/>
    <cellStyle name="_РПХ 11" xfId="608" xr:uid="{00000000-0005-0000-0000-000065020000}"/>
    <cellStyle name="_РПХ 12" xfId="609" xr:uid="{00000000-0005-0000-0000-000066020000}"/>
    <cellStyle name="_РПХ 2" xfId="610" xr:uid="{00000000-0005-0000-0000-000067020000}"/>
    <cellStyle name="_РПХ 3" xfId="611" xr:uid="{00000000-0005-0000-0000-000068020000}"/>
    <cellStyle name="_РПХ 4" xfId="612" xr:uid="{00000000-0005-0000-0000-000069020000}"/>
    <cellStyle name="_РПХ 5" xfId="613" xr:uid="{00000000-0005-0000-0000-00006A020000}"/>
    <cellStyle name="_РПХ 6" xfId="614" xr:uid="{00000000-0005-0000-0000-00006B020000}"/>
    <cellStyle name="_РПХ 7" xfId="615" xr:uid="{00000000-0005-0000-0000-00006C020000}"/>
    <cellStyle name="_РПХ 8" xfId="616" xr:uid="{00000000-0005-0000-0000-00006D020000}"/>
    <cellStyle name="_РПХ 9" xfId="617" xr:uid="{00000000-0005-0000-0000-00006E020000}"/>
    <cellStyle name="_РПХ ЦПО по БП 2010 год в разрезе МВЗ (2)" xfId="618" xr:uid="{00000000-0005-0000-0000-00006F020000}"/>
    <cellStyle name="_РПХ ЦПО по БП 2010 год в разрезе МВЗ (2) 2" xfId="619" xr:uid="{00000000-0005-0000-0000-000070020000}"/>
    <cellStyle name="_РПХ ЦПО по БП 2010 год в разрезе МВЗ (2) 3" xfId="620" xr:uid="{00000000-0005-0000-0000-000071020000}"/>
    <cellStyle name="_РПХ ЦПО по БП 2010 год в разрезе МВЗ (2) 4" xfId="621" xr:uid="{00000000-0005-0000-0000-000072020000}"/>
    <cellStyle name="_РПХ ЦПО по БП 2010 год в разрезе МВЗ (2) 5" xfId="622" xr:uid="{00000000-0005-0000-0000-000073020000}"/>
    <cellStyle name="_РПХ ЦПО по БП 2010 год в разрезе МВЗ (2)_2014БП" xfId="623" xr:uid="{00000000-0005-0000-0000-000074020000}"/>
    <cellStyle name="_РПХ_2014БП" xfId="624" xr:uid="{00000000-0005-0000-0000-000075020000}"/>
    <cellStyle name="_СAPEX 2008" xfId="658" xr:uid="{00000000-0005-0000-0000-000097020000}"/>
    <cellStyle name="_СAPEX 2008 2" xfId="659" xr:uid="{00000000-0005-0000-0000-000098020000}"/>
    <cellStyle name="_СAPEX 2008 3" xfId="660" xr:uid="{00000000-0005-0000-0000-000099020000}"/>
    <cellStyle name="_СAPEX 2008 4" xfId="661" xr:uid="{00000000-0005-0000-0000-00009A020000}"/>
    <cellStyle name="_СAPEX 2008 5" xfId="662" xr:uid="{00000000-0005-0000-0000-00009B020000}"/>
    <cellStyle name="_СAPEX 2008 6" xfId="663" xr:uid="{00000000-0005-0000-0000-00009C020000}"/>
    <cellStyle name="_СAPEX 2008 7" xfId="664" xr:uid="{00000000-0005-0000-0000-00009D020000}"/>
    <cellStyle name="_СAPEX 2008 8" xfId="665" xr:uid="{00000000-0005-0000-0000-00009E020000}"/>
    <cellStyle name="_СAPEX 2008 9" xfId="666" xr:uid="{00000000-0005-0000-0000-00009F020000}"/>
    <cellStyle name="_СAPEX 2008_2014БП" xfId="667" xr:uid="{00000000-0005-0000-0000-0000A0020000}"/>
    <cellStyle name="_Свод БП2008 от 19.11.2007" xfId="680" xr:uid="{00000000-0005-0000-0000-0000AD020000}"/>
    <cellStyle name="_Свод БП2008 от 19.11.2007 2" xfId="681" xr:uid="{00000000-0005-0000-0000-0000AE020000}"/>
    <cellStyle name="_Свод БП2008 от 19.11.2007 3" xfId="682" xr:uid="{00000000-0005-0000-0000-0000AF020000}"/>
    <cellStyle name="_Свод БП2008 от 19.11.2007 4" xfId="683" xr:uid="{00000000-0005-0000-0000-0000B0020000}"/>
    <cellStyle name="_Свод БП2008 от 19.11.2007 5" xfId="684" xr:uid="{00000000-0005-0000-0000-0000B1020000}"/>
    <cellStyle name="_Свод БП2008 от 19.11.2007_2014БП" xfId="685" xr:uid="{00000000-0005-0000-0000-0000B2020000}"/>
    <cellStyle name="_СВОД_УГОЛЬ Фор ПП БП 2007 от 31.08.06г 1" xfId="668" xr:uid="{00000000-0005-0000-0000-0000A1020000}"/>
    <cellStyle name="_СВОД_УГОЛЬ Фор ПП БП 2007 от 31.08.06г 1 2" xfId="669" xr:uid="{00000000-0005-0000-0000-0000A2020000}"/>
    <cellStyle name="_СВОД_УГОЛЬ Фор ПП БП 2007 от 31.08.06г 1 3" xfId="670" xr:uid="{00000000-0005-0000-0000-0000A3020000}"/>
    <cellStyle name="_СВОД_УГОЛЬ Фор ПП БП 2007 от 31.08.06г 1 4" xfId="671" xr:uid="{00000000-0005-0000-0000-0000A4020000}"/>
    <cellStyle name="_СВОД_УГОЛЬ Фор ПП БП 2007 от 31.08.06г 1 5" xfId="672" xr:uid="{00000000-0005-0000-0000-0000A5020000}"/>
    <cellStyle name="_СВОД_УГОЛЬ Фор ПП БП 2007 от 31.08.06г 1_2014БП" xfId="673" xr:uid="{00000000-0005-0000-0000-0000A6020000}"/>
    <cellStyle name="_Сводный отчет" xfId="686" xr:uid="{00000000-0005-0000-0000-0000B3020000}"/>
    <cellStyle name="_сводный титул 2004г_18.12" xfId="760" xr:uid="{00000000-0005-0000-0000-0000FD020000}"/>
    <cellStyle name="_сводный титул 2004г_18.12_Дайджест 2003-2004 гг." xfId="761" xr:uid="{00000000-0005-0000-0000-0000FE020000}"/>
    <cellStyle name="_сводный титул 2004г_18.12_Дайджест 2003-2004 гг._8" xfId="762" xr:uid="{00000000-0005-0000-0000-0000FF020000}"/>
    <cellStyle name="_сводный титул 2004г_18.12_Дайджест 2003-2004 гг._Запрос МИ Менеджмент 18 08 06 (новый формат)" xfId="763" xr:uid="{00000000-0005-0000-0000-000000030000}"/>
    <cellStyle name="_сводный титул 2004г_18.12_Дайджест 2003-2004 гг._Формы общие отчет за год" xfId="764" xr:uid="{00000000-0005-0000-0000-000001030000}"/>
    <cellStyle name="_Северная - Январь 2008 ТЭП общая" xfId="687" xr:uid="{00000000-0005-0000-0000-0000B4020000}"/>
    <cellStyle name="_Скала на Капитальное строительство" xfId="688" xr:uid="{00000000-0005-0000-0000-0000B5020000}"/>
    <cellStyle name="_Скала на Капитальное строительство 2" xfId="689" xr:uid="{00000000-0005-0000-0000-0000B6020000}"/>
    <cellStyle name="_Скала на Капитальное строительство 3" xfId="690" xr:uid="{00000000-0005-0000-0000-0000B7020000}"/>
    <cellStyle name="_Скала на Капитальное строительство 4" xfId="691" xr:uid="{00000000-0005-0000-0000-0000B8020000}"/>
    <cellStyle name="_Скала на Капитальное строительство 5" xfId="692" xr:uid="{00000000-0005-0000-0000-0000B9020000}"/>
    <cellStyle name="_Скала на Капитальное строительство_2014БП" xfId="693" xr:uid="{00000000-0005-0000-0000-0000BA020000}"/>
    <cellStyle name="_СМС-карточка - к защите на ИК СВС-Р 16.12.05" xfId="674" xr:uid="{00000000-0005-0000-0000-0000A7020000}"/>
    <cellStyle name="_СМС-карточка - к защите на ИК СВС-Р 16.12.05 2" xfId="675" xr:uid="{00000000-0005-0000-0000-0000A8020000}"/>
    <cellStyle name="_СМС-карточка - к защите на ИК СВС-Р 16.12.05 3" xfId="676" xr:uid="{00000000-0005-0000-0000-0000A9020000}"/>
    <cellStyle name="_СМС-карточка - к защите на ИК СВС-Р 16.12.05 4" xfId="677" xr:uid="{00000000-0005-0000-0000-0000AA020000}"/>
    <cellStyle name="_СМС-карточка - к защите на ИК СВС-Р 16.12.05 5" xfId="678" xr:uid="{00000000-0005-0000-0000-0000AB020000}"/>
    <cellStyle name="_СМС-карточка - к защите на ИК СВС-Р 16.12.05_2014БП" xfId="679" xr:uid="{00000000-0005-0000-0000-0000AC020000}"/>
    <cellStyle name="_Сходимость МГОК и ЛГОК (план)" xfId="694" xr:uid="{00000000-0005-0000-0000-0000BB020000}"/>
    <cellStyle name="_Сходимость МГОК и ЛГОК (план) new" xfId="695" xr:uid="{00000000-0005-0000-0000-0000BC020000}"/>
    <cellStyle name="_Сходимость УС и ОЭМК (план)" xfId="696" xr:uid="{00000000-0005-0000-0000-0000BD020000}"/>
    <cellStyle name="_Сходимость УС и ОЭМК (факт)" xfId="697" xr:uid="{00000000-0005-0000-0000-0000BE020000}"/>
    <cellStyle name="_Таблица №4. Образец. Исполнительный график  проведения горных выработок" xfId="698" xr:uid="{00000000-0005-0000-0000-0000BF020000}"/>
    <cellStyle name="_Таблица №4. Образец. Исполнительный график  проведения горных выработок 2" xfId="699" xr:uid="{00000000-0005-0000-0000-0000C0020000}"/>
    <cellStyle name="_Таблица №4. Образец. Исполнительный график  проведения горных выработок 3" xfId="700" xr:uid="{00000000-0005-0000-0000-0000C1020000}"/>
    <cellStyle name="_Таблица №4. Образец. Исполнительный график  проведения горных выработок 4" xfId="701" xr:uid="{00000000-0005-0000-0000-0000C2020000}"/>
    <cellStyle name="_Таблица №4. Образец. Исполнительный график  проведения горных выработок 5" xfId="702" xr:uid="{00000000-0005-0000-0000-0000C3020000}"/>
    <cellStyle name="_Таблица №4. Образец. Исполнительный график  проведения горных выработок_2014БП" xfId="703" xr:uid="{00000000-0005-0000-0000-0000C4020000}"/>
    <cellStyle name="_Таблица №4. Образец. Исполнительный график  проведения горных выработок_БП 2010-4089 ц" xfId="704" xr:uid="{00000000-0005-0000-0000-0000C5020000}"/>
    <cellStyle name="_Таблица №4. Образец. Исполнительный график  проведения горных выработок_План производства 2010 Олкон 09 10 09" xfId="705" xr:uid="{00000000-0005-0000-0000-0000C6020000}"/>
    <cellStyle name="_титул с пояснениями за 1 квартал 2006г" xfId="765" xr:uid="{00000000-0005-0000-0000-000002030000}"/>
    <cellStyle name="_УралСталь 2004" xfId="706" xr:uid="{00000000-0005-0000-0000-0000C7020000}"/>
    <cellStyle name="_Факт" xfId="714" xr:uid="{00000000-0005-0000-0000-0000CF020000}"/>
    <cellStyle name="_Факт_3.Рез-ты вариантов" xfId="715" xr:uid="{00000000-0005-0000-0000-0000D0020000}"/>
    <cellStyle name="_Факт_5.Производительность" xfId="716" xr:uid="{00000000-0005-0000-0000-0000D1020000}"/>
    <cellStyle name="_Факт_7.Аннуитет СБШ-250-32КП" xfId="717" xr:uid="{00000000-0005-0000-0000-0000D2020000}"/>
    <cellStyle name="_Факт_БП 2009 КО  21.01.09 г" xfId="718" xr:uid="{00000000-0005-0000-0000-0000D3020000}"/>
    <cellStyle name="_Факт_БП 2009 КО  21.01.09 г_Формат План производства 2011 КО-3" xfId="719" xr:uid="{00000000-0005-0000-0000-0000D4020000}"/>
    <cellStyle name="_Факт_Тендер БС" xfId="720" xr:uid="{00000000-0005-0000-0000-0000D5020000}"/>
    <cellStyle name="_Факт_Формат план производства 2010 КО" xfId="722" xr:uid="{00000000-0005-0000-0000-0000D7020000}"/>
    <cellStyle name="_Факт_Формат План производства 2011 КО-3" xfId="721" xr:uid="{00000000-0005-0000-0000-0000D6020000}"/>
    <cellStyle name="_ФЗП  по участкам для SAP" xfId="707" xr:uid="{00000000-0005-0000-0000-0000C8020000}"/>
    <cellStyle name="_ФЗП по цехам на 2008 г." xfId="708" xr:uid="{00000000-0005-0000-0000-0000C9020000}"/>
    <cellStyle name="_ФЗП по цехам на 2008 г. 2" xfId="709" xr:uid="{00000000-0005-0000-0000-0000CA020000}"/>
    <cellStyle name="_ФЗП по цехам на 2008 г. 3" xfId="710" xr:uid="{00000000-0005-0000-0000-0000CB020000}"/>
    <cellStyle name="_ФЗП по цехам на 2008 г. 4" xfId="711" xr:uid="{00000000-0005-0000-0000-0000CC020000}"/>
    <cellStyle name="_ФЗП по цехам на 2008 г. 5" xfId="712" xr:uid="{00000000-0005-0000-0000-0000CD020000}"/>
    <cellStyle name="_ФЗП по цехам на 2008 г._2014БП" xfId="713" xr:uid="{00000000-0005-0000-0000-0000CE020000}"/>
    <cellStyle name="_Филиал (сводная)" xfId="723" xr:uid="{00000000-0005-0000-0000-0000D8020000}"/>
    <cellStyle name="_Форма баланс 28.08.06" xfId="724" xr:uid="{00000000-0005-0000-0000-0000D9020000}"/>
    <cellStyle name="_Форма баланс 28.08.06-ОЭМК" xfId="725" xr:uid="{00000000-0005-0000-0000-0000DA020000}"/>
    <cellStyle name="_Форма баланс 29.08.06 для УС" xfId="726" xr:uid="{00000000-0005-0000-0000-0000DB020000}"/>
    <cellStyle name="_Форма для ЛГОК" xfId="727" xr:uid="{00000000-0005-0000-0000-0000DC020000}"/>
    <cellStyle name="_Форма для ЛГОК new" xfId="728" xr:uid="{00000000-0005-0000-0000-0000DD020000}"/>
    <cellStyle name="_Форма для МГОК" xfId="729" xr:uid="{00000000-0005-0000-0000-0000DE020000}"/>
    <cellStyle name="_Форма для ОЭМК" xfId="730" xr:uid="{00000000-0005-0000-0000-0000DF020000}"/>
    <cellStyle name="_Форма для ОЭМК (2)" xfId="731" xr:uid="{00000000-0005-0000-0000-0000E0020000}"/>
    <cellStyle name="_Форма для УС" xfId="732" xr:uid="{00000000-0005-0000-0000-0000E1020000}"/>
    <cellStyle name="_Формат для печати БП 08г." xfId="733" xr:uid="{00000000-0005-0000-0000-0000E2020000}"/>
    <cellStyle name="_Формат для печати БП 08г. 2" xfId="734" xr:uid="{00000000-0005-0000-0000-0000E3020000}"/>
    <cellStyle name="_Формат для печати БП 08г. 3" xfId="735" xr:uid="{00000000-0005-0000-0000-0000E4020000}"/>
    <cellStyle name="_Формат для печати БП 08г. 4" xfId="736" xr:uid="{00000000-0005-0000-0000-0000E5020000}"/>
    <cellStyle name="_Формат для печати БП 08г. 5" xfId="737" xr:uid="{00000000-0005-0000-0000-0000E6020000}"/>
    <cellStyle name="_Формат для печати БП 08г. 6" xfId="738" xr:uid="{00000000-0005-0000-0000-0000E7020000}"/>
    <cellStyle name="_Формат для печати БП 08г. 7" xfId="739" xr:uid="{00000000-0005-0000-0000-0000E8020000}"/>
    <cellStyle name="_Формат для печати БП 08г. 8" xfId="740" xr:uid="{00000000-0005-0000-0000-0000E9020000}"/>
    <cellStyle name="_Формат для печати БП 08г. 9" xfId="741" xr:uid="{00000000-0005-0000-0000-0000EA020000}"/>
    <cellStyle name="_Формат для печати БП 08г._2014БП" xfId="742" xr:uid="{00000000-0005-0000-0000-0000EB020000}"/>
    <cellStyle name="_Формы" xfId="743" xr:uid="{00000000-0005-0000-0000-0000EC020000}"/>
    <cellStyle name="_Формы общие отчет за год" xfId="744" xr:uid="{00000000-0005-0000-0000-0000ED020000}"/>
    <cellStyle name="_ЦТА. Приобретение водополивочной май.2005-защита" xfId="745" xr:uid="{00000000-0005-0000-0000-0000EE020000}"/>
    <cellStyle name="_ЦТА. Приобретение водополивочной май.2005-защита 2" xfId="746" xr:uid="{00000000-0005-0000-0000-0000EF020000}"/>
    <cellStyle name="_ЦТА. Приобретение водополивочной май.2005-защита 3" xfId="747" xr:uid="{00000000-0005-0000-0000-0000F0020000}"/>
    <cellStyle name="_ЦТА. Приобретение водополивочной май.2005-защита 4" xfId="748" xr:uid="{00000000-0005-0000-0000-0000F1020000}"/>
    <cellStyle name="_ЦТА. Приобретение водополивочной май.2005-защита 5" xfId="749" xr:uid="{00000000-0005-0000-0000-0000F2020000}"/>
    <cellStyle name="_ЦТА. Приобретение водополивочной май.2005-защита_2014БП" xfId="750" xr:uid="{00000000-0005-0000-0000-0000F3020000}"/>
    <cellStyle name="_Эк.показатели пл.на 2 п.г.скор." xfId="751" xr:uid="{00000000-0005-0000-0000-0000F4020000}"/>
    <cellStyle name="_ЮНГ_расш 12 мес. СОФИ" xfId="752" xr:uid="{00000000-0005-0000-0000-0000F5020000}"/>
    <cellStyle name="_ЮНГ_расш 12 мес. СОФИ 2" xfId="753" xr:uid="{00000000-0005-0000-0000-0000F6020000}"/>
    <cellStyle name="_ЮНГ_расш 12 мес. СОФИ 3" xfId="754" xr:uid="{00000000-0005-0000-0000-0000F7020000}"/>
    <cellStyle name="_ЮНГ_расш 12 мес. СОФИ 4" xfId="755" xr:uid="{00000000-0005-0000-0000-0000F8020000}"/>
    <cellStyle name="_ЮНГ_расш 12 мес. СОФИ 5" xfId="756" xr:uid="{00000000-0005-0000-0000-0000F9020000}"/>
    <cellStyle name="_ЮНГ_расш 12 мес. СОФИ_2014БП" xfId="757" xr:uid="{00000000-0005-0000-0000-0000FA020000}"/>
    <cellStyle name="=C:\WINNT\SYSTEM32\COMMAND.COM" xfId="205" xr:uid="{00000000-0005-0000-0000-0000D2000000}"/>
    <cellStyle name="=C:\WINNT35\SYSTEM32\COMMAND.COM" xfId="202" xr:uid="{00000000-0005-0000-0000-0000CF000000}"/>
    <cellStyle name="=C:\WINNT35\SYSTEM32\COMMAND.COM 2" xfId="203" xr:uid="{00000000-0005-0000-0000-0000D0000000}"/>
    <cellStyle name="=C:\WINNT35\SYSTEM32\COMMAND.COM 3" xfId="204" xr:uid="{00000000-0005-0000-0000-0000D1000000}"/>
    <cellStyle name="=D:\WINNT\SYSTEM32\COMMAND.COM" xfId="206" xr:uid="{00000000-0005-0000-0000-0000D3000000}"/>
    <cellStyle name="0" xfId="3" xr:uid="{00000000-0005-0000-0000-000008000000}"/>
    <cellStyle name="0,0" xfId="4" xr:uid="{00000000-0005-0000-0000-000009000000}"/>
    <cellStyle name="0,0%" xfId="5" xr:uid="{00000000-0005-0000-0000-00000A000000}"/>
    <cellStyle name="0,000" xfId="6" xr:uid="{00000000-0005-0000-0000-00000B000000}"/>
    <cellStyle name="0.0%" xfId="7" xr:uid="{00000000-0005-0000-0000-00000C000000}"/>
    <cellStyle name="131" xfId="8" xr:uid="{00000000-0005-0000-0000-00000D000000}"/>
    <cellStyle name="131 2" xfId="9" xr:uid="{00000000-0005-0000-0000-00000E000000}"/>
    <cellStyle name="1Normal" xfId="10" xr:uid="{00000000-0005-0000-0000-00000F000000}"/>
    <cellStyle name="1Normal 2" xfId="11" xr:uid="{00000000-0005-0000-0000-000010000000}"/>
    <cellStyle name="1Normal 3" xfId="12" xr:uid="{00000000-0005-0000-0000-000011000000}"/>
    <cellStyle name="1Normal 4" xfId="13" xr:uid="{00000000-0005-0000-0000-000012000000}"/>
    <cellStyle name="1Normal 5" xfId="14" xr:uid="{00000000-0005-0000-0000-000013000000}"/>
    <cellStyle name="1Normal_2014БП" xfId="15" xr:uid="{00000000-0005-0000-0000-000014000000}"/>
    <cellStyle name="20% - Accent1" xfId="16" xr:uid="{00000000-0005-0000-0000-000015000000}"/>
    <cellStyle name="20% - Accent1 2" xfId="17" xr:uid="{00000000-0005-0000-0000-000016000000}"/>
    <cellStyle name="20% - Accent1 3" xfId="18" xr:uid="{00000000-0005-0000-0000-000017000000}"/>
    <cellStyle name="20% - Accent2" xfId="19" xr:uid="{00000000-0005-0000-0000-000018000000}"/>
    <cellStyle name="20% - Accent2 2" xfId="20" xr:uid="{00000000-0005-0000-0000-000019000000}"/>
    <cellStyle name="20% - Accent2 3" xfId="21" xr:uid="{00000000-0005-0000-0000-00001A000000}"/>
    <cellStyle name="20% - Accent3" xfId="22" xr:uid="{00000000-0005-0000-0000-00001B000000}"/>
    <cellStyle name="20% - Accent3 2" xfId="23" xr:uid="{00000000-0005-0000-0000-00001C000000}"/>
    <cellStyle name="20% - Accent3 3" xfId="24" xr:uid="{00000000-0005-0000-0000-00001D000000}"/>
    <cellStyle name="20% - Accent4" xfId="25" xr:uid="{00000000-0005-0000-0000-00001E000000}"/>
    <cellStyle name="20% - Accent4 2" xfId="26" xr:uid="{00000000-0005-0000-0000-00001F000000}"/>
    <cellStyle name="20% - Accent4 3" xfId="27" xr:uid="{00000000-0005-0000-0000-000020000000}"/>
    <cellStyle name="20% - Accent5" xfId="28" xr:uid="{00000000-0005-0000-0000-000021000000}"/>
    <cellStyle name="20% - Accent5 2" xfId="29" xr:uid="{00000000-0005-0000-0000-000022000000}"/>
    <cellStyle name="20% - Accent5 3" xfId="30" xr:uid="{00000000-0005-0000-0000-000023000000}"/>
    <cellStyle name="20% - Accent6" xfId="31" xr:uid="{00000000-0005-0000-0000-000024000000}"/>
    <cellStyle name="20% - Accent6 2" xfId="32" xr:uid="{00000000-0005-0000-0000-000025000000}"/>
    <cellStyle name="20% - Accent6 3" xfId="33" xr:uid="{00000000-0005-0000-0000-000026000000}"/>
    <cellStyle name="20% - Ênfase1" xfId="40" xr:uid="{00000000-0005-0000-0000-00002D000000}"/>
    <cellStyle name="20% - Ênfase2" xfId="41" xr:uid="{00000000-0005-0000-0000-00002E000000}"/>
    <cellStyle name="20% - Ênfase3" xfId="42" xr:uid="{00000000-0005-0000-0000-00002F000000}"/>
    <cellStyle name="20% - Ênfase4" xfId="43" xr:uid="{00000000-0005-0000-0000-000030000000}"/>
    <cellStyle name="20% - Ênfase5" xfId="44" xr:uid="{00000000-0005-0000-0000-000031000000}"/>
    <cellStyle name="20% - Ênfase6" xfId="45" xr:uid="{00000000-0005-0000-0000-000032000000}"/>
    <cellStyle name="20% - Énfasis1" xfId="34" xr:uid="{00000000-0005-0000-0000-000027000000}"/>
    <cellStyle name="20% - Énfasis2" xfId="35" xr:uid="{00000000-0005-0000-0000-000028000000}"/>
    <cellStyle name="20% - Énfasis3" xfId="36" xr:uid="{00000000-0005-0000-0000-000029000000}"/>
    <cellStyle name="20% - Énfasis4" xfId="37" xr:uid="{00000000-0005-0000-0000-00002A000000}"/>
    <cellStyle name="20% - Énfasis5" xfId="38" xr:uid="{00000000-0005-0000-0000-00002B000000}"/>
    <cellStyle name="20% - Énfasis6" xfId="39" xr:uid="{00000000-0005-0000-0000-00002C000000}"/>
    <cellStyle name="20% - Акцент1 2" xfId="46" xr:uid="{00000000-0005-0000-0000-000033000000}"/>
    <cellStyle name="20% - Акцент1 2 2" xfId="47" xr:uid="{00000000-0005-0000-0000-000034000000}"/>
    <cellStyle name="20% - Акцент1 3" xfId="48" xr:uid="{00000000-0005-0000-0000-000035000000}"/>
    <cellStyle name="20% - Акцент1 3 2" xfId="49" xr:uid="{00000000-0005-0000-0000-000036000000}"/>
    <cellStyle name="20% - Акцент1 3_Объём" xfId="50" xr:uid="{00000000-0005-0000-0000-000037000000}"/>
    <cellStyle name="20% - Акцент1 4" xfId="51" xr:uid="{00000000-0005-0000-0000-000038000000}"/>
    <cellStyle name="20% - Акцент2 2" xfId="52" xr:uid="{00000000-0005-0000-0000-000039000000}"/>
    <cellStyle name="20% - Акцент2 2 2" xfId="53" xr:uid="{00000000-0005-0000-0000-00003A000000}"/>
    <cellStyle name="20% - Акцент2 3" xfId="54" xr:uid="{00000000-0005-0000-0000-00003B000000}"/>
    <cellStyle name="20% - Акцент2 3 2" xfId="55" xr:uid="{00000000-0005-0000-0000-00003C000000}"/>
    <cellStyle name="20% - Акцент2 3_Объём" xfId="56" xr:uid="{00000000-0005-0000-0000-00003D000000}"/>
    <cellStyle name="20% - Акцент2 4" xfId="57" xr:uid="{00000000-0005-0000-0000-00003E000000}"/>
    <cellStyle name="20% - Акцент3 2" xfId="58" xr:uid="{00000000-0005-0000-0000-00003F000000}"/>
    <cellStyle name="20% - Акцент3 2 2" xfId="59" xr:uid="{00000000-0005-0000-0000-000040000000}"/>
    <cellStyle name="20% - Акцент3 3" xfId="60" xr:uid="{00000000-0005-0000-0000-000041000000}"/>
    <cellStyle name="20% - Акцент3 3 2" xfId="61" xr:uid="{00000000-0005-0000-0000-000042000000}"/>
    <cellStyle name="20% - Акцент3 3_Объём" xfId="62" xr:uid="{00000000-0005-0000-0000-000043000000}"/>
    <cellStyle name="20% - Акцент3 4" xfId="63" xr:uid="{00000000-0005-0000-0000-000044000000}"/>
    <cellStyle name="20% - Акцент4 2" xfId="64" xr:uid="{00000000-0005-0000-0000-000045000000}"/>
    <cellStyle name="20% - Акцент4 2 2" xfId="65" xr:uid="{00000000-0005-0000-0000-000046000000}"/>
    <cellStyle name="20% - Акцент4 3" xfId="66" xr:uid="{00000000-0005-0000-0000-000047000000}"/>
    <cellStyle name="20% - Акцент4 3 2" xfId="67" xr:uid="{00000000-0005-0000-0000-000048000000}"/>
    <cellStyle name="20% - Акцент4 3_Объём" xfId="68" xr:uid="{00000000-0005-0000-0000-000049000000}"/>
    <cellStyle name="20% - Акцент4 4" xfId="69" xr:uid="{00000000-0005-0000-0000-00004A000000}"/>
    <cellStyle name="20% - Акцент5 2" xfId="70" xr:uid="{00000000-0005-0000-0000-00004B000000}"/>
    <cellStyle name="20% - Акцент5 2 2" xfId="71" xr:uid="{00000000-0005-0000-0000-00004C000000}"/>
    <cellStyle name="20% - Акцент5 3" xfId="72" xr:uid="{00000000-0005-0000-0000-00004D000000}"/>
    <cellStyle name="20% - Акцент5 3 2" xfId="73" xr:uid="{00000000-0005-0000-0000-00004E000000}"/>
    <cellStyle name="20% - Акцент5 3_Объём" xfId="74" xr:uid="{00000000-0005-0000-0000-00004F000000}"/>
    <cellStyle name="20% - Акцент5 4" xfId="75" xr:uid="{00000000-0005-0000-0000-000050000000}"/>
    <cellStyle name="20% - Акцент6 2" xfId="76" xr:uid="{00000000-0005-0000-0000-000051000000}"/>
    <cellStyle name="20% - Акцент6 2 2" xfId="77" xr:uid="{00000000-0005-0000-0000-000052000000}"/>
    <cellStyle name="20% - Акцент6 3" xfId="78" xr:uid="{00000000-0005-0000-0000-000053000000}"/>
    <cellStyle name="20% - Акцент6 3 2" xfId="79" xr:uid="{00000000-0005-0000-0000-000054000000}"/>
    <cellStyle name="20% - Акцент6 3_Объём" xfId="80" xr:uid="{00000000-0005-0000-0000-000055000000}"/>
    <cellStyle name="20% - Акцент6 4" xfId="81" xr:uid="{00000000-0005-0000-0000-000056000000}"/>
    <cellStyle name="40% - Accent1" xfId="82" xr:uid="{00000000-0005-0000-0000-000057000000}"/>
    <cellStyle name="40% - Accent1 2" xfId="83" xr:uid="{00000000-0005-0000-0000-000058000000}"/>
    <cellStyle name="40% - Accent1 3" xfId="84" xr:uid="{00000000-0005-0000-0000-000059000000}"/>
    <cellStyle name="40% - Accent2" xfId="85" xr:uid="{00000000-0005-0000-0000-00005A000000}"/>
    <cellStyle name="40% - Accent2 2" xfId="86" xr:uid="{00000000-0005-0000-0000-00005B000000}"/>
    <cellStyle name="40% - Accent2 3" xfId="87" xr:uid="{00000000-0005-0000-0000-00005C000000}"/>
    <cellStyle name="40% - Accent3" xfId="88" xr:uid="{00000000-0005-0000-0000-00005D000000}"/>
    <cellStyle name="40% - Accent3 2" xfId="89" xr:uid="{00000000-0005-0000-0000-00005E000000}"/>
    <cellStyle name="40% - Accent3 3" xfId="90" xr:uid="{00000000-0005-0000-0000-00005F000000}"/>
    <cellStyle name="40% - Accent4" xfId="91" xr:uid="{00000000-0005-0000-0000-000060000000}"/>
    <cellStyle name="40% - Accent4 2" xfId="92" xr:uid="{00000000-0005-0000-0000-000061000000}"/>
    <cellStyle name="40% - Accent4 3" xfId="93" xr:uid="{00000000-0005-0000-0000-000062000000}"/>
    <cellStyle name="40% - Accent5" xfId="94" xr:uid="{00000000-0005-0000-0000-000063000000}"/>
    <cellStyle name="40% - Accent5 2" xfId="95" xr:uid="{00000000-0005-0000-0000-000064000000}"/>
    <cellStyle name="40% - Accent5 3" xfId="96" xr:uid="{00000000-0005-0000-0000-000065000000}"/>
    <cellStyle name="40% - Accent6" xfId="97" xr:uid="{00000000-0005-0000-0000-000066000000}"/>
    <cellStyle name="40% - Accent6 2" xfId="98" xr:uid="{00000000-0005-0000-0000-000067000000}"/>
    <cellStyle name="40% - Accent6 3" xfId="99" xr:uid="{00000000-0005-0000-0000-000068000000}"/>
    <cellStyle name="40% - Ênfase1" xfId="106" xr:uid="{00000000-0005-0000-0000-00006F000000}"/>
    <cellStyle name="40% - Ênfase2" xfId="107" xr:uid="{00000000-0005-0000-0000-000070000000}"/>
    <cellStyle name="40% - Ênfase3" xfId="108" xr:uid="{00000000-0005-0000-0000-000071000000}"/>
    <cellStyle name="40% - Ênfase4" xfId="109" xr:uid="{00000000-0005-0000-0000-000072000000}"/>
    <cellStyle name="40% - Ênfase5" xfId="110" xr:uid="{00000000-0005-0000-0000-000073000000}"/>
    <cellStyle name="40% - Ênfase6" xfId="111" xr:uid="{00000000-0005-0000-0000-000074000000}"/>
    <cellStyle name="40% - Énfasis1" xfId="100" xr:uid="{00000000-0005-0000-0000-000069000000}"/>
    <cellStyle name="40% - Énfasis2" xfId="101" xr:uid="{00000000-0005-0000-0000-00006A000000}"/>
    <cellStyle name="40% - Énfasis3" xfId="102" xr:uid="{00000000-0005-0000-0000-00006B000000}"/>
    <cellStyle name="40% - Énfasis4" xfId="103" xr:uid="{00000000-0005-0000-0000-00006C000000}"/>
    <cellStyle name="40% - Énfasis5" xfId="104" xr:uid="{00000000-0005-0000-0000-00006D000000}"/>
    <cellStyle name="40% - Énfasis6" xfId="105" xr:uid="{00000000-0005-0000-0000-00006E000000}"/>
    <cellStyle name="40% - Акцент1 2" xfId="112" xr:uid="{00000000-0005-0000-0000-000075000000}"/>
    <cellStyle name="40% - Акцент1 2 2" xfId="113" xr:uid="{00000000-0005-0000-0000-000076000000}"/>
    <cellStyle name="40% - Акцент1 3" xfId="114" xr:uid="{00000000-0005-0000-0000-000077000000}"/>
    <cellStyle name="40% - Акцент1 3 2" xfId="115" xr:uid="{00000000-0005-0000-0000-000078000000}"/>
    <cellStyle name="40% - Акцент1 3_Объём" xfId="116" xr:uid="{00000000-0005-0000-0000-000079000000}"/>
    <cellStyle name="40% - Акцент1 4" xfId="117" xr:uid="{00000000-0005-0000-0000-00007A000000}"/>
    <cellStyle name="40% - Акцент2 2" xfId="118" xr:uid="{00000000-0005-0000-0000-00007B000000}"/>
    <cellStyle name="40% - Акцент2 2 2" xfId="119" xr:uid="{00000000-0005-0000-0000-00007C000000}"/>
    <cellStyle name="40% - Акцент2 3" xfId="120" xr:uid="{00000000-0005-0000-0000-00007D000000}"/>
    <cellStyle name="40% - Акцент2 3 2" xfId="121" xr:uid="{00000000-0005-0000-0000-00007E000000}"/>
    <cellStyle name="40% - Акцент2 3_Объём" xfId="122" xr:uid="{00000000-0005-0000-0000-00007F000000}"/>
    <cellStyle name="40% - Акцент2 4" xfId="123" xr:uid="{00000000-0005-0000-0000-000080000000}"/>
    <cellStyle name="40% - Акцент3 2" xfId="124" xr:uid="{00000000-0005-0000-0000-000081000000}"/>
    <cellStyle name="40% - Акцент3 2 2" xfId="125" xr:uid="{00000000-0005-0000-0000-000082000000}"/>
    <cellStyle name="40% - Акцент3 3" xfId="126" xr:uid="{00000000-0005-0000-0000-000083000000}"/>
    <cellStyle name="40% - Акцент3 3 2" xfId="127" xr:uid="{00000000-0005-0000-0000-000084000000}"/>
    <cellStyle name="40% - Акцент3 3_Объём" xfId="128" xr:uid="{00000000-0005-0000-0000-000085000000}"/>
    <cellStyle name="40% - Акцент3 4" xfId="129" xr:uid="{00000000-0005-0000-0000-000086000000}"/>
    <cellStyle name="40% - Акцент4 2" xfId="130" xr:uid="{00000000-0005-0000-0000-000087000000}"/>
    <cellStyle name="40% - Акцент4 2 2" xfId="131" xr:uid="{00000000-0005-0000-0000-000088000000}"/>
    <cellStyle name="40% - Акцент4 3" xfId="132" xr:uid="{00000000-0005-0000-0000-000089000000}"/>
    <cellStyle name="40% - Акцент4 3 2" xfId="133" xr:uid="{00000000-0005-0000-0000-00008A000000}"/>
    <cellStyle name="40% - Акцент4 3_Объём" xfId="134" xr:uid="{00000000-0005-0000-0000-00008B000000}"/>
    <cellStyle name="40% - Акцент4 4" xfId="135" xr:uid="{00000000-0005-0000-0000-00008C000000}"/>
    <cellStyle name="40% - Акцент5 2" xfId="136" xr:uid="{00000000-0005-0000-0000-00008D000000}"/>
    <cellStyle name="40% - Акцент5 2 2" xfId="137" xr:uid="{00000000-0005-0000-0000-00008E000000}"/>
    <cellStyle name="40% - Акцент5 3" xfId="138" xr:uid="{00000000-0005-0000-0000-00008F000000}"/>
    <cellStyle name="40% - Акцент5 3 2" xfId="139" xr:uid="{00000000-0005-0000-0000-000090000000}"/>
    <cellStyle name="40% - Акцент5 3_Объём" xfId="140" xr:uid="{00000000-0005-0000-0000-000091000000}"/>
    <cellStyle name="40% - Акцент5 4" xfId="141" xr:uid="{00000000-0005-0000-0000-000092000000}"/>
    <cellStyle name="40% - Акцент6 2" xfId="142" xr:uid="{00000000-0005-0000-0000-000093000000}"/>
    <cellStyle name="40% - Акцент6 2 2" xfId="143" xr:uid="{00000000-0005-0000-0000-000094000000}"/>
    <cellStyle name="40% - Акцент6 3" xfId="144" xr:uid="{00000000-0005-0000-0000-000095000000}"/>
    <cellStyle name="40% - Акцент6 3 2" xfId="145" xr:uid="{00000000-0005-0000-0000-000096000000}"/>
    <cellStyle name="40% - Акцент6 3_Объём" xfId="146" xr:uid="{00000000-0005-0000-0000-000097000000}"/>
    <cellStyle name="40% - Акцент6 4" xfId="147" xr:uid="{00000000-0005-0000-0000-000098000000}"/>
    <cellStyle name="60% - Accent1" xfId="148" xr:uid="{00000000-0005-0000-0000-000099000000}"/>
    <cellStyle name="60% - Accent1 2" xfId="149" xr:uid="{00000000-0005-0000-0000-00009A000000}"/>
    <cellStyle name="60% - Accent1 3" xfId="150" xr:uid="{00000000-0005-0000-0000-00009B000000}"/>
    <cellStyle name="60% - Accent2" xfId="151" xr:uid="{00000000-0005-0000-0000-00009C000000}"/>
    <cellStyle name="60% - Accent2 2" xfId="152" xr:uid="{00000000-0005-0000-0000-00009D000000}"/>
    <cellStyle name="60% - Accent2 3" xfId="153" xr:uid="{00000000-0005-0000-0000-00009E000000}"/>
    <cellStyle name="60% - Accent3" xfId="154" xr:uid="{00000000-0005-0000-0000-00009F000000}"/>
    <cellStyle name="60% - Accent3 2" xfId="155" xr:uid="{00000000-0005-0000-0000-0000A0000000}"/>
    <cellStyle name="60% - Accent3 3" xfId="156" xr:uid="{00000000-0005-0000-0000-0000A1000000}"/>
    <cellStyle name="60% - Accent4" xfId="157" xr:uid="{00000000-0005-0000-0000-0000A2000000}"/>
    <cellStyle name="60% - Accent4 2" xfId="158" xr:uid="{00000000-0005-0000-0000-0000A3000000}"/>
    <cellStyle name="60% - Accent4 3" xfId="159" xr:uid="{00000000-0005-0000-0000-0000A4000000}"/>
    <cellStyle name="60% - Accent5" xfId="160" xr:uid="{00000000-0005-0000-0000-0000A5000000}"/>
    <cellStyle name="60% - Accent5 2" xfId="161" xr:uid="{00000000-0005-0000-0000-0000A6000000}"/>
    <cellStyle name="60% - Accent5 3" xfId="162" xr:uid="{00000000-0005-0000-0000-0000A7000000}"/>
    <cellStyle name="60% - Accent6" xfId="163" xr:uid="{00000000-0005-0000-0000-0000A8000000}"/>
    <cellStyle name="60% - Accent6 2" xfId="164" xr:uid="{00000000-0005-0000-0000-0000A9000000}"/>
    <cellStyle name="60% - Accent6 3" xfId="165" xr:uid="{00000000-0005-0000-0000-0000AA000000}"/>
    <cellStyle name="60% - Ênfase1" xfId="172" xr:uid="{00000000-0005-0000-0000-0000B1000000}"/>
    <cellStyle name="60% - Ênfase2" xfId="173" xr:uid="{00000000-0005-0000-0000-0000B2000000}"/>
    <cellStyle name="60% - Ênfase3" xfId="174" xr:uid="{00000000-0005-0000-0000-0000B3000000}"/>
    <cellStyle name="60% - Ênfase4" xfId="175" xr:uid="{00000000-0005-0000-0000-0000B4000000}"/>
    <cellStyle name="60% - Ênfase5" xfId="176" xr:uid="{00000000-0005-0000-0000-0000B5000000}"/>
    <cellStyle name="60% - Ênfase6" xfId="177" xr:uid="{00000000-0005-0000-0000-0000B6000000}"/>
    <cellStyle name="60% - Énfasis1" xfId="166" xr:uid="{00000000-0005-0000-0000-0000AB000000}"/>
    <cellStyle name="60% - Énfasis2" xfId="167" xr:uid="{00000000-0005-0000-0000-0000AC000000}"/>
    <cellStyle name="60% - Énfasis3" xfId="168" xr:uid="{00000000-0005-0000-0000-0000AD000000}"/>
    <cellStyle name="60% - Énfasis4" xfId="169" xr:uid="{00000000-0005-0000-0000-0000AE000000}"/>
    <cellStyle name="60% - Énfasis5" xfId="170" xr:uid="{00000000-0005-0000-0000-0000AF000000}"/>
    <cellStyle name="60% - Énfasis6" xfId="171" xr:uid="{00000000-0005-0000-0000-0000B0000000}"/>
    <cellStyle name="60% - Акцент1 2" xfId="178" xr:uid="{00000000-0005-0000-0000-0000B7000000}"/>
    <cellStyle name="60% - Акцент1 2 2" xfId="179" xr:uid="{00000000-0005-0000-0000-0000B8000000}"/>
    <cellStyle name="60% - Акцент1 3" xfId="180" xr:uid="{00000000-0005-0000-0000-0000B9000000}"/>
    <cellStyle name="60% - Акцент1 4" xfId="181" xr:uid="{00000000-0005-0000-0000-0000BA000000}"/>
    <cellStyle name="60% - Акцент2 2" xfId="182" xr:uid="{00000000-0005-0000-0000-0000BB000000}"/>
    <cellStyle name="60% - Акцент2 2 2" xfId="183" xr:uid="{00000000-0005-0000-0000-0000BC000000}"/>
    <cellStyle name="60% - Акцент2 3" xfId="184" xr:uid="{00000000-0005-0000-0000-0000BD000000}"/>
    <cellStyle name="60% - Акцент2 4" xfId="185" xr:uid="{00000000-0005-0000-0000-0000BE000000}"/>
    <cellStyle name="60% - Акцент3 2" xfId="186" xr:uid="{00000000-0005-0000-0000-0000BF000000}"/>
    <cellStyle name="60% - Акцент3 2 2" xfId="187" xr:uid="{00000000-0005-0000-0000-0000C0000000}"/>
    <cellStyle name="60% - Акцент3 3" xfId="188" xr:uid="{00000000-0005-0000-0000-0000C1000000}"/>
    <cellStyle name="60% - Акцент3 4" xfId="189" xr:uid="{00000000-0005-0000-0000-0000C2000000}"/>
    <cellStyle name="60% - Акцент4 2" xfId="190" xr:uid="{00000000-0005-0000-0000-0000C3000000}"/>
    <cellStyle name="60% - Акцент4 2 2" xfId="191" xr:uid="{00000000-0005-0000-0000-0000C4000000}"/>
    <cellStyle name="60% - Акцент4 3" xfId="192" xr:uid="{00000000-0005-0000-0000-0000C5000000}"/>
    <cellStyle name="60% - Акцент4 4" xfId="193" xr:uid="{00000000-0005-0000-0000-0000C6000000}"/>
    <cellStyle name="60% - Акцент5 2" xfId="194" xr:uid="{00000000-0005-0000-0000-0000C7000000}"/>
    <cellStyle name="60% - Акцент5 2 2" xfId="195" xr:uid="{00000000-0005-0000-0000-0000C8000000}"/>
    <cellStyle name="60% - Акцент5 3" xfId="196" xr:uid="{00000000-0005-0000-0000-0000C9000000}"/>
    <cellStyle name="60% - Акцент5 4" xfId="197" xr:uid="{00000000-0005-0000-0000-0000CA000000}"/>
    <cellStyle name="60% - Акцент6 2" xfId="198" xr:uid="{00000000-0005-0000-0000-0000CB000000}"/>
    <cellStyle name="60% - Акцент6 2 2" xfId="199" xr:uid="{00000000-0005-0000-0000-0000CC000000}"/>
    <cellStyle name="60% - Акцент6 3" xfId="200" xr:uid="{00000000-0005-0000-0000-0000CD000000}"/>
    <cellStyle name="60% - Акцент6 4" xfId="201" xr:uid="{00000000-0005-0000-0000-0000CE000000}"/>
    <cellStyle name="Accent1" xfId="766" xr:uid="{00000000-0005-0000-0000-000003030000}"/>
    <cellStyle name="Accent1 - 20%" xfId="767" xr:uid="{00000000-0005-0000-0000-000004030000}"/>
    <cellStyle name="Accent1 - 20% 2" xfId="768" xr:uid="{00000000-0005-0000-0000-000005030000}"/>
    <cellStyle name="Accent1 - 20% 3" xfId="769" xr:uid="{00000000-0005-0000-0000-000006030000}"/>
    <cellStyle name="Accent1 - 20% 4" xfId="770" xr:uid="{00000000-0005-0000-0000-000007030000}"/>
    <cellStyle name="Accent1 - 20% 5" xfId="771" xr:uid="{00000000-0005-0000-0000-000008030000}"/>
    <cellStyle name="Accent1 - 40%" xfId="772" xr:uid="{00000000-0005-0000-0000-000009030000}"/>
    <cellStyle name="Accent1 - 40% 2" xfId="773" xr:uid="{00000000-0005-0000-0000-00000A030000}"/>
    <cellStyle name="Accent1 - 40% 3" xfId="774" xr:uid="{00000000-0005-0000-0000-00000B030000}"/>
    <cellStyle name="Accent1 - 40% 4" xfId="775" xr:uid="{00000000-0005-0000-0000-00000C030000}"/>
    <cellStyle name="Accent1 - 40% 5" xfId="776" xr:uid="{00000000-0005-0000-0000-00000D030000}"/>
    <cellStyle name="Accent1 - 60%" xfId="777" xr:uid="{00000000-0005-0000-0000-00000E030000}"/>
    <cellStyle name="Accent1 - 60% 2" xfId="778" xr:uid="{00000000-0005-0000-0000-00000F030000}"/>
    <cellStyle name="Accent1 - 60% 3" xfId="779" xr:uid="{00000000-0005-0000-0000-000010030000}"/>
    <cellStyle name="Accent1 - 60% 4" xfId="780" xr:uid="{00000000-0005-0000-0000-000011030000}"/>
    <cellStyle name="Accent1 - 60% 5" xfId="781" xr:uid="{00000000-0005-0000-0000-000012030000}"/>
    <cellStyle name="Accent1 10" xfId="782" xr:uid="{00000000-0005-0000-0000-000013030000}"/>
    <cellStyle name="Accent1 11" xfId="783" xr:uid="{00000000-0005-0000-0000-000014030000}"/>
    <cellStyle name="Accent1 12" xfId="784" xr:uid="{00000000-0005-0000-0000-000015030000}"/>
    <cellStyle name="Accent1 13" xfId="785" xr:uid="{00000000-0005-0000-0000-000016030000}"/>
    <cellStyle name="Accent1 14" xfId="786" xr:uid="{00000000-0005-0000-0000-000017030000}"/>
    <cellStyle name="Accent1 15" xfId="787" xr:uid="{00000000-0005-0000-0000-000018030000}"/>
    <cellStyle name="Accent1 16" xfId="788" xr:uid="{00000000-0005-0000-0000-000019030000}"/>
    <cellStyle name="Accent1 2" xfId="789" xr:uid="{00000000-0005-0000-0000-00001A030000}"/>
    <cellStyle name="Accent1 2 2" xfId="790" xr:uid="{00000000-0005-0000-0000-00001B030000}"/>
    <cellStyle name="Accent1 3" xfId="791" xr:uid="{00000000-0005-0000-0000-00001C030000}"/>
    <cellStyle name="Accent1 3 2" xfId="792" xr:uid="{00000000-0005-0000-0000-00001D030000}"/>
    <cellStyle name="Accent1 4" xfId="793" xr:uid="{00000000-0005-0000-0000-00001E030000}"/>
    <cellStyle name="Accent1 5" xfId="794" xr:uid="{00000000-0005-0000-0000-00001F030000}"/>
    <cellStyle name="Accent1 6" xfId="795" xr:uid="{00000000-0005-0000-0000-000020030000}"/>
    <cellStyle name="Accent1 7" xfId="796" xr:uid="{00000000-0005-0000-0000-000021030000}"/>
    <cellStyle name="Accent1 8" xfId="797" xr:uid="{00000000-0005-0000-0000-000022030000}"/>
    <cellStyle name="Accent1 9" xfId="798" xr:uid="{00000000-0005-0000-0000-000023030000}"/>
    <cellStyle name="Accent2" xfId="799" xr:uid="{00000000-0005-0000-0000-000024030000}"/>
    <cellStyle name="Accent2 - 20%" xfId="800" xr:uid="{00000000-0005-0000-0000-000025030000}"/>
    <cellStyle name="Accent2 - 20% 2" xfId="801" xr:uid="{00000000-0005-0000-0000-000026030000}"/>
    <cellStyle name="Accent2 - 20% 3" xfId="802" xr:uid="{00000000-0005-0000-0000-000027030000}"/>
    <cellStyle name="Accent2 - 20% 4" xfId="803" xr:uid="{00000000-0005-0000-0000-000028030000}"/>
    <cellStyle name="Accent2 - 20% 5" xfId="804" xr:uid="{00000000-0005-0000-0000-000029030000}"/>
    <cellStyle name="Accent2 - 40%" xfId="805" xr:uid="{00000000-0005-0000-0000-00002A030000}"/>
    <cellStyle name="Accent2 - 40% 2" xfId="806" xr:uid="{00000000-0005-0000-0000-00002B030000}"/>
    <cellStyle name="Accent2 - 40% 3" xfId="807" xr:uid="{00000000-0005-0000-0000-00002C030000}"/>
    <cellStyle name="Accent2 - 40% 4" xfId="808" xr:uid="{00000000-0005-0000-0000-00002D030000}"/>
    <cellStyle name="Accent2 - 40% 5" xfId="809" xr:uid="{00000000-0005-0000-0000-00002E030000}"/>
    <cellStyle name="Accent2 - 60%" xfId="810" xr:uid="{00000000-0005-0000-0000-00002F030000}"/>
    <cellStyle name="Accent2 - 60% 2" xfId="811" xr:uid="{00000000-0005-0000-0000-000030030000}"/>
    <cellStyle name="Accent2 - 60% 3" xfId="812" xr:uid="{00000000-0005-0000-0000-000031030000}"/>
    <cellStyle name="Accent2 - 60% 4" xfId="813" xr:uid="{00000000-0005-0000-0000-000032030000}"/>
    <cellStyle name="Accent2 - 60% 5" xfId="814" xr:uid="{00000000-0005-0000-0000-000033030000}"/>
    <cellStyle name="Accent2 10" xfId="815" xr:uid="{00000000-0005-0000-0000-000034030000}"/>
    <cellStyle name="Accent2 11" xfId="816" xr:uid="{00000000-0005-0000-0000-000035030000}"/>
    <cellStyle name="Accent2 12" xfId="817" xr:uid="{00000000-0005-0000-0000-000036030000}"/>
    <cellStyle name="Accent2 13" xfId="818" xr:uid="{00000000-0005-0000-0000-000037030000}"/>
    <cellStyle name="Accent2 14" xfId="819" xr:uid="{00000000-0005-0000-0000-000038030000}"/>
    <cellStyle name="Accent2 15" xfId="820" xr:uid="{00000000-0005-0000-0000-000039030000}"/>
    <cellStyle name="Accent2 16" xfId="821" xr:uid="{00000000-0005-0000-0000-00003A030000}"/>
    <cellStyle name="Accent2 2" xfId="822" xr:uid="{00000000-0005-0000-0000-00003B030000}"/>
    <cellStyle name="Accent2 2 2" xfId="823" xr:uid="{00000000-0005-0000-0000-00003C030000}"/>
    <cellStyle name="Accent2 3" xfId="824" xr:uid="{00000000-0005-0000-0000-00003D030000}"/>
    <cellStyle name="Accent2 3 2" xfId="825" xr:uid="{00000000-0005-0000-0000-00003E030000}"/>
    <cellStyle name="Accent2 4" xfId="826" xr:uid="{00000000-0005-0000-0000-00003F030000}"/>
    <cellStyle name="Accent2 5" xfId="827" xr:uid="{00000000-0005-0000-0000-000040030000}"/>
    <cellStyle name="Accent2 6" xfId="828" xr:uid="{00000000-0005-0000-0000-000041030000}"/>
    <cellStyle name="Accent2 7" xfId="829" xr:uid="{00000000-0005-0000-0000-000042030000}"/>
    <cellStyle name="Accent2 8" xfId="830" xr:uid="{00000000-0005-0000-0000-000043030000}"/>
    <cellStyle name="Accent2 9" xfId="831" xr:uid="{00000000-0005-0000-0000-000044030000}"/>
    <cellStyle name="Accent3" xfId="832" xr:uid="{00000000-0005-0000-0000-000045030000}"/>
    <cellStyle name="Accent3 - 20%" xfId="833" xr:uid="{00000000-0005-0000-0000-000046030000}"/>
    <cellStyle name="Accent3 - 20% 2" xfId="834" xr:uid="{00000000-0005-0000-0000-000047030000}"/>
    <cellStyle name="Accent3 - 20% 3" xfId="835" xr:uid="{00000000-0005-0000-0000-000048030000}"/>
    <cellStyle name="Accent3 - 20% 4" xfId="836" xr:uid="{00000000-0005-0000-0000-000049030000}"/>
    <cellStyle name="Accent3 - 20% 5" xfId="837" xr:uid="{00000000-0005-0000-0000-00004A030000}"/>
    <cellStyle name="Accent3 - 40%" xfId="838" xr:uid="{00000000-0005-0000-0000-00004B030000}"/>
    <cellStyle name="Accent3 - 40% 2" xfId="839" xr:uid="{00000000-0005-0000-0000-00004C030000}"/>
    <cellStyle name="Accent3 - 40% 3" xfId="840" xr:uid="{00000000-0005-0000-0000-00004D030000}"/>
    <cellStyle name="Accent3 - 40% 4" xfId="841" xr:uid="{00000000-0005-0000-0000-00004E030000}"/>
    <cellStyle name="Accent3 - 40% 5" xfId="842" xr:uid="{00000000-0005-0000-0000-00004F030000}"/>
    <cellStyle name="Accent3 - 60%" xfId="843" xr:uid="{00000000-0005-0000-0000-000050030000}"/>
    <cellStyle name="Accent3 - 60% 2" xfId="844" xr:uid="{00000000-0005-0000-0000-000051030000}"/>
    <cellStyle name="Accent3 - 60% 3" xfId="845" xr:uid="{00000000-0005-0000-0000-000052030000}"/>
    <cellStyle name="Accent3 - 60% 4" xfId="846" xr:uid="{00000000-0005-0000-0000-000053030000}"/>
    <cellStyle name="Accent3 - 60% 5" xfId="847" xr:uid="{00000000-0005-0000-0000-000054030000}"/>
    <cellStyle name="Accent3 10" xfId="848" xr:uid="{00000000-0005-0000-0000-000055030000}"/>
    <cellStyle name="Accent3 11" xfId="849" xr:uid="{00000000-0005-0000-0000-000056030000}"/>
    <cellStyle name="Accent3 12" xfId="850" xr:uid="{00000000-0005-0000-0000-000057030000}"/>
    <cellStyle name="Accent3 13" xfId="851" xr:uid="{00000000-0005-0000-0000-000058030000}"/>
    <cellStyle name="Accent3 14" xfId="852" xr:uid="{00000000-0005-0000-0000-000059030000}"/>
    <cellStyle name="Accent3 15" xfId="853" xr:uid="{00000000-0005-0000-0000-00005A030000}"/>
    <cellStyle name="Accent3 16" xfId="854" xr:uid="{00000000-0005-0000-0000-00005B030000}"/>
    <cellStyle name="Accent3 2" xfId="855" xr:uid="{00000000-0005-0000-0000-00005C030000}"/>
    <cellStyle name="Accent3 2 2" xfId="856" xr:uid="{00000000-0005-0000-0000-00005D030000}"/>
    <cellStyle name="Accent3 3" xfId="857" xr:uid="{00000000-0005-0000-0000-00005E030000}"/>
    <cellStyle name="Accent3 3 2" xfId="858" xr:uid="{00000000-0005-0000-0000-00005F030000}"/>
    <cellStyle name="Accent3 4" xfId="859" xr:uid="{00000000-0005-0000-0000-000060030000}"/>
    <cellStyle name="Accent3 5" xfId="860" xr:uid="{00000000-0005-0000-0000-000061030000}"/>
    <cellStyle name="Accent3 6" xfId="861" xr:uid="{00000000-0005-0000-0000-000062030000}"/>
    <cellStyle name="Accent3 7" xfId="862" xr:uid="{00000000-0005-0000-0000-000063030000}"/>
    <cellStyle name="Accent3 8" xfId="863" xr:uid="{00000000-0005-0000-0000-000064030000}"/>
    <cellStyle name="Accent3 9" xfId="864" xr:uid="{00000000-0005-0000-0000-000065030000}"/>
    <cellStyle name="Accent4" xfId="865" xr:uid="{00000000-0005-0000-0000-000066030000}"/>
    <cellStyle name="Accent4 - 20%" xfId="866" xr:uid="{00000000-0005-0000-0000-000067030000}"/>
    <cellStyle name="Accent4 - 20% 2" xfId="867" xr:uid="{00000000-0005-0000-0000-000068030000}"/>
    <cellStyle name="Accent4 - 20% 3" xfId="868" xr:uid="{00000000-0005-0000-0000-000069030000}"/>
    <cellStyle name="Accent4 - 20% 4" xfId="869" xr:uid="{00000000-0005-0000-0000-00006A030000}"/>
    <cellStyle name="Accent4 - 20% 5" xfId="870" xr:uid="{00000000-0005-0000-0000-00006B030000}"/>
    <cellStyle name="Accent4 - 40%" xfId="871" xr:uid="{00000000-0005-0000-0000-00006C030000}"/>
    <cellStyle name="Accent4 - 40% 2" xfId="872" xr:uid="{00000000-0005-0000-0000-00006D030000}"/>
    <cellStyle name="Accent4 - 40% 3" xfId="873" xr:uid="{00000000-0005-0000-0000-00006E030000}"/>
    <cellStyle name="Accent4 - 40% 4" xfId="874" xr:uid="{00000000-0005-0000-0000-00006F030000}"/>
    <cellStyle name="Accent4 - 40% 5" xfId="875" xr:uid="{00000000-0005-0000-0000-000070030000}"/>
    <cellStyle name="Accent4 - 60%" xfId="876" xr:uid="{00000000-0005-0000-0000-000071030000}"/>
    <cellStyle name="Accent4 - 60% 2" xfId="877" xr:uid="{00000000-0005-0000-0000-000072030000}"/>
    <cellStyle name="Accent4 - 60% 3" xfId="878" xr:uid="{00000000-0005-0000-0000-000073030000}"/>
    <cellStyle name="Accent4 - 60% 4" xfId="879" xr:uid="{00000000-0005-0000-0000-000074030000}"/>
    <cellStyle name="Accent4 - 60% 5" xfId="880" xr:uid="{00000000-0005-0000-0000-000075030000}"/>
    <cellStyle name="Accent4 10" xfId="881" xr:uid="{00000000-0005-0000-0000-000076030000}"/>
    <cellStyle name="Accent4 11" xfId="882" xr:uid="{00000000-0005-0000-0000-000077030000}"/>
    <cellStyle name="Accent4 12" xfId="883" xr:uid="{00000000-0005-0000-0000-000078030000}"/>
    <cellStyle name="Accent4 13" xfId="884" xr:uid="{00000000-0005-0000-0000-000079030000}"/>
    <cellStyle name="Accent4 14" xfId="885" xr:uid="{00000000-0005-0000-0000-00007A030000}"/>
    <cellStyle name="Accent4 15" xfId="886" xr:uid="{00000000-0005-0000-0000-00007B030000}"/>
    <cellStyle name="Accent4 16" xfId="887" xr:uid="{00000000-0005-0000-0000-00007C030000}"/>
    <cellStyle name="Accent4 2" xfId="888" xr:uid="{00000000-0005-0000-0000-00007D030000}"/>
    <cellStyle name="Accent4 2 2" xfId="889" xr:uid="{00000000-0005-0000-0000-00007E030000}"/>
    <cellStyle name="Accent4 3" xfId="890" xr:uid="{00000000-0005-0000-0000-00007F030000}"/>
    <cellStyle name="Accent4 3 2" xfId="891" xr:uid="{00000000-0005-0000-0000-000080030000}"/>
    <cellStyle name="Accent4 4" xfId="892" xr:uid="{00000000-0005-0000-0000-000081030000}"/>
    <cellStyle name="Accent4 5" xfId="893" xr:uid="{00000000-0005-0000-0000-000082030000}"/>
    <cellStyle name="Accent4 6" xfId="894" xr:uid="{00000000-0005-0000-0000-000083030000}"/>
    <cellStyle name="Accent4 7" xfId="895" xr:uid="{00000000-0005-0000-0000-000084030000}"/>
    <cellStyle name="Accent4 8" xfId="896" xr:uid="{00000000-0005-0000-0000-000085030000}"/>
    <cellStyle name="Accent4 9" xfId="897" xr:uid="{00000000-0005-0000-0000-000086030000}"/>
    <cellStyle name="Accent5" xfId="898" xr:uid="{00000000-0005-0000-0000-000087030000}"/>
    <cellStyle name="Accent5 - 20%" xfId="899" xr:uid="{00000000-0005-0000-0000-000088030000}"/>
    <cellStyle name="Accent5 - 20% 2" xfId="900" xr:uid="{00000000-0005-0000-0000-000089030000}"/>
    <cellStyle name="Accent5 - 20% 3" xfId="901" xr:uid="{00000000-0005-0000-0000-00008A030000}"/>
    <cellStyle name="Accent5 - 20% 4" xfId="902" xr:uid="{00000000-0005-0000-0000-00008B030000}"/>
    <cellStyle name="Accent5 - 20% 5" xfId="903" xr:uid="{00000000-0005-0000-0000-00008C030000}"/>
    <cellStyle name="Accent5 - 40%" xfId="904" xr:uid="{00000000-0005-0000-0000-00008D030000}"/>
    <cellStyle name="Accent5 - 40% 2" xfId="905" xr:uid="{00000000-0005-0000-0000-00008E030000}"/>
    <cellStyle name="Accent5 - 40% 3" xfId="906" xr:uid="{00000000-0005-0000-0000-00008F030000}"/>
    <cellStyle name="Accent5 - 40% 4" xfId="907" xr:uid="{00000000-0005-0000-0000-000090030000}"/>
    <cellStyle name="Accent5 - 40% 5" xfId="908" xr:uid="{00000000-0005-0000-0000-000091030000}"/>
    <cellStyle name="Accent5 - 60%" xfId="909" xr:uid="{00000000-0005-0000-0000-000092030000}"/>
    <cellStyle name="Accent5 - 60% 2" xfId="910" xr:uid="{00000000-0005-0000-0000-000093030000}"/>
    <cellStyle name="Accent5 - 60% 3" xfId="911" xr:uid="{00000000-0005-0000-0000-000094030000}"/>
    <cellStyle name="Accent5 - 60% 4" xfId="912" xr:uid="{00000000-0005-0000-0000-000095030000}"/>
    <cellStyle name="Accent5 - 60% 5" xfId="913" xr:uid="{00000000-0005-0000-0000-000096030000}"/>
    <cellStyle name="Accent5 10" xfId="914" xr:uid="{00000000-0005-0000-0000-000097030000}"/>
    <cellStyle name="Accent5 11" xfId="915" xr:uid="{00000000-0005-0000-0000-000098030000}"/>
    <cellStyle name="Accent5 12" xfId="916" xr:uid="{00000000-0005-0000-0000-000099030000}"/>
    <cellStyle name="Accent5 13" xfId="917" xr:uid="{00000000-0005-0000-0000-00009A030000}"/>
    <cellStyle name="Accent5 14" xfId="918" xr:uid="{00000000-0005-0000-0000-00009B030000}"/>
    <cellStyle name="Accent5 15" xfId="919" xr:uid="{00000000-0005-0000-0000-00009C030000}"/>
    <cellStyle name="Accent5 16" xfId="920" xr:uid="{00000000-0005-0000-0000-00009D030000}"/>
    <cellStyle name="Accent5 2" xfId="921" xr:uid="{00000000-0005-0000-0000-00009E030000}"/>
    <cellStyle name="Accent5 2 2" xfId="922" xr:uid="{00000000-0005-0000-0000-00009F030000}"/>
    <cellStyle name="Accent5 3" xfId="923" xr:uid="{00000000-0005-0000-0000-0000A0030000}"/>
    <cellStyle name="Accent5 3 2" xfId="924" xr:uid="{00000000-0005-0000-0000-0000A1030000}"/>
    <cellStyle name="Accent5 4" xfId="925" xr:uid="{00000000-0005-0000-0000-0000A2030000}"/>
    <cellStyle name="Accent5 5" xfId="926" xr:uid="{00000000-0005-0000-0000-0000A3030000}"/>
    <cellStyle name="Accent5 6" xfId="927" xr:uid="{00000000-0005-0000-0000-0000A4030000}"/>
    <cellStyle name="Accent5 7" xfId="928" xr:uid="{00000000-0005-0000-0000-0000A5030000}"/>
    <cellStyle name="Accent5 8" xfId="929" xr:uid="{00000000-0005-0000-0000-0000A6030000}"/>
    <cellStyle name="Accent5 9" xfId="930" xr:uid="{00000000-0005-0000-0000-0000A7030000}"/>
    <cellStyle name="Accent6" xfId="931" xr:uid="{00000000-0005-0000-0000-0000A8030000}"/>
    <cellStyle name="Accent6 - 20%" xfId="932" xr:uid="{00000000-0005-0000-0000-0000A9030000}"/>
    <cellStyle name="Accent6 - 20% 2" xfId="933" xr:uid="{00000000-0005-0000-0000-0000AA030000}"/>
    <cellStyle name="Accent6 - 20% 3" xfId="934" xr:uid="{00000000-0005-0000-0000-0000AB030000}"/>
    <cellStyle name="Accent6 - 20% 4" xfId="935" xr:uid="{00000000-0005-0000-0000-0000AC030000}"/>
    <cellStyle name="Accent6 - 20% 5" xfId="936" xr:uid="{00000000-0005-0000-0000-0000AD030000}"/>
    <cellStyle name="Accent6 - 40%" xfId="937" xr:uid="{00000000-0005-0000-0000-0000AE030000}"/>
    <cellStyle name="Accent6 - 40% 2" xfId="938" xr:uid="{00000000-0005-0000-0000-0000AF030000}"/>
    <cellStyle name="Accent6 - 40% 3" xfId="939" xr:uid="{00000000-0005-0000-0000-0000B0030000}"/>
    <cellStyle name="Accent6 - 40% 4" xfId="940" xr:uid="{00000000-0005-0000-0000-0000B1030000}"/>
    <cellStyle name="Accent6 - 40% 5" xfId="941" xr:uid="{00000000-0005-0000-0000-0000B2030000}"/>
    <cellStyle name="Accent6 - 60%" xfId="942" xr:uid="{00000000-0005-0000-0000-0000B3030000}"/>
    <cellStyle name="Accent6 - 60% 2" xfId="943" xr:uid="{00000000-0005-0000-0000-0000B4030000}"/>
    <cellStyle name="Accent6 - 60% 3" xfId="944" xr:uid="{00000000-0005-0000-0000-0000B5030000}"/>
    <cellStyle name="Accent6 - 60% 4" xfId="945" xr:uid="{00000000-0005-0000-0000-0000B6030000}"/>
    <cellStyle name="Accent6 - 60% 5" xfId="946" xr:uid="{00000000-0005-0000-0000-0000B7030000}"/>
    <cellStyle name="Accent6 10" xfId="947" xr:uid="{00000000-0005-0000-0000-0000B8030000}"/>
    <cellStyle name="Accent6 11" xfId="948" xr:uid="{00000000-0005-0000-0000-0000B9030000}"/>
    <cellStyle name="Accent6 12" xfId="949" xr:uid="{00000000-0005-0000-0000-0000BA030000}"/>
    <cellStyle name="Accent6 13" xfId="950" xr:uid="{00000000-0005-0000-0000-0000BB030000}"/>
    <cellStyle name="Accent6 14" xfId="951" xr:uid="{00000000-0005-0000-0000-0000BC030000}"/>
    <cellStyle name="Accent6 15" xfId="952" xr:uid="{00000000-0005-0000-0000-0000BD030000}"/>
    <cellStyle name="Accent6 16" xfId="953" xr:uid="{00000000-0005-0000-0000-0000BE030000}"/>
    <cellStyle name="Accent6 2" xfId="954" xr:uid="{00000000-0005-0000-0000-0000BF030000}"/>
    <cellStyle name="Accent6 2 2" xfId="955" xr:uid="{00000000-0005-0000-0000-0000C0030000}"/>
    <cellStyle name="Accent6 3" xfId="956" xr:uid="{00000000-0005-0000-0000-0000C1030000}"/>
    <cellStyle name="Accent6 3 2" xfId="957" xr:uid="{00000000-0005-0000-0000-0000C2030000}"/>
    <cellStyle name="Accent6 4" xfId="958" xr:uid="{00000000-0005-0000-0000-0000C3030000}"/>
    <cellStyle name="Accent6 5" xfId="959" xr:uid="{00000000-0005-0000-0000-0000C4030000}"/>
    <cellStyle name="Accent6 6" xfId="960" xr:uid="{00000000-0005-0000-0000-0000C5030000}"/>
    <cellStyle name="Accent6 7" xfId="961" xr:uid="{00000000-0005-0000-0000-0000C6030000}"/>
    <cellStyle name="Accent6 8" xfId="962" xr:uid="{00000000-0005-0000-0000-0000C7030000}"/>
    <cellStyle name="Accent6 9" xfId="963" xr:uid="{00000000-0005-0000-0000-0000C8030000}"/>
    <cellStyle name="Aeia?nnueea" xfId="964" xr:uid="{00000000-0005-0000-0000-0000C9030000}"/>
    <cellStyle name="Aeia?nnueea 2" xfId="965" xr:uid="{00000000-0005-0000-0000-0000CA030000}"/>
    <cellStyle name="Aeia?nnueea 3" xfId="966" xr:uid="{00000000-0005-0000-0000-0000CB030000}"/>
    <cellStyle name="Aeia?nnueea 4" xfId="967" xr:uid="{00000000-0005-0000-0000-0000CC030000}"/>
    <cellStyle name="Aeia?nnueea 5" xfId="968" xr:uid="{00000000-0005-0000-0000-0000CD030000}"/>
    <cellStyle name="Aeia?nnueea 6" xfId="969" xr:uid="{00000000-0005-0000-0000-0000CE030000}"/>
    <cellStyle name="ANCLAS,REZONES Y SUS PARTES,DE FUNDICION,DE HIERRO O DE ACERO" xfId="970" xr:uid="{00000000-0005-0000-0000-0000CF030000}"/>
    <cellStyle name="Availability" xfId="971" xr:uid="{00000000-0005-0000-0000-0000D0030000}"/>
    <cellStyle name="Bad 1" xfId="972" xr:uid="{00000000-0005-0000-0000-0000D1030000}"/>
    <cellStyle name="Bad 2" xfId="973" xr:uid="{00000000-0005-0000-0000-0000D2030000}"/>
    <cellStyle name="Bad 2 2" xfId="974" xr:uid="{00000000-0005-0000-0000-0000D3030000}"/>
    <cellStyle name="Bad 3" xfId="975" xr:uid="{00000000-0005-0000-0000-0000D4030000}"/>
    <cellStyle name="Bad 3 2" xfId="976" xr:uid="{00000000-0005-0000-0000-0000D5030000}"/>
    <cellStyle name="Bad 4" xfId="977" xr:uid="{00000000-0005-0000-0000-0000D6030000}"/>
    <cellStyle name="Bad 4 2" xfId="978" xr:uid="{00000000-0005-0000-0000-0000D7030000}"/>
    <cellStyle name="Bad 5" xfId="979" xr:uid="{00000000-0005-0000-0000-0000D8030000}"/>
    <cellStyle name="Bad 6" xfId="980" xr:uid="{00000000-0005-0000-0000-0000D9030000}"/>
    <cellStyle name="Black Text" xfId="981" xr:uid="{00000000-0005-0000-0000-0000DA030000}"/>
    <cellStyle name="Black Text (No Wrap)" xfId="982" xr:uid="{00000000-0005-0000-0000-0000DB030000}"/>
    <cellStyle name="Black Text_Argentina" xfId="983" xr:uid="{00000000-0005-0000-0000-0000DC030000}"/>
    <cellStyle name="Blue Text" xfId="984" xr:uid="{00000000-0005-0000-0000-0000DD030000}"/>
    <cellStyle name="Blue Text - Ariel 10" xfId="985" xr:uid="{00000000-0005-0000-0000-0000DE030000}"/>
    <cellStyle name="Blue Text_Argentina" xfId="986" xr:uid="{00000000-0005-0000-0000-0000DF030000}"/>
    <cellStyle name="Bol-Data" xfId="987" xr:uid="{00000000-0005-0000-0000-0000E0030000}"/>
    <cellStyle name="bolet" xfId="988" xr:uid="{00000000-0005-0000-0000-0000E1030000}"/>
    <cellStyle name="Boletim" xfId="989" xr:uid="{00000000-0005-0000-0000-0000E2030000}"/>
    <cellStyle name="Bom" xfId="990" xr:uid="{00000000-0005-0000-0000-0000E3030000}"/>
    <cellStyle name="Buena" xfId="991" xr:uid="{00000000-0005-0000-0000-0000E4030000}"/>
    <cellStyle name="Calc Currency (0)" xfId="992" xr:uid="{00000000-0005-0000-0000-0000E5030000}"/>
    <cellStyle name="Calc Currency (0) 2" xfId="993" xr:uid="{00000000-0005-0000-0000-0000E6030000}"/>
    <cellStyle name="Calc Currency (0) 3" xfId="994" xr:uid="{00000000-0005-0000-0000-0000E7030000}"/>
    <cellStyle name="Calc Currency (0) 4" xfId="995" xr:uid="{00000000-0005-0000-0000-0000E8030000}"/>
    <cellStyle name="Calc Currency (0) 5" xfId="996" xr:uid="{00000000-0005-0000-0000-0000E9030000}"/>
    <cellStyle name="Calc Currency (2)" xfId="997" xr:uid="{00000000-0005-0000-0000-0000EA030000}"/>
    <cellStyle name="Calc Currency (2) 2" xfId="998" xr:uid="{00000000-0005-0000-0000-0000EB030000}"/>
    <cellStyle name="Calc Currency (2) 3" xfId="999" xr:uid="{00000000-0005-0000-0000-0000EC030000}"/>
    <cellStyle name="Calc Currency (2) 4" xfId="1000" xr:uid="{00000000-0005-0000-0000-0000ED030000}"/>
    <cellStyle name="Calc Percent (0)" xfId="1001" xr:uid="{00000000-0005-0000-0000-0000EE030000}"/>
    <cellStyle name="Calc Percent (0) 2" xfId="1002" xr:uid="{00000000-0005-0000-0000-0000EF030000}"/>
    <cellStyle name="Calc Percent (0) 3" xfId="1003" xr:uid="{00000000-0005-0000-0000-0000F0030000}"/>
    <cellStyle name="Calc Percent (0) 4" xfId="1004" xr:uid="{00000000-0005-0000-0000-0000F1030000}"/>
    <cellStyle name="Calc Percent (1)" xfId="1005" xr:uid="{00000000-0005-0000-0000-0000F2030000}"/>
    <cellStyle name="Calc Percent (1) 2" xfId="1006" xr:uid="{00000000-0005-0000-0000-0000F3030000}"/>
    <cellStyle name="Calc Percent (1) 3" xfId="1007" xr:uid="{00000000-0005-0000-0000-0000F4030000}"/>
    <cellStyle name="Calc Percent (1) 4" xfId="1008" xr:uid="{00000000-0005-0000-0000-0000F5030000}"/>
    <cellStyle name="Calc Percent (2)" xfId="1009" xr:uid="{00000000-0005-0000-0000-0000F6030000}"/>
    <cellStyle name="Calc Percent (2) 2" xfId="1010" xr:uid="{00000000-0005-0000-0000-0000F7030000}"/>
    <cellStyle name="Calc Percent (2) 3" xfId="1011" xr:uid="{00000000-0005-0000-0000-0000F8030000}"/>
    <cellStyle name="Calc Percent (2) 4" xfId="1012" xr:uid="{00000000-0005-0000-0000-0000F9030000}"/>
    <cellStyle name="Calc Units (0)" xfId="1013" xr:uid="{00000000-0005-0000-0000-0000FA030000}"/>
    <cellStyle name="Calc Units (0) 2" xfId="1014" xr:uid="{00000000-0005-0000-0000-0000FB030000}"/>
    <cellStyle name="Calc Units (0) 3" xfId="1015" xr:uid="{00000000-0005-0000-0000-0000FC030000}"/>
    <cellStyle name="Calc Units (0) 4" xfId="1016" xr:uid="{00000000-0005-0000-0000-0000FD030000}"/>
    <cellStyle name="Calc Units (1)" xfId="1017" xr:uid="{00000000-0005-0000-0000-0000FE030000}"/>
    <cellStyle name="Calc Units (1) 2" xfId="1018" xr:uid="{00000000-0005-0000-0000-0000FF030000}"/>
    <cellStyle name="Calc Units (1) 3" xfId="1019" xr:uid="{00000000-0005-0000-0000-000000040000}"/>
    <cellStyle name="Calc Units (1) 4" xfId="1020" xr:uid="{00000000-0005-0000-0000-000001040000}"/>
    <cellStyle name="Calc Units (2)" xfId="1021" xr:uid="{00000000-0005-0000-0000-000002040000}"/>
    <cellStyle name="Calc Units (2) 2" xfId="1022" xr:uid="{00000000-0005-0000-0000-000003040000}"/>
    <cellStyle name="Calc Units (2) 3" xfId="1023" xr:uid="{00000000-0005-0000-0000-000004040000}"/>
    <cellStyle name="Calc Units (2) 4" xfId="1024" xr:uid="{00000000-0005-0000-0000-000005040000}"/>
    <cellStyle name="Calculation" xfId="1025" xr:uid="{00000000-0005-0000-0000-000006040000}"/>
    <cellStyle name="Calculation 10" xfId="1026" xr:uid="{00000000-0005-0000-0000-000007040000}"/>
    <cellStyle name="Calculation 10 10" xfId="1027" xr:uid="{00000000-0005-0000-0000-000008040000}"/>
    <cellStyle name="Calculation 10 10 2" xfId="1028" xr:uid="{00000000-0005-0000-0000-000009040000}"/>
    <cellStyle name="Calculation 10 11" xfId="1029" xr:uid="{00000000-0005-0000-0000-00000A040000}"/>
    <cellStyle name="Calculation 10 12" xfId="1030" xr:uid="{00000000-0005-0000-0000-00000B040000}"/>
    <cellStyle name="Calculation 10 2" xfId="1031" xr:uid="{00000000-0005-0000-0000-00000C040000}"/>
    <cellStyle name="Calculation 10 2 2" xfId="1032" xr:uid="{00000000-0005-0000-0000-00000D040000}"/>
    <cellStyle name="Calculation 10 2 3" xfId="1033" xr:uid="{00000000-0005-0000-0000-00000E040000}"/>
    <cellStyle name="Calculation 10 3" xfId="1034" xr:uid="{00000000-0005-0000-0000-00000F040000}"/>
    <cellStyle name="Calculation 10 3 2" xfId="1035" xr:uid="{00000000-0005-0000-0000-000010040000}"/>
    <cellStyle name="Calculation 10 4" xfId="1036" xr:uid="{00000000-0005-0000-0000-000011040000}"/>
    <cellStyle name="Calculation 10 4 2" xfId="1037" xr:uid="{00000000-0005-0000-0000-000012040000}"/>
    <cellStyle name="Calculation 10 5" xfId="1038" xr:uid="{00000000-0005-0000-0000-000013040000}"/>
    <cellStyle name="Calculation 10 5 2" xfId="1039" xr:uid="{00000000-0005-0000-0000-000014040000}"/>
    <cellStyle name="Calculation 10 6" xfId="1040" xr:uid="{00000000-0005-0000-0000-000015040000}"/>
    <cellStyle name="Calculation 10 6 2" xfId="1041" xr:uid="{00000000-0005-0000-0000-000016040000}"/>
    <cellStyle name="Calculation 10 7" xfId="1042" xr:uid="{00000000-0005-0000-0000-000017040000}"/>
    <cellStyle name="Calculation 10 7 2" xfId="1043" xr:uid="{00000000-0005-0000-0000-000018040000}"/>
    <cellStyle name="Calculation 10 8" xfId="1044" xr:uid="{00000000-0005-0000-0000-000019040000}"/>
    <cellStyle name="Calculation 10 8 2" xfId="1045" xr:uid="{00000000-0005-0000-0000-00001A040000}"/>
    <cellStyle name="Calculation 10 9" xfId="1046" xr:uid="{00000000-0005-0000-0000-00001B040000}"/>
    <cellStyle name="Calculation 10 9 2" xfId="1047" xr:uid="{00000000-0005-0000-0000-00001C040000}"/>
    <cellStyle name="Calculation 11" xfId="1048" xr:uid="{00000000-0005-0000-0000-00001D040000}"/>
    <cellStyle name="Calculation 11 10" xfId="1049" xr:uid="{00000000-0005-0000-0000-00001E040000}"/>
    <cellStyle name="Calculation 11 10 2" xfId="1050" xr:uid="{00000000-0005-0000-0000-00001F040000}"/>
    <cellStyle name="Calculation 11 11" xfId="1051" xr:uid="{00000000-0005-0000-0000-000020040000}"/>
    <cellStyle name="Calculation 11 12" xfId="1052" xr:uid="{00000000-0005-0000-0000-000021040000}"/>
    <cellStyle name="Calculation 11 2" xfId="1053" xr:uid="{00000000-0005-0000-0000-000022040000}"/>
    <cellStyle name="Calculation 11 2 2" xfId="1054" xr:uid="{00000000-0005-0000-0000-000023040000}"/>
    <cellStyle name="Calculation 11 3" xfId="1055" xr:uid="{00000000-0005-0000-0000-000024040000}"/>
    <cellStyle name="Calculation 11 3 2" xfId="1056" xr:uid="{00000000-0005-0000-0000-000025040000}"/>
    <cellStyle name="Calculation 11 4" xfId="1057" xr:uid="{00000000-0005-0000-0000-000026040000}"/>
    <cellStyle name="Calculation 11 4 2" xfId="1058" xr:uid="{00000000-0005-0000-0000-000027040000}"/>
    <cellStyle name="Calculation 11 5" xfId="1059" xr:uid="{00000000-0005-0000-0000-000028040000}"/>
    <cellStyle name="Calculation 11 5 2" xfId="1060" xr:uid="{00000000-0005-0000-0000-000029040000}"/>
    <cellStyle name="Calculation 11 6" xfId="1061" xr:uid="{00000000-0005-0000-0000-00002A040000}"/>
    <cellStyle name="Calculation 11 6 2" xfId="1062" xr:uid="{00000000-0005-0000-0000-00002B040000}"/>
    <cellStyle name="Calculation 11 7" xfId="1063" xr:uid="{00000000-0005-0000-0000-00002C040000}"/>
    <cellStyle name="Calculation 11 7 2" xfId="1064" xr:uid="{00000000-0005-0000-0000-00002D040000}"/>
    <cellStyle name="Calculation 11 8" xfId="1065" xr:uid="{00000000-0005-0000-0000-00002E040000}"/>
    <cellStyle name="Calculation 11 8 2" xfId="1066" xr:uid="{00000000-0005-0000-0000-00002F040000}"/>
    <cellStyle name="Calculation 11 9" xfId="1067" xr:uid="{00000000-0005-0000-0000-000030040000}"/>
    <cellStyle name="Calculation 11 9 2" xfId="1068" xr:uid="{00000000-0005-0000-0000-000031040000}"/>
    <cellStyle name="Calculation 12" xfId="1069" xr:uid="{00000000-0005-0000-0000-000032040000}"/>
    <cellStyle name="Calculation 12 10" xfId="1070" xr:uid="{00000000-0005-0000-0000-000033040000}"/>
    <cellStyle name="Calculation 12 10 2" xfId="1071" xr:uid="{00000000-0005-0000-0000-000034040000}"/>
    <cellStyle name="Calculation 12 11" xfId="1072" xr:uid="{00000000-0005-0000-0000-000035040000}"/>
    <cellStyle name="Calculation 12 2" xfId="1073" xr:uid="{00000000-0005-0000-0000-000036040000}"/>
    <cellStyle name="Calculation 12 2 2" xfId="1074" xr:uid="{00000000-0005-0000-0000-000037040000}"/>
    <cellStyle name="Calculation 12 3" xfId="1075" xr:uid="{00000000-0005-0000-0000-000038040000}"/>
    <cellStyle name="Calculation 12 3 2" xfId="1076" xr:uid="{00000000-0005-0000-0000-000039040000}"/>
    <cellStyle name="Calculation 12 4" xfId="1077" xr:uid="{00000000-0005-0000-0000-00003A040000}"/>
    <cellStyle name="Calculation 12 4 2" xfId="1078" xr:uid="{00000000-0005-0000-0000-00003B040000}"/>
    <cellStyle name="Calculation 12 5" xfId="1079" xr:uid="{00000000-0005-0000-0000-00003C040000}"/>
    <cellStyle name="Calculation 12 5 2" xfId="1080" xr:uid="{00000000-0005-0000-0000-00003D040000}"/>
    <cellStyle name="Calculation 12 6" xfId="1081" xr:uid="{00000000-0005-0000-0000-00003E040000}"/>
    <cellStyle name="Calculation 12 6 2" xfId="1082" xr:uid="{00000000-0005-0000-0000-00003F040000}"/>
    <cellStyle name="Calculation 12 7" xfId="1083" xr:uid="{00000000-0005-0000-0000-000040040000}"/>
    <cellStyle name="Calculation 12 7 2" xfId="1084" xr:uid="{00000000-0005-0000-0000-000041040000}"/>
    <cellStyle name="Calculation 12 8" xfId="1085" xr:uid="{00000000-0005-0000-0000-000042040000}"/>
    <cellStyle name="Calculation 12 8 2" xfId="1086" xr:uid="{00000000-0005-0000-0000-000043040000}"/>
    <cellStyle name="Calculation 12 9" xfId="1087" xr:uid="{00000000-0005-0000-0000-000044040000}"/>
    <cellStyle name="Calculation 12 9 2" xfId="1088" xr:uid="{00000000-0005-0000-0000-000045040000}"/>
    <cellStyle name="Calculation 13" xfId="1089" xr:uid="{00000000-0005-0000-0000-000046040000}"/>
    <cellStyle name="Calculation 13 10" xfId="1090" xr:uid="{00000000-0005-0000-0000-000047040000}"/>
    <cellStyle name="Calculation 13 10 2" xfId="1091" xr:uid="{00000000-0005-0000-0000-000048040000}"/>
    <cellStyle name="Calculation 13 11" xfId="1092" xr:uid="{00000000-0005-0000-0000-000049040000}"/>
    <cellStyle name="Calculation 13 2" xfId="1093" xr:uid="{00000000-0005-0000-0000-00004A040000}"/>
    <cellStyle name="Calculation 13 2 2" xfId="1094" xr:uid="{00000000-0005-0000-0000-00004B040000}"/>
    <cellStyle name="Calculation 13 3" xfId="1095" xr:uid="{00000000-0005-0000-0000-00004C040000}"/>
    <cellStyle name="Calculation 13 3 2" xfId="1096" xr:uid="{00000000-0005-0000-0000-00004D040000}"/>
    <cellStyle name="Calculation 13 4" xfId="1097" xr:uid="{00000000-0005-0000-0000-00004E040000}"/>
    <cellStyle name="Calculation 13 4 2" xfId="1098" xr:uid="{00000000-0005-0000-0000-00004F040000}"/>
    <cellStyle name="Calculation 13 5" xfId="1099" xr:uid="{00000000-0005-0000-0000-000050040000}"/>
    <cellStyle name="Calculation 13 5 2" xfId="1100" xr:uid="{00000000-0005-0000-0000-000051040000}"/>
    <cellStyle name="Calculation 13 6" xfId="1101" xr:uid="{00000000-0005-0000-0000-000052040000}"/>
    <cellStyle name="Calculation 13 6 2" xfId="1102" xr:uid="{00000000-0005-0000-0000-000053040000}"/>
    <cellStyle name="Calculation 13 7" xfId="1103" xr:uid="{00000000-0005-0000-0000-000054040000}"/>
    <cellStyle name="Calculation 13 7 2" xfId="1104" xr:uid="{00000000-0005-0000-0000-000055040000}"/>
    <cellStyle name="Calculation 13 8" xfId="1105" xr:uid="{00000000-0005-0000-0000-000056040000}"/>
    <cellStyle name="Calculation 13 8 2" xfId="1106" xr:uid="{00000000-0005-0000-0000-000057040000}"/>
    <cellStyle name="Calculation 13 9" xfId="1107" xr:uid="{00000000-0005-0000-0000-000058040000}"/>
    <cellStyle name="Calculation 13 9 2" xfId="1108" xr:uid="{00000000-0005-0000-0000-000059040000}"/>
    <cellStyle name="Calculation 14" xfId="1109" xr:uid="{00000000-0005-0000-0000-00005A040000}"/>
    <cellStyle name="Calculation 14 10" xfId="1110" xr:uid="{00000000-0005-0000-0000-00005B040000}"/>
    <cellStyle name="Calculation 14 10 2" xfId="1111" xr:uid="{00000000-0005-0000-0000-00005C040000}"/>
    <cellStyle name="Calculation 14 11" xfId="1112" xr:uid="{00000000-0005-0000-0000-00005D040000}"/>
    <cellStyle name="Calculation 14 2" xfId="1113" xr:uid="{00000000-0005-0000-0000-00005E040000}"/>
    <cellStyle name="Calculation 14 2 2" xfId="1114" xr:uid="{00000000-0005-0000-0000-00005F040000}"/>
    <cellStyle name="Calculation 14 3" xfId="1115" xr:uid="{00000000-0005-0000-0000-000060040000}"/>
    <cellStyle name="Calculation 14 3 2" xfId="1116" xr:uid="{00000000-0005-0000-0000-000061040000}"/>
    <cellStyle name="Calculation 14 4" xfId="1117" xr:uid="{00000000-0005-0000-0000-000062040000}"/>
    <cellStyle name="Calculation 14 4 2" xfId="1118" xr:uid="{00000000-0005-0000-0000-000063040000}"/>
    <cellStyle name="Calculation 14 5" xfId="1119" xr:uid="{00000000-0005-0000-0000-000064040000}"/>
    <cellStyle name="Calculation 14 5 2" xfId="1120" xr:uid="{00000000-0005-0000-0000-000065040000}"/>
    <cellStyle name="Calculation 14 6" xfId="1121" xr:uid="{00000000-0005-0000-0000-000066040000}"/>
    <cellStyle name="Calculation 14 6 2" xfId="1122" xr:uid="{00000000-0005-0000-0000-000067040000}"/>
    <cellStyle name="Calculation 14 7" xfId="1123" xr:uid="{00000000-0005-0000-0000-000068040000}"/>
    <cellStyle name="Calculation 14 7 2" xfId="1124" xr:uid="{00000000-0005-0000-0000-000069040000}"/>
    <cellStyle name="Calculation 14 8" xfId="1125" xr:uid="{00000000-0005-0000-0000-00006A040000}"/>
    <cellStyle name="Calculation 14 8 2" xfId="1126" xr:uid="{00000000-0005-0000-0000-00006B040000}"/>
    <cellStyle name="Calculation 14 9" xfId="1127" xr:uid="{00000000-0005-0000-0000-00006C040000}"/>
    <cellStyle name="Calculation 14 9 2" xfId="1128" xr:uid="{00000000-0005-0000-0000-00006D040000}"/>
    <cellStyle name="Calculation 15" xfId="1129" xr:uid="{00000000-0005-0000-0000-00006E040000}"/>
    <cellStyle name="Calculation 15 10" xfId="1130" xr:uid="{00000000-0005-0000-0000-00006F040000}"/>
    <cellStyle name="Calculation 15 10 2" xfId="1131" xr:uid="{00000000-0005-0000-0000-000070040000}"/>
    <cellStyle name="Calculation 15 11" xfId="1132" xr:uid="{00000000-0005-0000-0000-000071040000}"/>
    <cellStyle name="Calculation 15 2" xfId="1133" xr:uid="{00000000-0005-0000-0000-000072040000}"/>
    <cellStyle name="Calculation 15 2 2" xfId="1134" xr:uid="{00000000-0005-0000-0000-000073040000}"/>
    <cellStyle name="Calculation 15 3" xfId="1135" xr:uid="{00000000-0005-0000-0000-000074040000}"/>
    <cellStyle name="Calculation 15 3 2" xfId="1136" xr:uid="{00000000-0005-0000-0000-000075040000}"/>
    <cellStyle name="Calculation 15 4" xfId="1137" xr:uid="{00000000-0005-0000-0000-000076040000}"/>
    <cellStyle name="Calculation 15 4 2" xfId="1138" xr:uid="{00000000-0005-0000-0000-000077040000}"/>
    <cellStyle name="Calculation 15 5" xfId="1139" xr:uid="{00000000-0005-0000-0000-000078040000}"/>
    <cellStyle name="Calculation 15 5 2" xfId="1140" xr:uid="{00000000-0005-0000-0000-000079040000}"/>
    <cellStyle name="Calculation 15 6" xfId="1141" xr:uid="{00000000-0005-0000-0000-00007A040000}"/>
    <cellStyle name="Calculation 15 6 2" xfId="1142" xr:uid="{00000000-0005-0000-0000-00007B040000}"/>
    <cellStyle name="Calculation 15 7" xfId="1143" xr:uid="{00000000-0005-0000-0000-00007C040000}"/>
    <cellStyle name="Calculation 15 7 2" xfId="1144" xr:uid="{00000000-0005-0000-0000-00007D040000}"/>
    <cellStyle name="Calculation 15 8" xfId="1145" xr:uid="{00000000-0005-0000-0000-00007E040000}"/>
    <cellStyle name="Calculation 15 8 2" xfId="1146" xr:uid="{00000000-0005-0000-0000-00007F040000}"/>
    <cellStyle name="Calculation 15 9" xfId="1147" xr:uid="{00000000-0005-0000-0000-000080040000}"/>
    <cellStyle name="Calculation 15 9 2" xfId="1148" xr:uid="{00000000-0005-0000-0000-000081040000}"/>
    <cellStyle name="Calculation 16" xfId="1149" xr:uid="{00000000-0005-0000-0000-000082040000}"/>
    <cellStyle name="Calculation 16 10" xfId="1150" xr:uid="{00000000-0005-0000-0000-000083040000}"/>
    <cellStyle name="Calculation 16 10 2" xfId="1151" xr:uid="{00000000-0005-0000-0000-000084040000}"/>
    <cellStyle name="Calculation 16 11" xfId="1152" xr:uid="{00000000-0005-0000-0000-000085040000}"/>
    <cellStyle name="Calculation 16 2" xfId="1153" xr:uid="{00000000-0005-0000-0000-000086040000}"/>
    <cellStyle name="Calculation 16 2 2" xfId="1154" xr:uid="{00000000-0005-0000-0000-000087040000}"/>
    <cellStyle name="Calculation 16 3" xfId="1155" xr:uid="{00000000-0005-0000-0000-000088040000}"/>
    <cellStyle name="Calculation 16 3 2" xfId="1156" xr:uid="{00000000-0005-0000-0000-000089040000}"/>
    <cellStyle name="Calculation 16 4" xfId="1157" xr:uid="{00000000-0005-0000-0000-00008A040000}"/>
    <cellStyle name="Calculation 16 4 2" xfId="1158" xr:uid="{00000000-0005-0000-0000-00008B040000}"/>
    <cellStyle name="Calculation 16 5" xfId="1159" xr:uid="{00000000-0005-0000-0000-00008C040000}"/>
    <cellStyle name="Calculation 16 5 2" xfId="1160" xr:uid="{00000000-0005-0000-0000-00008D040000}"/>
    <cellStyle name="Calculation 16 6" xfId="1161" xr:uid="{00000000-0005-0000-0000-00008E040000}"/>
    <cellStyle name="Calculation 16 6 2" xfId="1162" xr:uid="{00000000-0005-0000-0000-00008F040000}"/>
    <cellStyle name="Calculation 16 7" xfId="1163" xr:uid="{00000000-0005-0000-0000-000090040000}"/>
    <cellStyle name="Calculation 16 7 2" xfId="1164" xr:uid="{00000000-0005-0000-0000-000091040000}"/>
    <cellStyle name="Calculation 16 8" xfId="1165" xr:uid="{00000000-0005-0000-0000-000092040000}"/>
    <cellStyle name="Calculation 16 8 2" xfId="1166" xr:uid="{00000000-0005-0000-0000-000093040000}"/>
    <cellStyle name="Calculation 16 9" xfId="1167" xr:uid="{00000000-0005-0000-0000-000094040000}"/>
    <cellStyle name="Calculation 16 9 2" xfId="1168" xr:uid="{00000000-0005-0000-0000-000095040000}"/>
    <cellStyle name="Calculation 17" xfId="1169" xr:uid="{00000000-0005-0000-0000-000096040000}"/>
    <cellStyle name="Calculation 17 10" xfId="1170" xr:uid="{00000000-0005-0000-0000-000097040000}"/>
    <cellStyle name="Calculation 17 10 2" xfId="1171" xr:uid="{00000000-0005-0000-0000-000098040000}"/>
    <cellStyle name="Calculation 17 11" xfId="1172" xr:uid="{00000000-0005-0000-0000-000099040000}"/>
    <cellStyle name="Calculation 17 2" xfId="1173" xr:uid="{00000000-0005-0000-0000-00009A040000}"/>
    <cellStyle name="Calculation 17 2 2" xfId="1174" xr:uid="{00000000-0005-0000-0000-00009B040000}"/>
    <cellStyle name="Calculation 17 3" xfId="1175" xr:uid="{00000000-0005-0000-0000-00009C040000}"/>
    <cellStyle name="Calculation 17 3 2" xfId="1176" xr:uid="{00000000-0005-0000-0000-00009D040000}"/>
    <cellStyle name="Calculation 17 4" xfId="1177" xr:uid="{00000000-0005-0000-0000-00009E040000}"/>
    <cellStyle name="Calculation 17 4 2" xfId="1178" xr:uid="{00000000-0005-0000-0000-00009F040000}"/>
    <cellStyle name="Calculation 17 5" xfId="1179" xr:uid="{00000000-0005-0000-0000-0000A0040000}"/>
    <cellStyle name="Calculation 17 5 2" xfId="1180" xr:uid="{00000000-0005-0000-0000-0000A1040000}"/>
    <cellStyle name="Calculation 17 6" xfId="1181" xr:uid="{00000000-0005-0000-0000-0000A2040000}"/>
    <cellStyle name="Calculation 17 6 2" xfId="1182" xr:uid="{00000000-0005-0000-0000-0000A3040000}"/>
    <cellStyle name="Calculation 17 7" xfId="1183" xr:uid="{00000000-0005-0000-0000-0000A4040000}"/>
    <cellStyle name="Calculation 17 7 2" xfId="1184" xr:uid="{00000000-0005-0000-0000-0000A5040000}"/>
    <cellStyle name="Calculation 17 8" xfId="1185" xr:uid="{00000000-0005-0000-0000-0000A6040000}"/>
    <cellStyle name="Calculation 17 8 2" xfId="1186" xr:uid="{00000000-0005-0000-0000-0000A7040000}"/>
    <cellStyle name="Calculation 17 9" xfId="1187" xr:uid="{00000000-0005-0000-0000-0000A8040000}"/>
    <cellStyle name="Calculation 17 9 2" xfId="1188" xr:uid="{00000000-0005-0000-0000-0000A9040000}"/>
    <cellStyle name="Calculation 18" xfId="1189" xr:uid="{00000000-0005-0000-0000-0000AA040000}"/>
    <cellStyle name="Calculation 19" xfId="1190" xr:uid="{00000000-0005-0000-0000-0000AB040000}"/>
    <cellStyle name="Calculation 2" xfId="1191" xr:uid="{00000000-0005-0000-0000-0000AC040000}"/>
    <cellStyle name="Calculation 2 10" xfId="1192" xr:uid="{00000000-0005-0000-0000-0000AD040000}"/>
    <cellStyle name="Calculation 2 10 2" xfId="1193" xr:uid="{00000000-0005-0000-0000-0000AE040000}"/>
    <cellStyle name="Calculation 2 11" xfId="1194" xr:uid="{00000000-0005-0000-0000-0000AF040000}"/>
    <cellStyle name="Calculation 2 12" xfId="1195" xr:uid="{00000000-0005-0000-0000-0000B0040000}"/>
    <cellStyle name="Calculation 2 2" xfId="1196" xr:uid="{00000000-0005-0000-0000-0000B1040000}"/>
    <cellStyle name="Calculation 2 2 2" xfId="1197" xr:uid="{00000000-0005-0000-0000-0000B2040000}"/>
    <cellStyle name="Calculation 2 2 2 2" xfId="1198" xr:uid="{00000000-0005-0000-0000-0000B3040000}"/>
    <cellStyle name="Calculation 2 2 2 2 2" xfId="1199" xr:uid="{00000000-0005-0000-0000-0000B4040000}"/>
    <cellStyle name="Calculation 2 2 2 3" xfId="1200" xr:uid="{00000000-0005-0000-0000-0000B5040000}"/>
    <cellStyle name="Calculation 2 2 2 3 2" xfId="1201" xr:uid="{00000000-0005-0000-0000-0000B6040000}"/>
    <cellStyle name="Calculation 2 2 2 4" xfId="1202" xr:uid="{00000000-0005-0000-0000-0000B7040000}"/>
    <cellStyle name="Calculation 2 2 2 4 2" xfId="1203" xr:uid="{00000000-0005-0000-0000-0000B8040000}"/>
    <cellStyle name="Calculation 2 2 2 5" xfId="1204" xr:uid="{00000000-0005-0000-0000-0000B9040000}"/>
    <cellStyle name="Calculation 2 2 2 5 2" xfId="1205" xr:uid="{00000000-0005-0000-0000-0000BA040000}"/>
    <cellStyle name="Calculation 2 2 2 6" xfId="1206" xr:uid="{00000000-0005-0000-0000-0000BB040000}"/>
    <cellStyle name="Calculation 2 2 2 7" xfId="1207" xr:uid="{00000000-0005-0000-0000-0000BC040000}"/>
    <cellStyle name="Calculation 2 2 2 8" xfId="1208" xr:uid="{00000000-0005-0000-0000-0000BD040000}"/>
    <cellStyle name="Calculation 2 2 2_2014БП" xfId="1209" xr:uid="{00000000-0005-0000-0000-0000BE040000}"/>
    <cellStyle name="Calculation 2 2 3" xfId="1210" xr:uid="{00000000-0005-0000-0000-0000BF040000}"/>
    <cellStyle name="Calculation 2 2 3 2" xfId="1211" xr:uid="{00000000-0005-0000-0000-0000C0040000}"/>
    <cellStyle name="Calculation 2 2 4" xfId="1212" xr:uid="{00000000-0005-0000-0000-0000C1040000}"/>
    <cellStyle name="Calculation 2 2 4 2" xfId="1213" xr:uid="{00000000-0005-0000-0000-0000C2040000}"/>
    <cellStyle name="Calculation 2 2 5" xfId="1214" xr:uid="{00000000-0005-0000-0000-0000C3040000}"/>
    <cellStyle name="Calculation 2 2 5 2" xfId="1215" xr:uid="{00000000-0005-0000-0000-0000C4040000}"/>
    <cellStyle name="Calculation 2 2 6" xfId="1216" xr:uid="{00000000-0005-0000-0000-0000C5040000}"/>
    <cellStyle name="Calculation 2 2 6 2" xfId="1217" xr:uid="{00000000-0005-0000-0000-0000C6040000}"/>
    <cellStyle name="Calculation 2 2 7" xfId="1218" xr:uid="{00000000-0005-0000-0000-0000C7040000}"/>
    <cellStyle name="Calculation 2 2 8" xfId="1219" xr:uid="{00000000-0005-0000-0000-0000C8040000}"/>
    <cellStyle name="Calculation 2 2 9" xfId="1220" xr:uid="{00000000-0005-0000-0000-0000C9040000}"/>
    <cellStyle name="Calculation 2 2_2013Прогноз" xfId="1221" xr:uid="{00000000-0005-0000-0000-0000CA040000}"/>
    <cellStyle name="Calculation 2 3" xfId="1222" xr:uid="{00000000-0005-0000-0000-0000CB040000}"/>
    <cellStyle name="Calculation 2 3 2" xfId="1223" xr:uid="{00000000-0005-0000-0000-0000CC040000}"/>
    <cellStyle name="Calculation 2 3 2 2" xfId="1224" xr:uid="{00000000-0005-0000-0000-0000CD040000}"/>
    <cellStyle name="Calculation 2 3 2 2 2" xfId="1225" xr:uid="{00000000-0005-0000-0000-0000CE040000}"/>
    <cellStyle name="Calculation 2 3 2 3" xfId="1226" xr:uid="{00000000-0005-0000-0000-0000CF040000}"/>
    <cellStyle name="Calculation 2 3 2 3 2" xfId="1227" xr:uid="{00000000-0005-0000-0000-0000D0040000}"/>
    <cellStyle name="Calculation 2 3 2 4" xfId="1228" xr:uid="{00000000-0005-0000-0000-0000D1040000}"/>
    <cellStyle name="Calculation 2 3 2 4 2" xfId="1229" xr:uid="{00000000-0005-0000-0000-0000D2040000}"/>
    <cellStyle name="Calculation 2 3 2 5" xfId="1230" xr:uid="{00000000-0005-0000-0000-0000D3040000}"/>
    <cellStyle name="Calculation 2 3 2 5 2" xfId="1231" xr:uid="{00000000-0005-0000-0000-0000D4040000}"/>
    <cellStyle name="Calculation 2 3 2 6" xfId="1232" xr:uid="{00000000-0005-0000-0000-0000D5040000}"/>
    <cellStyle name="Calculation 2 3 2 7" xfId="1233" xr:uid="{00000000-0005-0000-0000-0000D6040000}"/>
    <cellStyle name="Calculation 2 3 2 8" xfId="1234" xr:uid="{00000000-0005-0000-0000-0000D7040000}"/>
    <cellStyle name="Calculation 2 3 2_2014БП" xfId="1235" xr:uid="{00000000-0005-0000-0000-0000D8040000}"/>
    <cellStyle name="Calculation 2 3 3" xfId="1236" xr:uid="{00000000-0005-0000-0000-0000D9040000}"/>
    <cellStyle name="Calculation 2 3 3 2" xfId="1237" xr:uid="{00000000-0005-0000-0000-0000DA040000}"/>
    <cellStyle name="Calculation 2 3 4" xfId="1238" xr:uid="{00000000-0005-0000-0000-0000DB040000}"/>
    <cellStyle name="Calculation 2 3 4 2" xfId="1239" xr:uid="{00000000-0005-0000-0000-0000DC040000}"/>
    <cellStyle name="Calculation 2 3 5" xfId="1240" xr:uid="{00000000-0005-0000-0000-0000DD040000}"/>
    <cellStyle name="Calculation 2 3 5 2" xfId="1241" xr:uid="{00000000-0005-0000-0000-0000DE040000}"/>
    <cellStyle name="Calculation 2 3 6" xfId="1242" xr:uid="{00000000-0005-0000-0000-0000DF040000}"/>
    <cellStyle name="Calculation 2 3 6 2" xfId="1243" xr:uid="{00000000-0005-0000-0000-0000E0040000}"/>
    <cellStyle name="Calculation 2 3 7" xfId="1244" xr:uid="{00000000-0005-0000-0000-0000E1040000}"/>
    <cellStyle name="Calculation 2 3 8" xfId="1245" xr:uid="{00000000-0005-0000-0000-0000E2040000}"/>
    <cellStyle name="Calculation 2 3 9" xfId="1246" xr:uid="{00000000-0005-0000-0000-0000E3040000}"/>
    <cellStyle name="Calculation 2 3_2013Прогноз" xfId="1247" xr:uid="{00000000-0005-0000-0000-0000E4040000}"/>
    <cellStyle name="Calculation 2 4" xfId="1248" xr:uid="{00000000-0005-0000-0000-0000E5040000}"/>
    <cellStyle name="Calculation 2 4 2" xfId="1249" xr:uid="{00000000-0005-0000-0000-0000E6040000}"/>
    <cellStyle name="Calculation 2 4 2 2" xfId="1250" xr:uid="{00000000-0005-0000-0000-0000E7040000}"/>
    <cellStyle name="Calculation 2 4 2 3" xfId="1251" xr:uid="{00000000-0005-0000-0000-0000E8040000}"/>
    <cellStyle name="Calculation 2 4 3" xfId="1252" xr:uid="{00000000-0005-0000-0000-0000E9040000}"/>
    <cellStyle name="Calculation 2 4 3 2" xfId="1253" xr:uid="{00000000-0005-0000-0000-0000EA040000}"/>
    <cellStyle name="Calculation 2 4 4" xfId="1254" xr:uid="{00000000-0005-0000-0000-0000EB040000}"/>
    <cellStyle name="Calculation 2 4 4 2" xfId="1255" xr:uid="{00000000-0005-0000-0000-0000EC040000}"/>
    <cellStyle name="Calculation 2 4 5" xfId="1256" xr:uid="{00000000-0005-0000-0000-0000ED040000}"/>
    <cellStyle name="Calculation 2 4 5 2" xfId="1257" xr:uid="{00000000-0005-0000-0000-0000EE040000}"/>
    <cellStyle name="Calculation 2 4 6" xfId="1258" xr:uid="{00000000-0005-0000-0000-0000EF040000}"/>
    <cellStyle name="Calculation 2 4 7" xfId="1259" xr:uid="{00000000-0005-0000-0000-0000F0040000}"/>
    <cellStyle name="Calculation 2 4 8" xfId="1260" xr:uid="{00000000-0005-0000-0000-0000F1040000}"/>
    <cellStyle name="Calculation 2 4_2014БП" xfId="1261" xr:uid="{00000000-0005-0000-0000-0000F2040000}"/>
    <cellStyle name="Calculation 2 5" xfId="1262" xr:uid="{00000000-0005-0000-0000-0000F3040000}"/>
    <cellStyle name="Calculation 2 5 2" xfId="1263" xr:uid="{00000000-0005-0000-0000-0000F4040000}"/>
    <cellStyle name="Calculation 2 5 2 2" xfId="1264" xr:uid="{00000000-0005-0000-0000-0000F5040000}"/>
    <cellStyle name="Calculation 2 5 3" xfId="1265" xr:uid="{00000000-0005-0000-0000-0000F6040000}"/>
    <cellStyle name="Calculation 2 6" xfId="1266" xr:uid="{00000000-0005-0000-0000-0000F7040000}"/>
    <cellStyle name="Calculation 2 6 2" xfId="1267" xr:uid="{00000000-0005-0000-0000-0000F8040000}"/>
    <cellStyle name="Calculation 2 6 3" xfId="1268" xr:uid="{00000000-0005-0000-0000-0000F9040000}"/>
    <cellStyle name="Calculation 2 7" xfId="1269" xr:uid="{00000000-0005-0000-0000-0000FA040000}"/>
    <cellStyle name="Calculation 2 7 2" xfId="1270" xr:uid="{00000000-0005-0000-0000-0000FB040000}"/>
    <cellStyle name="Calculation 2 8" xfId="1271" xr:uid="{00000000-0005-0000-0000-0000FC040000}"/>
    <cellStyle name="Calculation 2 8 2" xfId="1272" xr:uid="{00000000-0005-0000-0000-0000FD040000}"/>
    <cellStyle name="Calculation 2 9" xfId="1273" xr:uid="{00000000-0005-0000-0000-0000FE040000}"/>
    <cellStyle name="Calculation 2 9 2" xfId="1274" xr:uid="{00000000-0005-0000-0000-0000FF040000}"/>
    <cellStyle name="Calculation 2_2013Прогноз" xfId="1277" xr:uid="{00000000-0005-0000-0000-000002050000}"/>
    <cellStyle name="Calculation 20" xfId="1275" xr:uid="{00000000-0005-0000-0000-000000050000}"/>
    <cellStyle name="Calculation 21" xfId="1276" xr:uid="{00000000-0005-0000-0000-000001050000}"/>
    <cellStyle name="Calculation 3" xfId="1278" xr:uid="{00000000-0005-0000-0000-000003050000}"/>
    <cellStyle name="Calculation 3 10" xfId="1279" xr:uid="{00000000-0005-0000-0000-000004050000}"/>
    <cellStyle name="Calculation 3 10 2" xfId="1280" xr:uid="{00000000-0005-0000-0000-000005050000}"/>
    <cellStyle name="Calculation 3 11" xfId="1281" xr:uid="{00000000-0005-0000-0000-000006050000}"/>
    <cellStyle name="Calculation 3 12" xfId="1282" xr:uid="{00000000-0005-0000-0000-000007050000}"/>
    <cellStyle name="Calculation 3 2" xfId="1283" xr:uid="{00000000-0005-0000-0000-000008050000}"/>
    <cellStyle name="Calculation 3 2 2" xfId="1284" xr:uid="{00000000-0005-0000-0000-000009050000}"/>
    <cellStyle name="Calculation 3 2 2 2" xfId="1285" xr:uid="{00000000-0005-0000-0000-00000A050000}"/>
    <cellStyle name="Calculation 3 2 2 2 2" xfId="1286" xr:uid="{00000000-0005-0000-0000-00000B050000}"/>
    <cellStyle name="Calculation 3 2 2 3" xfId="1287" xr:uid="{00000000-0005-0000-0000-00000C050000}"/>
    <cellStyle name="Calculation 3 2 2 3 2" xfId="1288" xr:uid="{00000000-0005-0000-0000-00000D050000}"/>
    <cellStyle name="Calculation 3 2 2 4" xfId="1289" xr:uid="{00000000-0005-0000-0000-00000E050000}"/>
    <cellStyle name="Calculation 3 2 2 4 2" xfId="1290" xr:uid="{00000000-0005-0000-0000-00000F050000}"/>
    <cellStyle name="Calculation 3 2 2 5" xfId="1291" xr:uid="{00000000-0005-0000-0000-000010050000}"/>
    <cellStyle name="Calculation 3 2 2 5 2" xfId="1292" xr:uid="{00000000-0005-0000-0000-000011050000}"/>
    <cellStyle name="Calculation 3 2 2 6" xfId="1293" xr:uid="{00000000-0005-0000-0000-000012050000}"/>
    <cellStyle name="Calculation 3 2 2 7" xfId="1294" xr:uid="{00000000-0005-0000-0000-000013050000}"/>
    <cellStyle name="Calculation 3 2 2 8" xfId="1295" xr:uid="{00000000-0005-0000-0000-000014050000}"/>
    <cellStyle name="Calculation 3 2 2_2014БП" xfId="1296" xr:uid="{00000000-0005-0000-0000-000015050000}"/>
    <cellStyle name="Calculation 3 2 3" xfId="1297" xr:uid="{00000000-0005-0000-0000-000016050000}"/>
    <cellStyle name="Calculation 3 2 3 2" xfId="1298" xr:uid="{00000000-0005-0000-0000-000017050000}"/>
    <cellStyle name="Calculation 3 2 4" xfId="1299" xr:uid="{00000000-0005-0000-0000-000018050000}"/>
    <cellStyle name="Calculation 3 2 4 2" xfId="1300" xr:uid="{00000000-0005-0000-0000-000019050000}"/>
    <cellStyle name="Calculation 3 2 5" xfId="1301" xr:uid="{00000000-0005-0000-0000-00001A050000}"/>
    <cellStyle name="Calculation 3 2 5 2" xfId="1302" xr:uid="{00000000-0005-0000-0000-00001B050000}"/>
    <cellStyle name="Calculation 3 2 6" xfId="1303" xr:uid="{00000000-0005-0000-0000-00001C050000}"/>
    <cellStyle name="Calculation 3 2 6 2" xfId="1304" xr:uid="{00000000-0005-0000-0000-00001D050000}"/>
    <cellStyle name="Calculation 3 2 7" xfId="1305" xr:uid="{00000000-0005-0000-0000-00001E050000}"/>
    <cellStyle name="Calculation 3 2 8" xfId="1306" xr:uid="{00000000-0005-0000-0000-00001F050000}"/>
    <cellStyle name="Calculation 3 2 9" xfId="1307" xr:uid="{00000000-0005-0000-0000-000020050000}"/>
    <cellStyle name="Calculation 3 2_2013Прогноз" xfId="1308" xr:uid="{00000000-0005-0000-0000-000021050000}"/>
    <cellStyle name="Calculation 3 3" xfId="1309" xr:uid="{00000000-0005-0000-0000-000022050000}"/>
    <cellStyle name="Calculation 3 3 2" xfId="1310" xr:uid="{00000000-0005-0000-0000-000023050000}"/>
    <cellStyle name="Calculation 3 3 2 2" xfId="1311" xr:uid="{00000000-0005-0000-0000-000024050000}"/>
    <cellStyle name="Calculation 3 3 2 2 2" xfId="1312" xr:uid="{00000000-0005-0000-0000-000025050000}"/>
    <cellStyle name="Calculation 3 3 2 3" xfId="1313" xr:uid="{00000000-0005-0000-0000-000026050000}"/>
    <cellStyle name="Calculation 3 3 2 3 2" xfId="1314" xr:uid="{00000000-0005-0000-0000-000027050000}"/>
    <cellStyle name="Calculation 3 3 2 4" xfId="1315" xr:uid="{00000000-0005-0000-0000-000028050000}"/>
    <cellStyle name="Calculation 3 3 2 4 2" xfId="1316" xr:uid="{00000000-0005-0000-0000-000029050000}"/>
    <cellStyle name="Calculation 3 3 2 5" xfId="1317" xr:uid="{00000000-0005-0000-0000-00002A050000}"/>
    <cellStyle name="Calculation 3 3 2 5 2" xfId="1318" xr:uid="{00000000-0005-0000-0000-00002B050000}"/>
    <cellStyle name="Calculation 3 3 2 6" xfId="1319" xr:uid="{00000000-0005-0000-0000-00002C050000}"/>
    <cellStyle name="Calculation 3 3 2 7" xfId="1320" xr:uid="{00000000-0005-0000-0000-00002D050000}"/>
    <cellStyle name="Calculation 3 3 2 8" xfId="1321" xr:uid="{00000000-0005-0000-0000-00002E050000}"/>
    <cellStyle name="Calculation 3 3 2_2014БП" xfId="1322" xr:uid="{00000000-0005-0000-0000-00002F050000}"/>
    <cellStyle name="Calculation 3 3 3" xfId="1323" xr:uid="{00000000-0005-0000-0000-000030050000}"/>
    <cellStyle name="Calculation 3 3 3 2" xfId="1324" xr:uid="{00000000-0005-0000-0000-000031050000}"/>
    <cellStyle name="Calculation 3 3 4" xfId="1325" xr:uid="{00000000-0005-0000-0000-000032050000}"/>
    <cellStyle name="Calculation 3 3 4 2" xfId="1326" xr:uid="{00000000-0005-0000-0000-000033050000}"/>
    <cellStyle name="Calculation 3 3 5" xfId="1327" xr:uid="{00000000-0005-0000-0000-000034050000}"/>
    <cellStyle name="Calculation 3 3 5 2" xfId="1328" xr:uid="{00000000-0005-0000-0000-000035050000}"/>
    <cellStyle name="Calculation 3 3 6" xfId="1329" xr:uid="{00000000-0005-0000-0000-000036050000}"/>
    <cellStyle name="Calculation 3 3 6 2" xfId="1330" xr:uid="{00000000-0005-0000-0000-000037050000}"/>
    <cellStyle name="Calculation 3 3 7" xfId="1331" xr:uid="{00000000-0005-0000-0000-000038050000}"/>
    <cellStyle name="Calculation 3 3 8" xfId="1332" xr:uid="{00000000-0005-0000-0000-000039050000}"/>
    <cellStyle name="Calculation 3 3 9" xfId="1333" xr:uid="{00000000-0005-0000-0000-00003A050000}"/>
    <cellStyle name="Calculation 3 3_2013Прогноз" xfId="1334" xr:uid="{00000000-0005-0000-0000-00003B050000}"/>
    <cellStyle name="Calculation 3 4" xfId="1335" xr:uid="{00000000-0005-0000-0000-00003C050000}"/>
    <cellStyle name="Calculation 3 4 2" xfId="1336" xr:uid="{00000000-0005-0000-0000-00003D050000}"/>
    <cellStyle name="Calculation 3 4 2 2" xfId="1337" xr:uid="{00000000-0005-0000-0000-00003E050000}"/>
    <cellStyle name="Calculation 3 4 2 3" xfId="1338" xr:uid="{00000000-0005-0000-0000-00003F050000}"/>
    <cellStyle name="Calculation 3 4 3" xfId="1339" xr:uid="{00000000-0005-0000-0000-000040050000}"/>
    <cellStyle name="Calculation 3 4 3 2" xfId="1340" xr:uid="{00000000-0005-0000-0000-000041050000}"/>
    <cellStyle name="Calculation 3 4 4" xfId="1341" xr:uid="{00000000-0005-0000-0000-000042050000}"/>
    <cellStyle name="Calculation 3 4 4 2" xfId="1342" xr:uid="{00000000-0005-0000-0000-000043050000}"/>
    <cellStyle name="Calculation 3 4 5" xfId="1343" xr:uid="{00000000-0005-0000-0000-000044050000}"/>
    <cellStyle name="Calculation 3 4 5 2" xfId="1344" xr:uid="{00000000-0005-0000-0000-000045050000}"/>
    <cellStyle name="Calculation 3 4 6" xfId="1345" xr:uid="{00000000-0005-0000-0000-000046050000}"/>
    <cellStyle name="Calculation 3 4 7" xfId="1346" xr:uid="{00000000-0005-0000-0000-000047050000}"/>
    <cellStyle name="Calculation 3 4 8" xfId="1347" xr:uid="{00000000-0005-0000-0000-000048050000}"/>
    <cellStyle name="Calculation 3 4_2014БП" xfId="1348" xr:uid="{00000000-0005-0000-0000-000049050000}"/>
    <cellStyle name="Calculation 3 5" xfId="1349" xr:uid="{00000000-0005-0000-0000-00004A050000}"/>
    <cellStyle name="Calculation 3 5 2" xfId="1350" xr:uid="{00000000-0005-0000-0000-00004B050000}"/>
    <cellStyle name="Calculation 3 5 2 2" xfId="1351" xr:uid="{00000000-0005-0000-0000-00004C050000}"/>
    <cellStyle name="Calculation 3 5 3" xfId="1352" xr:uid="{00000000-0005-0000-0000-00004D050000}"/>
    <cellStyle name="Calculation 3 6" xfId="1353" xr:uid="{00000000-0005-0000-0000-00004E050000}"/>
    <cellStyle name="Calculation 3 6 2" xfId="1354" xr:uid="{00000000-0005-0000-0000-00004F050000}"/>
    <cellStyle name="Calculation 3 6 3" xfId="1355" xr:uid="{00000000-0005-0000-0000-000050050000}"/>
    <cellStyle name="Calculation 3 7" xfId="1356" xr:uid="{00000000-0005-0000-0000-000051050000}"/>
    <cellStyle name="Calculation 3 7 2" xfId="1357" xr:uid="{00000000-0005-0000-0000-000052050000}"/>
    <cellStyle name="Calculation 3 8" xfId="1358" xr:uid="{00000000-0005-0000-0000-000053050000}"/>
    <cellStyle name="Calculation 3 8 2" xfId="1359" xr:uid="{00000000-0005-0000-0000-000054050000}"/>
    <cellStyle name="Calculation 3 9" xfId="1360" xr:uid="{00000000-0005-0000-0000-000055050000}"/>
    <cellStyle name="Calculation 3 9 2" xfId="1361" xr:uid="{00000000-0005-0000-0000-000056050000}"/>
    <cellStyle name="Calculation 3_2013Прогноз" xfId="1362" xr:uid="{00000000-0005-0000-0000-000057050000}"/>
    <cellStyle name="Calculation 4" xfId="1363" xr:uid="{00000000-0005-0000-0000-000058050000}"/>
    <cellStyle name="Calculation 4 10" xfId="1364" xr:uid="{00000000-0005-0000-0000-000059050000}"/>
    <cellStyle name="Calculation 4 10 2" xfId="1365" xr:uid="{00000000-0005-0000-0000-00005A050000}"/>
    <cellStyle name="Calculation 4 11" xfId="1366" xr:uid="{00000000-0005-0000-0000-00005B050000}"/>
    <cellStyle name="Calculation 4 12" xfId="1367" xr:uid="{00000000-0005-0000-0000-00005C050000}"/>
    <cellStyle name="Calculation 4 2" xfId="1368" xr:uid="{00000000-0005-0000-0000-00005D050000}"/>
    <cellStyle name="Calculation 4 2 2" xfId="1369" xr:uid="{00000000-0005-0000-0000-00005E050000}"/>
    <cellStyle name="Calculation 4 2 2 2" xfId="1370" xr:uid="{00000000-0005-0000-0000-00005F050000}"/>
    <cellStyle name="Calculation 4 2 2 2 2" xfId="1371" xr:uid="{00000000-0005-0000-0000-000060050000}"/>
    <cellStyle name="Calculation 4 2 2 3" xfId="1372" xr:uid="{00000000-0005-0000-0000-000061050000}"/>
    <cellStyle name="Calculation 4 2 2 3 2" xfId="1373" xr:uid="{00000000-0005-0000-0000-000062050000}"/>
    <cellStyle name="Calculation 4 2 2 4" xfId="1374" xr:uid="{00000000-0005-0000-0000-000063050000}"/>
    <cellStyle name="Calculation 4 2 2 4 2" xfId="1375" xr:uid="{00000000-0005-0000-0000-000064050000}"/>
    <cellStyle name="Calculation 4 2 2 5" xfId="1376" xr:uid="{00000000-0005-0000-0000-000065050000}"/>
    <cellStyle name="Calculation 4 2 2 5 2" xfId="1377" xr:uid="{00000000-0005-0000-0000-000066050000}"/>
    <cellStyle name="Calculation 4 2 2 6" xfId="1378" xr:uid="{00000000-0005-0000-0000-000067050000}"/>
    <cellStyle name="Calculation 4 2 2 7" xfId="1379" xr:uid="{00000000-0005-0000-0000-000068050000}"/>
    <cellStyle name="Calculation 4 2 2 8" xfId="1380" xr:uid="{00000000-0005-0000-0000-000069050000}"/>
    <cellStyle name="Calculation 4 2 2_2014БП" xfId="1381" xr:uid="{00000000-0005-0000-0000-00006A050000}"/>
    <cellStyle name="Calculation 4 2 3" xfId="1382" xr:uid="{00000000-0005-0000-0000-00006B050000}"/>
    <cellStyle name="Calculation 4 2 3 2" xfId="1383" xr:uid="{00000000-0005-0000-0000-00006C050000}"/>
    <cellStyle name="Calculation 4 2 4" xfId="1384" xr:uid="{00000000-0005-0000-0000-00006D050000}"/>
    <cellStyle name="Calculation 4 2 4 2" xfId="1385" xr:uid="{00000000-0005-0000-0000-00006E050000}"/>
    <cellStyle name="Calculation 4 2 5" xfId="1386" xr:uid="{00000000-0005-0000-0000-00006F050000}"/>
    <cellStyle name="Calculation 4 2 5 2" xfId="1387" xr:uid="{00000000-0005-0000-0000-000070050000}"/>
    <cellStyle name="Calculation 4 2 6" xfId="1388" xr:uid="{00000000-0005-0000-0000-000071050000}"/>
    <cellStyle name="Calculation 4 2 6 2" xfId="1389" xr:uid="{00000000-0005-0000-0000-000072050000}"/>
    <cellStyle name="Calculation 4 2 7" xfId="1390" xr:uid="{00000000-0005-0000-0000-000073050000}"/>
    <cellStyle name="Calculation 4 2 8" xfId="1391" xr:uid="{00000000-0005-0000-0000-000074050000}"/>
    <cellStyle name="Calculation 4 2 9" xfId="1392" xr:uid="{00000000-0005-0000-0000-000075050000}"/>
    <cellStyle name="Calculation 4 2_2013Прогноз" xfId="1393" xr:uid="{00000000-0005-0000-0000-000076050000}"/>
    <cellStyle name="Calculation 4 3" xfId="1394" xr:uid="{00000000-0005-0000-0000-000077050000}"/>
    <cellStyle name="Calculation 4 3 2" xfId="1395" xr:uid="{00000000-0005-0000-0000-000078050000}"/>
    <cellStyle name="Calculation 4 3 2 2" xfId="1396" xr:uid="{00000000-0005-0000-0000-000079050000}"/>
    <cellStyle name="Calculation 4 3 2 2 2" xfId="1397" xr:uid="{00000000-0005-0000-0000-00007A050000}"/>
    <cellStyle name="Calculation 4 3 2 3" xfId="1398" xr:uid="{00000000-0005-0000-0000-00007B050000}"/>
    <cellStyle name="Calculation 4 3 2 3 2" xfId="1399" xr:uid="{00000000-0005-0000-0000-00007C050000}"/>
    <cellStyle name="Calculation 4 3 2 4" xfId="1400" xr:uid="{00000000-0005-0000-0000-00007D050000}"/>
    <cellStyle name="Calculation 4 3 2 4 2" xfId="1401" xr:uid="{00000000-0005-0000-0000-00007E050000}"/>
    <cellStyle name="Calculation 4 3 2 5" xfId="1402" xr:uid="{00000000-0005-0000-0000-00007F050000}"/>
    <cellStyle name="Calculation 4 3 2 5 2" xfId="1403" xr:uid="{00000000-0005-0000-0000-000080050000}"/>
    <cellStyle name="Calculation 4 3 2 6" xfId="1404" xr:uid="{00000000-0005-0000-0000-000081050000}"/>
    <cellStyle name="Calculation 4 3 2 7" xfId="1405" xr:uid="{00000000-0005-0000-0000-000082050000}"/>
    <cellStyle name="Calculation 4 3 2 8" xfId="1406" xr:uid="{00000000-0005-0000-0000-000083050000}"/>
    <cellStyle name="Calculation 4 3 2_2014БП" xfId="1407" xr:uid="{00000000-0005-0000-0000-000084050000}"/>
    <cellStyle name="Calculation 4 3 3" xfId="1408" xr:uid="{00000000-0005-0000-0000-000085050000}"/>
    <cellStyle name="Calculation 4 3 3 2" xfId="1409" xr:uid="{00000000-0005-0000-0000-000086050000}"/>
    <cellStyle name="Calculation 4 3 4" xfId="1410" xr:uid="{00000000-0005-0000-0000-000087050000}"/>
    <cellStyle name="Calculation 4 3 4 2" xfId="1411" xr:uid="{00000000-0005-0000-0000-000088050000}"/>
    <cellStyle name="Calculation 4 3 5" xfId="1412" xr:uid="{00000000-0005-0000-0000-000089050000}"/>
    <cellStyle name="Calculation 4 3 5 2" xfId="1413" xr:uid="{00000000-0005-0000-0000-00008A050000}"/>
    <cellStyle name="Calculation 4 3 6" xfId="1414" xr:uid="{00000000-0005-0000-0000-00008B050000}"/>
    <cellStyle name="Calculation 4 3 6 2" xfId="1415" xr:uid="{00000000-0005-0000-0000-00008C050000}"/>
    <cellStyle name="Calculation 4 3 7" xfId="1416" xr:uid="{00000000-0005-0000-0000-00008D050000}"/>
    <cellStyle name="Calculation 4 3 8" xfId="1417" xr:uid="{00000000-0005-0000-0000-00008E050000}"/>
    <cellStyle name="Calculation 4 3 9" xfId="1418" xr:uid="{00000000-0005-0000-0000-00008F050000}"/>
    <cellStyle name="Calculation 4 3_2013Прогноз" xfId="1419" xr:uid="{00000000-0005-0000-0000-000090050000}"/>
    <cellStyle name="Calculation 4 4" xfId="1420" xr:uid="{00000000-0005-0000-0000-000091050000}"/>
    <cellStyle name="Calculation 4 4 2" xfId="1421" xr:uid="{00000000-0005-0000-0000-000092050000}"/>
    <cellStyle name="Calculation 4 4 2 2" xfId="1422" xr:uid="{00000000-0005-0000-0000-000093050000}"/>
    <cellStyle name="Calculation 4 4 2 3" xfId="1423" xr:uid="{00000000-0005-0000-0000-000094050000}"/>
    <cellStyle name="Calculation 4 4 3" xfId="1424" xr:uid="{00000000-0005-0000-0000-000095050000}"/>
    <cellStyle name="Calculation 4 4 3 2" xfId="1425" xr:uid="{00000000-0005-0000-0000-000096050000}"/>
    <cellStyle name="Calculation 4 4 4" xfId="1426" xr:uid="{00000000-0005-0000-0000-000097050000}"/>
    <cellStyle name="Calculation 4 4 4 2" xfId="1427" xr:uid="{00000000-0005-0000-0000-000098050000}"/>
    <cellStyle name="Calculation 4 4 5" xfId="1428" xr:uid="{00000000-0005-0000-0000-000099050000}"/>
    <cellStyle name="Calculation 4 4 5 2" xfId="1429" xr:uid="{00000000-0005-0000-0000-00009A050000}"/>
    <cellStyle name="Calculation 4 4 6" xfId="1430" xr:uid="{00000000-0005-0000-0000-00009B050000}"/>
    <cellStyle name="Calculation 4 4 7" xfId="1431" xr:uid="{00000000-0005-0000-0000-00009C050000}"/>
    <cellStyle name="Calculation 4 4 8" xfId="1432" xr:uid="{00000000-0005-0000-0000-00009D050000}"/>
    <cellStyle name="Calculation 4 4_2014БП" xfId="1433" xr:uid="{00000000-0005-0000-0000-00009E050000}"/>
    <cellStyle name="Calculation 4 5" xfId="1434" xr:uid="{00000000-0005-0000-0000-00009F050000}"/>
    <cellStyle name="Calculation 4 5 2" xfId="1435" xr:uid="{00000000-0005-0000-0000-0000A0050000}"/>
    <cellStyle name="Calculation 4 5 2 2" xfId="1436" xr:uid="{00000000-0005-0000-0000-0000A1050000}"/>
    <cellStyle name="Calculation 4 5 3" xfId="1437" xr:uid="{00000000-0005-0000-0000-0000A2050000}"/>
    <cellStyle name="Calculation 4 6" xfId="1438" xr:uid="{00000000-0005-0000-0000-0000A3050000}"/>
    <cellStyle name="Calculation 4 6 2" xfId="1439" xr:uid="{00000000-0005-0000-0000-0000A4050000}"/>
    <cellStyle name="Calculation 4 6 3" xfId="1440" xr:uid="{00000000-0005-0000-0000-0000A5050000}"/>
    <cellStyle name="Calculation 4 7" xfId="1441" xr:uid="{00000000-0005-0000-0000-0000A6050000}"/>
    <cellStyle name="Calculation 4 7 2" xfId="1442" xr:uid="{00000000-0005-0000-0000-0000A7050000}"/>
    <cellStyle name="Calculation 4 8" xfId="1443" xr:uid="{00000000-0005-0000-0000-0000A8050000}"/>
    <cellStyle name="Calculation 4 8 2" xfId="1444" xr:uid="{00000000-0005-0000-0000-0000A9050000}"/>
    <cellStyle name="Calculation 4 9" xfId="1445" xr:uid="{00000000-0005-0000-0000-0000AA050000}"/>
    <cellStyle name="Calculation 4 9 2" xfId="1446" xr:uid="{00000000-0005-0000-0000-0000AB050000}"/>
    <cellStyle name="Calculation 4_2013Прогноз" xfId="1447" xr:uid="{00000000-0005-0000-0000-0000AC050000}"/>
    <cellStyle name="Calculation 5" xfId="1448" xr:uid="{00000000-0005-0000-0000-0000AD050000}"/>
    <cellStyle name="Calculation 5 10" xfId="1449" xr:uid="{00000000-0005-0000-0000-0000AE050000}"/>
    <cellStyle name="Calculation 5 10 2" xfId="1450" xr:uid="{00000000-0005-0000-0000-0000AF050000}"/>
    <cellStyle name="Calculation 5 11" xfId="1451" xr:uid="{00000000-0005-0000-0000-0000B0050000}"/>
    <cellStyle name="Calculation 5 12" xfId="1452" xr:uid="{00000000-0005-0000-0000-0000B1050000}"/>
    <cellStyle name="Calculation 5 2" xfId="1453" xr:uid="{00000000-0005-0000-0000-0000B2050000}"/>
    <cellStyle name="Calculation 5 2 2" xfId="1454" xr:uid="{00000000-0005-0000-0000-0000B3050000}"/>
    <cellStyle name="Calculation 5 2 2 2" xfId="1455" xr:uid="{00000000-0005-0000-0000-0000B4050000}"/>
    <cellStyle name="Calculation 5 2 2 2 2" xfId="1456" xr:uid="{00000000-0005-0000-0000-0000B5050000}"/>
    <cellStyle name="Calculation 5 2 2 3" xfId="1457" xr:uid="{00000000-0005-0000-0000-0000B6050000}"/>
    <cellStyle name="Calculation 5 2 2 3 2" xfId="1458" xr:uid="{00000000-0005-0000-0000-0000B7050000}"/>
    <cellStyle name="Calculation 5 2 2 4" xfId="1459" xr:uid="{00000000-0005-0000-0000-0000B8050000}"/>
    <cellStyle name="Calculation 5 2 2 4 2" xfId="1460" xr:uid="{00000000-0005-0000-0000-0000B9050000}"/>
    <cellStyle name="Calculation 5 2 2 5" xfId="1461" xr:uid="{00000000-0005-0000-0000-0000BA050000}"/>
    <cellStyle name="Calculation 5 2 2 5 2" xfId="1462" xr:uid="{00000000-0005-0000-0000-0000BB050000}"/>
    <cellStyle name="Calculation 5 2 2 6" xfId="1463" xr:uid="{00000000-0005-0000-0000-0000BC050000}"/>
    <cellStyle name="Calculation 5 2 2 7" xfId="1464" xr:uid="{00000000-0005-0000-0000-0000BD050000}"/>
    <cellStyle name="Calculation 5 2 2 8" xfId="1465" xr:uid="{00000000-0005-0000-0000-0000BE050000}"/>
    <cellStyle name="Calculation 5 2 2_2014БП" xfId="1466" xr:uid="{00000000-0005-0000-0000-0000BF050000}"/>
    <cellStyle name="Calculation 5 2 3" xfId="1467" xr:uid="{00000000-0005-0000-0000-0000C0050000}"/>
    <cellStyle name="Calculation 5 2 3 2" xfId="1468" xr:uid="{00000000-0005-0000-0000-0000C1050000}"/>
    <cellStyle name="Calculation 5 2 4" xfId="1469" xr:uid="{00000000-0005-0000-0000-0000C2050000}"/>
    <cellStyle name="Calculation 5 2 4 2" xfId="1470" xr:uid="{00000000-0005-0000-0000-0000C3050000}"/>
    <cellStyle name="Calculation 5 2 5" xfId="1471" xr:uid="{00000000-0005-0000-0000-0000C4050000}"/>
    <cellStyle name="Calculation 5 2 5 2" xfId="1472" xr:uid="{00000000-0005-0000-0000-0000C5050000}"/>
    <cellStyle name="Calculation 5 2 6" xfId="1473" xr:uid="{00000000-0005-0000-0000-0000C6050000}"/>
    <cellStyle name="Calculation 5 2 6 2" xfId="1474" xr:uid="{00000000-0005-0000-0000-0000C7050000}"/>
    <cellStyle name="Calculation 5 2 7" xfId="1475" xr:uid="{00000000-0005-0000-0000-0000C8050000}"/>
    <cellStyle name="Calculation 5 2 8" xfId="1476" xr:uid="{00000000-0005-0000-0000-0000C9050000}"/>
    <cellStyle name="Calculation 5 2 9" xfId="1477" xr:uid="{00000000-0005-0000-0000-0000CA050000}"/>
    <cellStyle name="Calculation 5 2_2013Прогноз" xfId="1478" xr:uid="{00000000-0005-0000-0000-0000CB050000}"/>
    <cellStyle name="Calculation 5 3" xfId="1479" xr:uid="{00000000-0005-0000-0000-0000CC050000}"/>
    <cellStyle name="Calculation 5 3 2" xfId="1480" xr:uid="{00000000-0005-0000-0000-0000CD050000}"/>
    <cellStyle name="Calculation 5 3 2 2" xfId="1481" xr:uid="{00000000-0005-0000-0000-0000CE050000}"/>
    <cellStyle name="Calculation 5 3 2 2 2" xfId="1482" xr:uid="{00000000-0005-0000-0000-0000CF050000}"/>
    <cellStyle name="Calculation 5 3 2 3" xfId="1483" xr:uid="{00000000-0005-0000-0000-0000D0050000}"/>
    <cellStyle name="Calculation 5 3 2 3 2" xfId="1484" xr:uid="{00000000-0005-0000-0000-0000D1050000}"/>
    <cellStyle name="Calculation 5 3 2 4" xfId="1485" xr:uid="{00000000-0005-0000-0000-0000D2050000}"/>
    <cellStyle name="Calculation 5 3 2 4 2" xfId="1486" xr:uid="{00000000-0005-0000-0000-0000D3050000}"/>
    <cellStyle name="Calculation 5 3 2 5" xfId="1487" xr:uid="{00000000-0005-0000-0000-0000D4050000}"/>
    <cellStyle name="Calculation 5 3 2 5 2" xfId="1488" xr:uid="{00000000-0005-0000-0000-0000D5050000}"/>
    <cellStyle name="Calculation 5 3 2 6" xfId="1489" xr:uid="{00000000-0005-0000-0000-0000D6050000}"/>
    <cellStyle name="Calculation 5 3 2 7" xfId="1490" xr:uid="{00000000-0005-0000-0000-0000D7050000}"/>
    <cellStyle name="Calculation 5 3 2 8" xfId="1491" xr:uid="{00000000-0005-0000-0000-0000D8050000}"/>
    <cellStyle name="Calculation 5 3 2_2014БП" xfId="1492" xr:uid="{00000000-0005-0000-0000-0000D9050000}"/>
    <cellStyle name="Calculation 5 3 3" xfId="1493" xr:uid="{00000000-0005-0000-0000-0000DA050000}"/>
    <cellStyle name="Calculation 5 3 3 2" xfId="1494" xr:uid="{00000000-0005-0000-0000-0000DB050000}"/>
    <cellStyle name="Calculation 5 3 4" xfId="1495" xr:uid="{00000000-0005-0000-0000-0000DC050000}"/>
    <cellStyle name="Calculation 5 3 4 2" xfId="1496" xr:uid="{00000000-0005-0000-0000-0000DD050000}"/>
    <cellStyle name="Calculation 5 3 5" xfId="1497" xr:uid="{00000000-0005-0000-0000-0000DE050000}"/>
    <cellStyle name="Calculation 5 3 5 2" xfId="1498" xr:uid="{00000000-0005-0000-0000-0000DF050000}"/>
    <cellStyle name="Calculation 5 3 6" xfId="1499" xr:uid="{00000000-0005-0000-0000-0000E0050000}"/>
    <cellStyle name="Calculation 5 3 6 2" xfId="1500" xr:uid="{00000000-0005-0000-0000-0000E1050000}"/>
    <cellStyle name="Calculation 5 3 7" xfId="1501" xr:uid="{00000000-0005-0000-0000-0000E2050000}"/>
    <cellStyle name="Calculation 5 3 8" xfId="1502" xr:uid="{00000000-0005-0000-0000-0000E3050000}"/>
    <cellStyle name="Calculation 5 3 9" xfId="1503" xr:uid="{00000000-0005-0000-0000-0000E4050000}"/>
    <cellStyle name="Calculation 5 3_2013Прогноз" xfId="1504" xr:uid="{00000000-0005-0000-0000-0000E5050000}"/>
    <cellStyle name="Calculation 5 4" xfId="1505" xr:uid="{00000000-0005-0000-0000-0000E6050000}"/>
    <cellStyle name="Calculation 5 4 2" xfId="1506" xr:uid="{00000000-0005-0000-0000-0000E7050000}"/>
    <cellStyle name="Calculation 5 4 2 2" xfId="1507" xr:uid="{00000000-0005-0000-0000-0000E8050000}"/>
    <cellStyle name="Calculation 5 4 2 3" xfId="1508" xr:uid="{00000000-0005-0000-0000-0000E9050000}"/>
    <cellStyle name="Calculation 5 4 3" xfId="1509" xr:uid="{00000000-0005-0000-0000-0000EA050000}"/>
    <cellStyle name="Calculation 5 4 3 2" xfId="1510" xr:uid="{00000000-0005-0000-0000-0000EB050000}"/>
    <cellStyle name="Calculation 5 4 4" xfId="1511" xr:uid="{00000000-0005-0000-0000-0000EC050000}"/>
    <cellStyle name="Calculation 5 4 4 2" xfId="1512" xr:uid="{00000000-0005-0000-0000-0000ED050000}"/>
    <cellStyle name="Calculation 5 4 5" xfId="1513" xr:uid="{00000000-0005-0000-0000-0000EE050000}"/>
    <cellStyle name="Calculation 5 4 5 2" xfId="1514" xr:uid="{00000000-0005-0000-0000-0000EF050000}"/>
    <cellStyle name="Calculation 5 4 6" xfId="1515" xr:uid="{00000000-0005-0000-0000-0000F0050000}"/>
    <cellStyle name="Calculation 5 4 7" xfId="1516" xr:uid="{00000000-0005-0000-0000-0000F1050000}"/>
    <cellStyle name="Calculation 5 4 8" xfId="1517" xr:uid="{00000000-0005-0000-0000-0000F2050000}"/>
    <cellStyle name="Calculation 5 4_2014БП" xfId="1518" xr:uid="{00000000-0005-0000-0000-0000F3050000}"/>
    <cellStyle name="Calculation 5 5" xfId="1519" xr:uid="{00000000-0005-0000-0000-0000F4050000}"/>
    <cellStyle name="Calculation 5 5 2" xfId="1520" xr:uid="{00000000-0005-0000-0000-0000F5050000}"/>
    <cellStyle name="Calculation 5 5 2 2" xfId="1521" xr:uid="{00000000-0005-0000-0000-0000F6050000}"/>
    <cellStyle name="Calculation 5 5 3" xfId="1522" xr:uid="{00000000-0005-0000-0000-0000F7050000}"/>
    <cellStyle name="Calculation 5 6" xfId="1523" xr:uid="{00000000-0005-0000-0000-0000F8050000}"/>
    <cellStyle name="Calculation 5 6 2" xfId="1524" xr:uid="{00000000-0005-0000-0000-0000F9050000}"/>
    <cellStyle name="Calculation 5 6 3" xfId="1525" xr:uid="{00000000-0005-0000-0000-0000FA050000}"/>
    <cellStyle name="Calculation 5 7" xfId="1526" xr:uid="{00000000-0005-0000-0000-0000FB050000}"/>
    <cellStyle name="Calculation 5 7 2" xfId="1527" xr:uid="{00000000-0005-0000-0000-0000FC050000}"/>
    <cellStyle name="Calculation 5 8" xfId="1528" xr:uid="{00000000-0005-0000-0000-0000FD050000}"/>
    <cellStyle name="Calculation 5 8 2" xfId="1529" xr:uid="{00000000-0005-0000-0000-0000FE050000}"/>
    <cellStyle name="Calculation 5 9" xfId="1530" xr:uid="{00000000-0005-0000-0000-0000FF050000}"/>
    <cellStyle name="Calculation 5 9 2" xfId="1531" xr:uid="{00000000-0005-0000-0000-000000060000}"/>
    <cellStyle name="Calculation 5_2013Прогноз" xfId="1532" xr:uid="{00000000-0005-0000-0000-000001060000}"/>
    <cellStyle name="Calculation 6" xfId="1533" xr:uid="{00000000-0005-0000-0000-000002060000}"/>
    <cellStyle name="Calculation 6 10" xfId="1534" xr:uid="{00000000-0005-0000-0000-000003060000}"/>
    <cellStyle name="Calculation 6 10 2" xfId="1535" xr:uid="{00000000-0005-0000-0000-000004060000}"/>
    <cellStyle name="Calculation 6 11" xfId="1536" xr:uid="{00000000-0005-0000-0000-000005060000}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B7DEE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2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80"/>
  <sheetViews>
    <sheetView showGridLines="0" view="pageBreakPreview" zoomScale="85" zoomScaleNormal="85" zoomScalePage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6" sqref="E6"/>
    </sheetView>
  </sheetViews>
  <sheetFormatPr defaultColWidth="9.140625" defaultRowHeight="12.75"/>
  <cols>
    <col min="1" max="1" width="6" style="1" customWidth="1"/>
    <col min="2" max="2" width="42.7109375" style="2" customWidth="1"/>
    <col min="3" max="3" width="12.140625" style="3" customWidth="1"/>
    <col min="4" max="4" width="11.5703125" style="3" customWidth="1"/>
    <col min="5" max="5" width="8.7109375" style="4" customWidth="1"/>
    <col min="6" max="16" width="8.28515625" style="4" customWidth="1"/>
    <col min="17" max="17" width="54" style="1" customWidth="1"/>
    <col min="18" max="18" width="14" style="1" customWidth="1"/>
    <col min="19" max="16384" width="9.140625" style="1"/>
  </cols>
  <sheetData>
    <row r="2" spans="1:18" ht="18" customHeight="1">
      <c r="B2" s="5" t="s">
        <v>0</v>
      </c>
    </row>
    <row r="3" spans="1:18" s="6" customFormat="1" ht="27" customHeight="1">
      <c r="B3" s="7" t="s">
        <v>1</v>
      </c>
      <c r="C3" s="8" t="s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 t="s">
        <v>165</v>
      </c>
    </row>
    <row r="4" spans="1:18" s="16" customFormat="1" ht="25.5" customHeight="1">
      <c r="A4" s="11">
        <v>1</v>
      </c>
      <c r="B4" s="12" t="s">
        <v>3</v>
      </c>
      <c r="C4" s="13" t="s">
        <v>4</v>
      </c>
      <c r="D4" s="13">
        <v>0</v>
      </c>
      <c r="E4" s="13">
        <f t="shared" ref="E4:P4" si="0">D4+1</f>
        <v>1</v>
      </c>
      <c r="F4" s="13">
        <f t="shared" si="0"/>
        <v>2</v>
      </c>
      <c r="G4" s="13">
        <f t="shared" si="0"/>
        <v>3</v>
      </c>
      <c r="H4" s="13">
        <f t="shared" si="0"/>
        <v>4</v>
      </c>
      <c r="I4" s="13">
        <f t="shared" si="0"/>
        <v>5</v>
      </c>
      <c r="J4" s="13">
        <f t="shared" si="0"/>
        <v>6</v>
      </c>
      <c r="K4" s="13">
        <f t="shared" si="0"/>
        <v>7</v>
      </c>
      <c r="L4" s="13">
        <f t="shared" si="0"/>
        <v>8</v>
      </c>
      <c r="M4" s="13">
        <f t="shared" si="0"/>
        <v>9</v>
      </c>
      <c r="N4" s="13">
        <f t="shared" si="0"/>
        <v>10</v>
      </c>
      <c r="O4" s="13">
        <f t="shared" si="0"/>
        <v>11</v>
      </c>
      <c r="P4" s="13">
        <f t="shared" si="0"/>
        <v>12</v>
      </c>
      <c r="Q4" s="14" t="s">
        <v>172</v>
      </c>
      <c r="R4" s="15"/>
    </row>
    <row r="5" spans="1:18" s="16" customFormat="1" ht="12.75" customHeight="1">
      <c r="A5" s="11">
        <f>A4+1</f>
        <v>2</v>
      </c>
      <c r="B5" s="17" t="s">
        <v>5</v>
      </c>
      <c r="C5" s="18" t="s">
        <v>6</v>
      </c>
      <c r="D5" s="19">
        <v>250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20" t="s">
        <v>7</v>
      </c>
      <c r="R5" s="15"/>
    </row>
    <row r="6" spans="1:18" ht="18" customHeight="1">
      <c r="A6" s="11">
        <f>A5+1</f>
        <v>3</v>
      </c>
      <c r="B6" s="17" t="s">
        <v>8</v>
      </c>
      <c r="C6" s="18" t="s">
        <v>9</v>
      </c>
      <c r="D6" s="18"/>
      <c r="E6" s="21">
        <f t="shared" ref="E6:P6" si="1">(8760-E7-E8-E9)/8760</f>
        <v>0.93093607305936077</v>
      </c>
      <c r="F6" s="21">
        <f t="shared" si="1"/>
        <v>0.91717402333840692</v>
      </c>
      <c r="G6" s="21">
        <f t="shared" si="1"/>
        <v>0.93093607305936077</v>
      </c>
      <c r="H6" s="21">
        <f t="shared" si="1"/>
        <v>0.91717402333840692</v>
      </c>
      <c r="I6" s="21">
        <f t="shared" si="1"/>
        <v>0.88654236428209032</v>
      </c>
      <c r="J6" s="21">
        <f t="shared" si="1"/>
        <v>0.91717402333840692</v>
      </c>
      <c r="K6" s="21">
        <f t="shared" si="1"/>
        <v>0.8505834601725013</v>
      </c>
      <c r="L6" s="21">
        <f t="shared" si="1"/>
        <v>0.91983764586504313</v>
      </c>
      <c r="M6" s="21">
        <f t="shared" si="1"/>
        <v>0.92827245053272456</v>
      </c>
      <c r="N6" s="21">
        <f t="shared" si="1"/>
        <v>0.85324708269913752</v>
      </c>
      <c r="O6" s="21">
        <f t="shared" si="1"/>
        <v>0.92827245053272456</v>
      </c>
      <c r="P6" s="21">
        <f t="shared" si="1"/>
        <v>0.91717402333840692</v>
      </c>
      <c r="Q6" s="20" t="s">
        <v>10</v>
      </c>
    </row>
    <row r="7" spans="1:18" ht="16.5" customHeight="1">
      <c r="A7" s="11">
        <f>A6+1</f>
        <v>4</v>
      </c>
      <c r="B7" s="22" t="s">
        <v>11</v>
      </c>
      <c r="C7" s="23" t="s">
        <v>12</v>
      </c>
      <c r="D7" s="23"/>
      <c r="E7" s="24">
        <f>ТО!G7</f>
        <v>172</v>
      </c>
      <c r="F7" s="24">
        <f>ТО!H7</f>
        <v>196</v>
      </c>
      <c r="G7" s="24">
        <f>ТО!I7</f>
        <v>172</v>
      </c>
      <c r="H7" s="24">
        <f>ТО!J7</f>
        <v>196</v>
      </c>
      <c r="I7" s="24">
        <f>ТО!K7</f>
        <v>172</v>
      </c>
      <c r="J7" s="24">
        <f>ТО!L7</f>
        <v>196</v>
      </c>
      <c r="K7" s="24">
        <f>ТО!M7</f>
        <v>196</v>
      </c>
      <c r="L7" s="24">
        <f>ТО!N7</f>
        <v>172</v>
      </c>
      <c r="M7" s="24">
        <f>ТО!O7</f>
        <v>196</v>
      </c>
      <c r="N7" s="24">
        <f>ТО!P7</f>
        <v>172</v>
      </c>
      <c r="O7" s="24">
        <f>ТО!Q7</f>
        <v>196</v>
      </c>
      <c r="P7" s="24">
        <f>ТО!R7</f>
        <v>196</v>
      </c>
      <c r="Q7" s="20"/>
    </row>
    <row r="8" spans="1:18" ht="16.5" customHeight="1">
      <c r="A8" s="11">
        <f>A7+1</f>
        <v>5</v>
      </c>
      <c r="B8" s="22" t="s">
        <v>13</v>
      </c>
      <c r="C8" s="23" t="s">
        <v>12</v>
      </c>
      <c r="D8" s="23"/>
      <c r="E8" s="24">
        <f>Ремонты!F8</f>
        <v>200</v>
      </c>
      <c r="F8" s="24">
        <f>Ремонты!G8</f>
        <v>300</v>
      </c>
      <c r="G8" s="24">
        <f>Ремонты!H8</f>
        <v>200</v>
      </c>
      <c r="H8" s="24">
        <f>Ремонты!I8</f>
        <v>300</v>
      </c>
      <c r="I8" s="24">
        <f>Ремонты!J8</f>
        <v>600</v>
      </c>
      <c r="J8" s="24">
        <f>Ремонты!K8</f>
        <v>300</v>
      </c>
      <c r="K8" s="24">
        <f>Ремонты!L8</f>
        <v>900</v>
      </c>
      <c r="L8" s="24">
        <f>Ремонты!M8</f>
        <v>300</v>
      </c>
      <c r="M8" s="24">
        <f>Ремонты!N8</f>
        <v>200</v>
      </c>
      <c r="N8" s="24">
        <f>Ремонты!O8</f>
        <v>900</v>
      </c>
      <c r="O8" s="24">
        <f>Ремонты!P8</f>
        <v>200</v>
      </c>
      <c r="P8" s="24">
        <f>Ремонты!Q8</f>
        <v>300</v>
      </c>
      <c r="Q8" s="20"/>
    </row>
    <row r="9" spans="1:18" ht="16.5" customHeight="1">
      <c r="A9" s="11"/>
      <c r="B9" s="22" t="s">
        <v>14</v>
      </c>
      <c r="C9" s="23" t="s">
        <v>12</v>
      </c>
      <c r="D9" s="23"/>
      <c r="E9" s="24">
        <f t="shared" ref="E9:P9" si="2">(8760-E7-E8)/12*20/60</f>
        <v>233</v>
      </c>
      <c r="F9" s="24">
        <f t="shared" si="2"/>
        <v>229.55555555555554</v>
      </c>
      <c r="G9" s="24">
        <f t="shared" si="2"/>
        <v>233</v>
      </c>
      <c r="H9" s="24">
        <f t="shared" si="2"/>
        <v>229.55555555555554</v>
      </c>
      <c r="I9" s="24">
        <f t="shared" si="2"/>
        <v>221.88888888888886</v>
      </c>
      <c r="J9" s="24">
        <f t="shared" si="2"/>
        <v>229.55555555555554</v>
      </c>
      <c r="K9" s="24">
        <f t="shared" si="2"/>
        <v>212.88888888888886</v>
      </c>
      <c r="L9" s="24">
        <f t="shared" si="2"/>
        <v>230.2222222222222</v>
      </c>
      <c r="M9" s="24">
        <f t="shared" si="2"/>
        <v>232.33333333333334</v>
      </c>
      <c r="N9" s="24">
        <f t="shared" si="2"/>
        <v>213.55555555555554</v>
      </c>
      <c r="O9" s="24">
        <f t="shared" si="2"/>
        <v>232.33333333333334</v>
      </c>
      <c r="P9" s="24">
        <f t="shared" si="2"/>
        <v>229.55555555555554</v>
      </c>
      <c r="Q9" s="20"/>
    </row>
    <row r="10" spans="1:18" ht="45.75" customHeight="1">
      <c r="A10" s="11">
        <f>A8+1</f>
        <v>6</v>
      </c>
      <c r="B10" s="17" t="s">
        <v>15</v>
      </c>
      <c r="C10" s="23"/>
      <c r="D10" s="25" t="s">
        <v>16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0" t="s">
        <v>17</v>
      </c>
    </row>
    <row r="11" spans="1:18" ht="12.75" customHeight="1">
      <c r="A11" s="11">
        <f>A10+1</f>
        <v>7</v>
      </c>
      <c r="B11" s="17" t="s">
        <v>18</v>
      </c>
      <c r="C11" s="23" t="s">
        <v>19</v>
      </c>
      <c r="D11" s="25">
        <v>563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0" t="s">
        <v>17</v>
      </c>
    </row>
    <row r="12" spans="1:18" ht="12.75" customHeight="1">
      <c r="A12" s="11">
        <f>A11+1</f>
        <v>8</v>
      </c>
      <c r="B12" s="17" t="s">
        <v>20</v>
      </c>
      <c r="C12" s="23" t="s">
        <v>21</v>
      </c>
      <c r="D12" s="25">
        <v>10.7</v>
      </c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0" t="s">
        <v>17</v>
      </c>
    </row>
    <row r="13" spans="1:18" ht="12.75" customHeight="1">
      <c r="A13" s="11">
        <f>A12+1</f>
        <v>9</v>
      </c>
      <c r="B13" s="17" t="s">
        <v>22</v>
      </c>
      <c r="C13" s="23" t="s">
        <v>21</v>
      </c>
      <c r="D13" s="25">
        <v>9.3000000000000007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0" t="s">
        <v>17</v>
      </c>
    </row>
    <row r="14" spans="1:18" ht="12.75" customHeight="1">
      <c r="A14" s="11">
        <f>A13+1</f>
        <v>10</v>
      </c>
      <c r="B14" s="17" t="s">
        <v>23</v>
      </c>
      <c r="C14" s="23" t="s">
        <v>24</v>
      </c>
      <c r="D14" s="25">
        <v>51.5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0" t="s">
        <v>17</v>
      </c>
    </row>
    <row r="15" spans="1:18" ht="13.5" customHeight="1">
      <c r="A15" s="11"/>
      <c r="B15" s="27" t="s">
        <v>25</v>
      </c>
      <c r="C15" s="28" t="s">
        <v>24</v>
      </c>
      <c r="D15" s="29">
        <v>26.9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1" t="s">
        <v>17</v>
      </c>
    </row>
    <row r="16" spans="1:18" ht="20.25" customHeight="1">
      <c r="A16" s="11"/>
      <c r="B16" s="32" t="s">
        <v>26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7" ht="12.75" customHeight="1">
      <c r="A17" s="11">
        <f>A14+1</f>
        <v>11</v>
      </c>
      <c r="B17" s="12" t="s">
        <v>27</v>
      </c>
      <c r="C17" s="33" t="s">
        <v>28</v>
      </c>
      <c r="D17" s="34" t="s">
        <v>164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14"/>
    </row>
    <row r="18" spans="1:17" ht="12.75" customHeight="1">
      <c r="A18" s="11">
        <f>A17+1</f>
        <v>12</v>
      </c>
      <c r="B18" s="36" t="s">
        <v>29</v>
      </c>
      <c r="C18" s="23" t="s">
        <v>30</v>
      </c>
      <c r="D18" s="25">
        <v>14600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0" t="s">
        <v>17</v>
      </c>
    </row>
    <row r="19" spans="1:17" ht="22.5" customHeight="1">
      <c r="A19" s="11">
        <f>A18+1</f>
        <v>13</v>
      </c>
      <c r="B19" s="27" t="s">
        <v>31</v>
      </c>
      <c r="C19" s="28" t="s">
        <v>32</v>
      </c>
      <c r="D19" s="37">
        <v>200</v>
      </c>
      <c r="E19" s="38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 t="s">
        <v>17</v>
      </c>
    </row>
    <row r="20" spans="1:17" ht="22.5" customHeight="1">
      <c r="A20" s="11"/>
      <c r="B20" s="32" t="s">
        <v>33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7" ht="12.75" customHeight="1">
      <c r="A21" s="11">
        <f>A19+1</f>
        <v>14</v>
      </c>
      <c r="B21" s="12" t="s">
        <v>34</v>
      </c>
      <c r="C21" s="33" t="s">
        <v>35</v>
      </c>
      <c r="D21" s="237">
        <v>53.8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14" t="s">
        <v>17</v>
      </c>
    </row>
    <row r="22" spans="1:17" ht="12.75" customHeight="1">
      <c r="A22" s="11">
        <f>A21+1</f>
        <v>15</v>
      </c>
      <c r="B22" s="17" t="s">
        <v>36</v>
      </c>
      <c r="C22" s="23" t="s">
        <v>37</v>
      </c>
      <c r="D22" s="238">
        <v>7.6</v>
      </c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1" t="s">
        <v>17</v>
      </c>
    </row>
    <row r="23" spans="1:17" ht="12.75" customHeight="1">
      <c r="A23" s="11">
        <f>A22+1</f>
        <v>16</v>
      </c>
      <c r="B23" s="17" t="s">
        <v>38</v>
      </c>
      <c r="C23" s="23"/>
      <c r="D23" s="239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1"/>
    </row>
    <row r="24" spans="1:17" ht="12.75" customHeight="1">
      <c r="A24" s="11">
        <f>A23+1</f>
        <v>17</v>
      </c>
      <c r="B24" s="22" t="s">
        <v>39</v>
      </c>
      <c r="C24" s="23" t="s">
        <v>35</v>
      </c>
      <c r="D24" s="238" t="s">
        <v>40</v>
      </c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1" t="s">
        <v>166</v>
      </c>
    </row>
    <row r="25" spans="1:17" ht="12.75" customHeight="1">
      <c r="A25" s="11">
        <f>A24+1</f>
        <v>18</v>
      </c>
      <c r="B25" s="22" t="s">
        <v>41</v>
      </c>
      <c r="C25" s="23" t="s">
        <v>42</v>
      </c>
      <c r="D25" s="25" t="s">
        <v>40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0" t="s">
        <v>166</v>
      </c>
    </row>
    <row r="26" spans="1:17" ht="13.5" customHeight="1">
      <c r="A26" s="11">
        <f>A25+1</f>
        <v>19</v>
      </c>
      <c r="B26" s="42" t="s">
        <v>43</v>
      </c>
      <c r="C26" s="28" t="s">
        <v>44</v>
      </c>
      <c r="D26" s="29" t="s">
        <v>40</v>
      </c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1" t="s">
        <v>166</v>
      </c>
    </row>
    <row r="27" spans="1:17" ht="13.5" customHeight="1">
      <c r="A27" s="11"/>
    </row>
    <row r="28" spans="1:17" ht="23.25" customHeight="1">
      <c r="A28" s="11">
        <f>A26+1</f>
        <v>20</v>
      </c>
      <c r="B28" s="12" t="s">
        <v>45</v>
      </c>
      <c r="C28" s="43" t="s">
        <v>46</v>
      </c>
      <c r="D28" s="43"/>
      <c r="E28" s="44">
        <f t="shared" ref="E28:P28" si="3">SUM(E29:E33)</f>
        <v>180.85999999999999</v>
      </c>
      <c r="F28" s="44">
        <f t="shared" si="3"/>
        <v>331.14000000000004</v>
      </c>
      <c r="G28" s="44">
        <f t="shared" si="3"/>
        <v>421.46000000000004</v>
      </c>
      <c r="H28" s="44">
        <f t="shared" si="3"/>
        <v>356.14000000000004</v>
      </c>
      <c r="I28" s="44">
        <f t="shared" si="3"/>
        <v>292.36</v>
      </c>
      <c r="J28" s="44">
        <f t="shared" si="3"/>
        <v>462.64000000000004</v>
      </c>
      <c r="K28" s="44">
        <f t="shared" si="3"/>
        <v>337.64000000000004</v>
      </c>
      <c r="L28" s="44">
        <f t="shared" si="3"/>
        <v>408.96000000000004</v>
      </c>
      <c r="M28" s="44">
        <f t="shared" si="3"/>
        <v>377.04</v>
      </c>
      <c r="N28" s="44">
        <f t="shared" si="3"/>
        <v>398.46000000000004</v>
      </c>
      <c r="O28" s="44">
        <f t="shared" si="3"/>
        <v>316.14000000000004</v>
      </c>
      <c r="P28" s="44">
        <f t="shared" si="3"/>
        <v>388.14000000000004</v>
      </c>
      <c r="Q28" s="14"/>
    </row>
    <row r="29" spans="1:17" ht="12.75" customHeight="1">
      <c r="A29" s="11">
        <f>A28+1</f>
        <v>21</v>
      </c>
      <c r="B29" s="45" t="s">
        <v>47</v>
      </c>
      <c r="C29" s="46"/>
      <c r="D29" s="46"/>
      <c r="E29" s="47">
        <f>ТО!G9/1000</f>
        <v>70.12</v>
      </c>
      <c r="F29" s="47">
        <f>ТО!H9/1000</f>
        <v>70.12</v>
      </c>
      <c r="G29" s="47">
        <f>ТО!I9/1000</f>
        <v>70.12</v>
      </c>
      <c r="H29" s="47">
        <f>ТО!J9/1000</f>
        <v>70.12</v>
      </c>
      <c r="I29" s="47">
        <f>ТО!K9/1000</f>
        <v>70.12</v>
      </c>
      <c r="J29" s="47">
        <f>ТО!L9/1000</f>
        <v>70.12</v>
      </c>
      <c r="K29" s="47">
        <f>ТО!M9/1000</f>
        <v>70.12</v>
      </c>
      <c r="L29" s="47">
        <f>ТО!N9/1000</f>
        <v>70.12</v>
      </c>
      <c r="M29" s="47">
        <f>ТО!O9/1000</f>
        <v>70.12</v>
      </c>
      <c r="N29" s="47">
        <f>ТО!P9/1000</f>
        <v>70.12</v>
      </c>
      <c r="O29" s="47">
        <f>ТО!Q9/1000</f>
        <v>70.12</v>
      </c>
      <c r="P29" s="47">
        <f>ТО!R9/1000</f>
        <v>70.12</v>
      </c>
      <c r="Q29" s="20"/>
    </row>
    <row r="30" spans="1:17" ht="12.75" customHeight="1">
      <c r="A30" s="11">
        <f>A29+1</f>
        <v>22</v>
      </c>
      <c r="B30" s="45" t="s">
        <v>48</v>
      </c>
      <c r="C30" s="46"/>
      <c r="D30" s="46"/>
      <c r="E30" s="47">
        <f>Ремонты!F33/1000</f>
        <v>8.5</v>
      </c>
      <c r="F30" s="47">
        <f>Ремонты!G33/1000</f>
        <v>8.5</v>
      </c>
      <c r="G30" s="47">
        <f>Ремонты!H33/1000</f>
        <v>8.5</v>
      </c>
      <c r="H30" s="47">
        <f>Ремонты!I33/1000</f>
        <v>8.5</v>
      </c>
      <c r="I30" s="47">
        <f>Ремонты!J33/1000</f>
        <v>8.5</v>
      </c>
      <c r="J30" s="47">
        <f>Ремонты!K33/1000</f>
        <v>8.5</v>
      </c>
      <c r="K30" s="47">
        <f>Ремонты!L33/1000</f>
        <v>8.5</v>
      </c>
      <c r="L30" s="47">
        <f>Ремонты!M33/1000</f>
        <v>8.5</v>
      </c>
      <c r="M30" s="47">
        <f>Ремонты!N33/1000</f>
        <v>8.5</v>
      </c>
      <c r="N30" s="47">
        <f>Ремонты!O33/1000</f>
        <v>8.5</v>
      </c>
      <c r="O30" s="47">
        <f>Ремонты!P33/1000</f>
        <v>8.5</v>
      </c>
      <c r="P30" s="47">
        <f>Ремонты!Q33/1000</f>
        <v>8.5</v>
      </c>
      <c r="Q30" s="20"/>
    </row>
    <row r="31" spans="1:17" ht="25.5" customHeight="1">
      <c r="A31" s="11">
        <f>A30+1</f>
        <v>23</v>
      </c>
      <c r="B31" s="45" t="s">
        <v>49</v>
      </c>
      <c r="C31" s="46"/>
      <c r="D31" s="46"/>
      <c r="E31" s="47">
        <f>Ремонты!F39/1000</f>
        <v>76.2</v>
      </c>
      <c r="F31" s="47">
        <f>Ремонты!G39/1000</f>
        <v>217.8</v>
      </c>
      <c r="G31" s="47">
        <f>Ремонты!H39/1000</f>
        <v>316.8</v>
      </c>
      <c r="H31" s="47">
        <f>Ремонты!I39/1000</f>
        <v>242.8</v>
      </c>
      <c r="I31" s="47">
        <f>Ремонты!J39/1000</f>
        <v>145.69999999999999</v>
      </c>
      <c r="J31" s="47">
        <f>Ремонты!K39/1000</f>
        <v>349.3</v>
      </c>
      <c r="K31" s="47">
        <f>Ремонты!L39/1000</f>
        <v>182.3</v>
      </c>
      <c r="L31" s="47">
        <f>Ремонты!M39/1000</f>
        <v>297.3</v>
      </c>
      <c r="M31" s="47">
        <f>Ремонты!N39/1000</f>
        <v>270.7</v>
      </c>
      <c r="N31" s="47">
        <f>Ремонты!O39/1000</f>
        <v>244.8</v>
      </c>
      <c r="O31" s="47">
        <f>Ремонты!P39/1000</f>
        <v>209.8</v>
      </c>
      <c r="P31" s="47">
        <f>Ремонты!Q39/1000</f>
        <v>274.8</v>
      </c>
      <c r="Q31" s="20"/>
    </row>
    <row r="32" spans="1:17" ht="12.75" customHeight="1">
      <c r="A32" s="11">
        <f>A31+1</f>
        <v>24</v>
      </c>
      <c r="B32" s="45" t="s">
        <v>50</v>
      </c>
      <c r="C32" s="46"/>
      <c r="D32" s="46"/>
      <c r="E32" s="47">
        <f>ТО!G10/1000</f>
        <v>12.04</v>
      </c>
      <c r="F32" s="47">
        <f>ТО!H10/1000</f>
        <v>13.72</v>
      </c>
      <c r="G32" s="47">
        <f>ТО!I10/1000</f>
        <v>12.04</v>
      </c>
      <c r="H32" s="47">
        <f>ТО!J10/1000</f>
        <v>13.72</v>
      </c>
      <c r="I32" s="47">
        <f>ТО!K10/1000</f>
        <v>12.04</v>
      </c>
      <c r="J32" s="47">
        <f>ТО!L10/1000</f>
        <v>13.72</v>
      </c>
      <c r="K32" s="47">
        <f>ТО!M10/1000</f>
        <v>13.72</v>
      </c>
      <c r="L32" s="47">
        <f>ТО!N10/1000</f>
        <v>12.04</v>
      </c>
      <c r="M32" s="47">
        <f>ТО!O10/1000</f>
        <v>13.72</v>
      </c>
      <c r="N32" s="47">
        <f>ТО!P10/1000</f>
        <v>12.04</v>
      </c>
      <c r="O32" s="47">
        <f>ТО!Q10/1000</f>
        <v>13.72</v>
      </c>
      <c r="P32" s="47">
        <f>ТО!R10/1000</f>
        <v>13.72</v>
      </c>
      <c r="Q32" s="20"/>
    </row>
    <row r="33" spans="1:17" ht="13.5" customHeight="1">
      <c r="A33" s="11">
        <f>A32+1</f>
        <v>25</v>
      </c>
      <c r="B33" s="48" t="s">
        <v>51</v>
      </c>
      <c r="C33" s="49"/>
      <c r="D33" s="49"/>
      <c r="E33" s="50">
        <f>Ремонты!F12/1000</f>
        <v>14</v>
      </c>
      <c r="F33" s="50">
        <f>Ремонты!G12/1000</f>
        <v>21</v>
      </c>
      <c r="G33" s="50">
        <f>Ремонты!H12/1000</f>
        <v>14</v>
      </c>
      <c r="H33" s="50">
        <f>Ремонты!I12/1000</f>
        <v>21</v>
      </c>
      <c r="I33" s="50">
        <f>Ремонты!J12/1000</f>
        <v>56</v>
      </c>
      <c r="J33" s="50">
        <f>Ремонты!K12/1000</f>
        <v>21</v>
      </c>
      <c r="K33" s="50">
        <f>Ремонты!L12/1000</f>
        <v>63</v>
      </c>
      <c r="L33" s="50">
        <f>Ремонты!M12/1000</f>
        <v>21</v>
      </c>
      <c r="M33" s="50">
        <f>Ремонты!N12/1000</f>
        <v>14</v>
      </c>
      <c r="N33" s="50">
        <f>Ремонты!O12/1000</f>
        <v>63</v>
      </c>
      <c r="O33" s="50">
        <f>Ремонты!P12/1000</f>
        <v>14</v>
      </c>
      <c r="P33" s="50">
        <f>Ремонты!Q12/1000</f>
        <v>21</v>
      </c>
      <c r="Q33" s="31"/>
    </row>
    <row r="34" spans="1:17" ht="13.5" customHeight="1">
      <c r="A34" s="1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7" ht="19.5" customHeight="1">
      <c r="A35" s="11">
        <f>A33+1</f>
        <v>26</v>
      </c>
      <c r="B35" s="51" t="s">
        <v>38</v>
      </c>
      <c r="C35" s="43"/>
      <c r="D35" s="43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14"/>
    </row>
    <row r="36" spans="1:17" ht="19.5" customHeight="1">
      <c r="A36" s="11">
        <f t="shared" ref="A36:A76" si="4">A35+1</f>
        <v>27</v>
      </c>
      <c r="B36" s="53" t="s">
        <v>26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54"/>
    </row>
    <row r="37" spans="1:17" ht="12.75" customHeight="1">
      <c r="A37" s="11">
        <f t="shared" si="4"/>
        <v>28</v>
      </c>
      <c r="B37" s="55" t="s">
        <v>167</v>
      </c>
      <c r="C37" s="40"/>
      <c r="D37" s="23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0"/>
    </row>
    <row r="38" spans="1:17" ht="16.5" customHeight="1">
      <c r="A38" s="11">
        <f t="shared" si="4"/>
        <v>29</v>
      </c>
      <c r="B38" s="56" t="s">
        <v>52</v>
      </c>
      <c r="C38" s="240">
        <f>C39/1500</f>
        <v>1.0666666666666667</v>
      </c>
      <c r="D38" s="23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0"/>
    </row>
    <row r="39" spans="1:17" ht="13.5" customHeight="1">
      <c r="A39" s="11">
        <f t="shared" si="4"/>
        <v>30</v>
      </c>
      <c r="B39" s="56" t="s">
        <v>53</v>
      </c>
      <c r="C39" s="25">
        <v>1600</v>
      </c>
      <c r="D39" s="57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20"/>
    </row>
    <row r="40" spans="1:17" ht="12.75" customHeight="1">
      <c r="A40" s="11">
        <f t="shared" si="4"/>
        <v>31</v>
      </c>
      <c r="B40" s="55" t="s">
        <v>168</v>
      </c>
      <c r="C40" s="57"/>
      <c r="D40" s="57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20"/>
    </row>
    <row r="41" spans="1:17" ht="13.5" customHeight="1">
      <c r="A41" s="11">
        <f t="shared" si="4"/>
        <v>32</v>
      </c>
      <c r="B41" s="56" t="s">
        <v>52</v>
      </c>
      <c r="C41" s="59">
        <f>C42/4000</f>
        <v>1</v>
      </c>
      <c r="D41" s="57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0"/>
    </row>
    <row r="42" spans="1:17" ht="13.5" customHeight="1">
      <c r="A42" s="11">
        <f t="shared" si="4"/>
        <v>33</v>
      </c>
      <c r="B42" s="56" t="s">
        <v>53</v>
      </c>
      <c r="C42" s="59">
        <v>4000</v>
      </c>
      <c r="D42" s="57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20"/>
    </row>
    <row r="43" spans="1:17" ht="12.75" customHeight="1">
      <c r="A43" s="11">
        <f t="shared" si="4"/>
        <v>34</v>
      </c>
      <c r="B43" s="55" t="s">
        <v>169</v>
      </c>
      <c r="C43" s="57"/>
      <c r="D43" s="60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20"/>
    </row>
    <row r="44" spans="1:17" ht="12.75" customHeight="1">
      <c r="A44" s="11">
        <f t="shared" si="4"/>
        <v>35</v>
      </c>
      <c r="B44" s="56" t="s">
        <v>52</v>
      </c>
      <c r="C44" s="241">
        <f>C45/6000</f>
        <v>0.2</v>
      </c>
      <c r="D44" s="60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0"/>
    </row>
    <row r="45" spans="1:17" ht="12.75" customHeight="1">
      <c r="A45" s="11">
        <f t="shared" si="4"/>
        <v>36</v>
      </c>
      <c r="B45" s="56" t="s">
        <v>53</v>
      </c>
      <c r="C45" s="59">
        <v>1200</v>
      </c>
      <c r="D45" s="60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20"/>
    </row>
    <row r="46" spans="1:17" ht="12.75" customHeight="1">
      <c r="A46" s="11">
        <f t="shared" si="4"/>
        <v>37</v>
      </c>
      <c r="B46" s="55" t="s">
        <v>170</v>
      </c>
      <c r="C46" s="57"/>
      <c r="D46" s="60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20"/>
    </row>
    <row r="47" spans="1:17" ht="12.75" customHeight="1">
      <c r="A47" s="11">
        <f t="shared" si="4"/>
        <v>38</v>
      </c>
      <c r="B47" s="56" t="s">
        <v>52</v>
      </c>
      <c r="C47" s="241">
        <f>C48/12000</f>
        <v>6.6666666666666666E-2</v>
      </c>
      <c r="D47" s="60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0"/>
    </row>
    <row r="48" spans="1:17" ht="12.75" customHeight="1">
      <c r="A48" s="11">
        <f t="shared" si="4"/>
        <v>39</v>
      </c>
      <c r="B48" s="56" t="s">
        <v>53</v>
      </c>
      <c r="C48" s="59">
        <v>800</v>
      </c>
      <c r="D48" s="60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20"/>
    </row>
    <row r="49" spans="1:17" ht="12.75" customHeight="1">
      <c r="A49" s="11">
        <f t="shared" si="4"/>
        <v>40</v>
      </c>
      <c r="B49" s="55" t="s">
        <v>171</v>
      </c>
      <c r="C49" s="57"/>
      <c r="D49" s="60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20"/>
    </row>
    <row r="50" spans="1:17" ht="12.75" customHeight="1">
      <c r="A50" s="11">
        <f t="shared" si="4"/>
        <v>41</v>
      </c>
      <c r="B50" s="56" t="s">
        <v>52</v>
      </c>
      <c r="C50" s="59"/>
      <c r="D50" s="60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0"/>
    </row>
    <row r="51" spans="1:17" ht="12.75" customHeight="1">
      <c r="A51" s="11">
        <f t="shared" si="4"/>
        <v>42</v>
      </c>
      <c r="B51" s="56" t="s">
        <v>53</v>
      </c>
      <c r="C51" s="59"/>
      <c r="D51" s="60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20"/>
    </row>
    <row r="52" spans="1:17" ht="19.5" customHeight="1">
      <c r="A52" s="11">
        <f t="shared" si="4"/>
        <v>43</v>
      </c>
      <c r="B52" s="53" t="s">
        <v>33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54"/>
    </row>
    <row r="53" spans="1:17" ht="12.75" customHeight="1">
      <c r="A53" s="11">
        <f t="shared" si="4"/>
        <v>44</v>
      </c>
      <c r="B53" s="55" t="s">
        <v>56</v>
      </c>
      <c r="C53" s="40"/>
      <c r="D53" s="23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0"/>
    </row>
    <row r="54" spans="1:17" ht="12.75" customHeight="1">
      <c r="A54" s="11">
        <f t="shared" si="4"/>
        <v>45</v>
      </c>
      <c r="B54" s="56" t="s">
        <v>52</v>
      </c>
      <c r="C54" s="59" t="s">
        <v>40</v>
      </c>
      <c r="D54" s="23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0"/>
    </row>
    <row r="55" spans="1:17" ht="12.75" customHeight="1">
      <c r="A55" s="11">
        <f t="shared" si="4"/>
        <v>46</v>
      </c>
      <c r="B55" s="56" t="s">
        <v>53</v>
      </c>
      <c r="C55" s="59" t="s">
        <v>40</v>
      </c>
      <c r="D55" s="57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20"/>
    </row>
    <row r="56" spans="1:17" ht="12.75" customHeight="1">
      <c r="A56" s="11">
        <f t="shared" si="4"/>
        <v>47</v>
      </c>
      <c r="B56" s="55" t="s">
        <v>57</v>
      </c>
      <c r="C56" s="23"/>
      <c r="D56" s="57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20"/>
    </row>
    <row r="57" spans="1:17" ht="12.75" customHeight="1">
      <c r="A57" s="11">
        <f t="shared" si="4"/>
        <v>48</v>
      </c>
      <c r="B57" s="56" t="s">
        <v>52</v>
      </c>
      <c r="C57" s="59" t="s">
        <v>40</v>
      </c>
      <c r="D57" s="57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20"/>
    </row>
    <row r="58" spans="1:17" ht="12.75" customHeight="1">
      <c r="A58" s="11">
        <f t="shared" si="4"/>
        <v>49</v>
      </c>
      <c r="B58" s="56" t="s">
        <v>53</v>
      </c>
      <c r="C58" s="59" t="s">
        <v>40</v>
      </c>
      <c r="D58" s="57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20"/>
    </row>
    <row r="59" spans="1:17" ht="12.75" customHeight="1">
      <c r="A59" s="11">
        <f t="shared" si="4"/>
        <v>50</v>
      </c>
      <c r="B59" s="55" t="s">
        <v>58</v>
      </c>
      <c r="C59" s="23"/>
      <c r="D59" s="57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20"/>
    </row>
    <row r="60" spans="1:17" ht="12.75" customHeight="1">
      <c r="A60" s="11">
        <f t="shared" si="4"/>
        <v>51</v>
      </c>
      <c r="B60" s="56" t="s">
        <v>52</v>
      </c>
      <c r="C60" s="59" t="s">
        <v>40</v>
      </c>
      <c r="D60" s="57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20"/>
    </row>
    <row r="61" spans="1:17" ht="12.75" customHeight="1">
      <c r="A61" s="11">
        <f t="shared" si="4"/>
        <v>52</v>
      </c>
      <c r="B61" s="56" t="s">
        <v>53</v>
      </c>
      <c r="C61" s="59" t="s">
        <v>40</v>
      </c>
      <c r="D61" s="57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20"/>
    </row>
    <row r="62" spans="1:17" ht="12.75" customHeight="1">
      <c r="A62" s="11">
        <f t="shared" si="4"/>
        <v>53</v>
      </c>
      <c r="B62" s="55" t="s">
        <v>54</v>
      </c>
      <c r="C62" s="57"/>
      <c r="D62" s="57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20"/>
    </row>
    <row r="63" spans="1:17" ht="12.75" customHeight="1">
      <c r="A63" s="11">
        <f t="shared" si="4"/>
        <v>54</v>
      </c>
      <c r="B63" s="56" t="s">
        <v>52</v>
      </c>
      <c r="C63" s="59" t="s">
        <v>40</v>
      </c>
      <c r="D63" s="57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0"/>
    </row>
    <row r="64" spans="1:17" ht="12.75" customHeight="1">
      <c r="A64" s="11">
        <f t="shared" si="4"/>
        <v>55</v>
      </c>
      <c r="B64" s="56" t="s">
        <v>53</v>
      </c>
      <c r="C64" s="59" t="s">
        <v>40</v>
      </c>
      <c r="D64" s="57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20"/>
    </row>
    <row r="65" spans="1:17" ht="12.75" customHeight="1">
      <c r="A65" s="11">
        <f t="shared" si="4"/>
        <v>56</v>
      </c>
      <c r="B65" s="55" t="s">
        <v>59</v>
      </c>
      <c r="C65" s="57"/>
      <c r="D65" s="60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20"/>
    </row>
    <row r="66" spans="1:17" ht="12.75" customHeight="1">
      <c r="A66" s="11">
        <f t="shared" si="4"/>
        <v>57</v>
      </c>
      <c r="B66" s="56" t="s">
        <v>52</v>
      </c>
      <c r="C66" s="59" t="s">
        <v>40</v>
      </c>
      <c r="D66" s="60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0"/>
    </row>
    <row r="67" spans="1:17" ht="12.75" customHeight="1">
      <c r="A67" s="11">
        <f t="shared" si="4"/>
        <v>58</v>
      </c>
      <c r="B67" s="56" t="s">
        <v>53</v>
      </c>
      <c r="C67" s="59" t="s">
        <v>40</v>
      </c>
      <c r="D67" s="60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20"/>
    </row>
    <row r="68" spans="1:17" ht="12.75" customHeight="1">
      <c r="A68" s="11">
        <f t="shared" si="4"/>
        <v>59</v>
      </c>
      <c r="B68" s="55" t="s">
        <v>55</v>
      </c>
      <c r="C68" s="57"/>
      <c r="D68" s="60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20"/>
    </row>
    <row r="69" spans="1:17" ht="12.75" customHeight="1">
      <c r="A69" s="11">
        <f t="shared" si="4"/>
        <v>60</v>
      </c>
      <c r="B69" s="56" t="s">
        <v>52</v>
      </c>
      <c r="C69" s="59" t="s">
        <v>40</v>
      </c>
      <c r="D69" s="60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0"/>
    </row>
    <row r="70" spans="1:17" ht="12.75" customHeight="1">
      <c r="A70" s="11">
        <f t="shared" si="4"/>
        <v>61</v>
      </c>
      <c r="B70" s="56" t="s">
        <v>53</v>
      </c>
      <c r="C70" s="59" t="s">
        <v>40</v>
      </c>
      <c r="D70" s="60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20"/>
    </row>
    <row r="71" spans="1:17" ht="12.75" customHeight="1">
      <c r="A71" s="11">
        <f t="shared" si="4"/>
        <v>62</v>
      </c>
      <c r="B71" s="55" t="s">
        <v>55</v>
      </c>
      <c r="C71" s="57"/>
      <c r="D71" s="60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20"/>
    </row>
    <row r="72" spans="1:17" ht="12.75" customHeight="1">
      <c r="A72" s="11">
        <f t="shared" si="4"/>
        <v>63</v>
      </c>
      <c r="B72" s="56" t="s">
        <v>52</v>
      </c>
      <c r="C72" s="59" t="s">
        <v>40</v>
      </c>
      <c r="D72" s="60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0"/>
    </row>
    <row r="73" spans="1:17" ht="12.75" customHeight="1">
      <c r="A73" s="11">
        <f t="shared" si="4"/>
        <v>64</v>
      </c>
      <c r="B73" s="56" t="s">
        <v>53</v>
      </c>
      <c r="C73" s="59" t="s">
        <v>40</v>
      </c>
      <c r="D73" s="60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20"/>
    </row>
    <row r="74" spans="1:17" ht="12.75" customHeight="1">
      <c r="A74" s="11">
        <f t="shared" si="4"/>
        <v>65</v>
      </c>
      <c r="B74" s="55" t="s">
        <v>55</v>
      </c>
      <c r="C74" s="57"/>
      <c r="D74" s="60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20"/>
    </row>
    <row r="75" spans="1:17" ht="12.75" customHeight="1">
      <c r="A75" s="11">
        <f t="shared" si="4"/>
        <v>66</v>
      </c>
      <c r="B75" s="56" t="s">
        <v>52</v>
      </c>
      <c r="C75" s="59" t="s">
        <v>40</v>
      </c>
      <c r="D75" s="60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0"/>
    </row>
    <row r="76" spans="1:17" ht="13.5" customHeight="1">
      <c r="A76" s="11">
        <f t="shared" si="4"/>
        <v>67</v>
      </c>
      <c r="B76" s="62" t="s">
        <v>53</v>
      </c>
      <c r="C76" s="59" t="s">
        <v>40</v>
      </c>
      <c r="D76" s="63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31"/>
    </row>
    <row r="77" spans="1:17" ht="13.5" customHeight="1">
      <c r="A77" s="11"/>
      <c r="B77" s="65"/>
      <c r="C77" s="66"/>
      <c r="D77" s="67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9"/>
    </row>
    <row r="78" spans="1:17" ht="12.75" customHeight="1">
      <c r="A78" s="11">
        <f>A76+1</f>
        <v>68</v>
      </c>
      <c r="B78" s="70" t="s">
        <v>60</v>
      </c>
      <c r="C78" s="71"/>
      <c r="D78" s="71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14"/>
    </row>
    <row r="79" spans="1:17" ht="24" customHeight="1">
      <c r="A79" s="11">
        <f>A78+1</f>
        <v>69</v>
      </c>
      <c r="B79" s="56" t="s">
        <v>52</v>
      </c>
      <c r="C79" s="73" t="s">
        <v>61</v>
      </c>
      <c r="D79" s="74">
        <v>78</v>
      </c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20"/>
    </row>
    <row r="80" spans="1:17" ht="18" customHeight="1">
      <c r="A80" s="11">
        <f>A79+1</f>
        <v>70</v>
      </c>
      <c r="B80" s="27" t="s">
        <v>62</v>
      </c>
      <c r="C80" s="75" t="s">
        <v>63</v>
      </c>
      <c r="D80" s="76">
        <v>7</v>
      </c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8"/>
    </row>
  </sheetData>
  <dataValidations count="1">
    <dataValidation type="list" allowBlank="1" showInputMessage="1" showErrorMessage="1" sqref="C78" xr:uid="{00000000-0002-0000-0000-000000000000}">
      <formula1>"л/час,гр/тнкм"</formula1>
      <formula2>0</formula2>
    </dataValidation>
  </dataValidations>
  <printOptions horizontalCentered="1"/>
  <pageMargins left="0.35416666666666702" right="0.31527777777777799" top="0.31527777777777799" bottom="0.39374999999999999" header="0.511811023622047" footer="0.15763888888888899"/>
  <pageSetup paperSize="9" scale="64" orientation="landscape" horizontalDpi="300" verticalDpi="300" r:id="rId1"/>
  <headerFooter>
    <oddFooter>&amp;R&amp;"Arial Cyr,Regular"&amp;12 &amp;A,  стр.&amp;P из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64"/>
  <sheetViews>
    <sheetView view="pageBreakPreview" zoomScaleNormal="8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B2" sqref="B2"/>
    </sheetView>
  </sheetViews>
  <sheetFormatPr defaultColWidth="9.140625" defaultRowHeight="12.75"/>
  <cols>
    <col min="1" max="1" width="5.5703125" style="79" customWidth="1"/>
    <col min="2" max="2" width="34.7109375" style="79" customWidth="1"/>
    <col min="3" max="3" width="13.85546875" style="79" customWidth="1"/>
    <col min="4" max="4" width="14.7109375" style="79" customWidth="1"/>
    <col min="5" max="5" width="14" style="79" customWidth="1"/>
    <col min="6" max="6" width="9.28515625" style="79" customWidth="1"/>
    <col min="7" max="18" width="11.140625" style="79" customWidth="1"/>
    <col min="19" max="19" width="5.5703125" style="79" customWidth="1"/>
    <col min="20" max="16384" width="9.140625" style="79"/>
  </cols>
  <sheetData>
    <row r="2" spans="2:20" ht="12.75" customHeight="1">
      <c r="B2" s="5" t="s">
        <v>0</v>
      </c>
    </row>
    <row r="3" spans="2:20" ht="13.5" customHeight="1"/>
    <row r="4" spans="2:20" ht="21.75" customHeight="1">
      <c r="B4" s="80" t="s">
        <v>64</v>
      </c>
      <c r="C4" s="81" t="s">
        <v>4</v>
      </c>
      <c r="D4" s="82"/>
      <c r="E4" s="83"/>
      <c r="F4" s="84"/>
      <c r="G4" s="85">
        <f>E4+1</f>
        <v>1</v>
      </c>
      <c r="H4" s="85">
        <f t="shared" ref="H4:R4" si="0">G4+1</f>
        <v>2</v>
      </c>
      <c r="I4" s="85">
        <f t="shared" si="0"/>
        <v>3</v>
      </c>
      <c r="J4" s="85">
        <f t="shared" si="0"/>
        <v>4</v>
      </c>
      <c r="K4" s="85">
        <f t="shared" si="0"/>
        <v>5</v>
      </c>
      <c r="L4" s="85">
        <f t="shared" si="0"/>
        <v>6</v>
      </c>
      <c r="M4" s="85">
        <f t="shared" si="0"/>
        <v>7</v>
      </c>
      <c r="N4" s="85">
        <f t="shared" si="0"/>
        <v>8</v>
      </c>
      <c r="O4" s="85">
        <f t="shared" si="0"/>
        <v>9</v>
      </c>
      <c r="P4" s="85">
        <f t="shared" si="0"/>
        <v>10</v>
      </c>
      <c r="Q4" s="85">
        <f t="shared" si="0"/>
        <v>11</v>
      </c>
      <c r="R4" s="85">
        <f t="shared" si="0"/>
        <v>12</v>
      </c>
    </row>
    <row r="5" spans="2:20" ht="12.75" customHeight="1">
      <c r="B5" s="86" t="s">
        <v>65</v>
      </c>
      <c r="C5" s="87" t="s">
        <v>66</v>
      </c>
      <c r="D5" s="88"/>
      <c r="E5" s="89"/>
      <c r="F5" s="90"/>
      <c r="G5" s="91">
        <v>0</v>
      </c>
      <c r="H5" s="91">
        <f t="shared" ref="H5:R5" si="1">G6+1</f>
        <v>7001</v>
      </c>
      <c r="I5" s="91">
        <f t="shared" si="1"/>
        <v>14001</v>
      </c>
      <c r="J5" s="91">
        <f t="shared" si="1"/>
        <v>21001</v>
      </c>
      <c r="K5" s="91">
        <f t="shared" si="1"/>
        <v>28001</v>
      </c>
      <c r="L5" s="91">
        <f t="shared" si="1"/>
        <v>35001</v>
      </c>
      <c r="M5" s="91">
        <f t="shared" si="1"/>
        <v>42001</v>
      </c>
      <c r="N5" s="91">
        <f t="shared" si="1"/>
        <v>49001</v>
      </c>
      <c r="O5" s="91">
        <f t="shared" si="1"/>
        <v>56001</v>
      </c>
      <c r="P5" s="91">
        <f t="shared" si="1"/>
        <v>63001</v>
      </c>
      <c r="Q5" s="91">
        <f t="shared" si="1"/>
        <v>70001</v>
      </c>
      <c r="R5" s="91">
        <f t="shared" si="1"/>
        <v>77001</v>
      </c>
    </row>
    <row r="6" spans="2:20" ht="12.75" customHeight="1">
      <c r="B6" s="92" t="s">
        <v>67</v>
      </c>
      <c r="C6" s="93" t="s">
        <v>66</v>
      </c>
      <c r="D6" s="94"/>
      <c r="E6" s="95"/>
      <c r="F6" s="96">
        <v>7000</v>
      </c>
      <c r="G6" s="97">
        <f>F6</f>
        <v>7000</v>
      </c>
      <c r="H6" s="97">
        <f t="shared" ref="H6:R6" si="2">G6+$F6</f>
        <v>14000</v>
      </c>
      <c r="I6" s="97">
        <f t="shared" si="2"/>
        <v>21000</v>
      </c>
      <c r="J6" s="97">
        <f t="shared" si="2"/>
        <v>28000</v>
      </c>
      <c r="K6" s="97">
        <f t="shared" si="2"/>
        <v>35000</v>
      </c>
      <c r="L6" s="97">
        <f t="shared" si="2"/>
        <v>42000</v>
      </c>
      <c r="M6" s="97">
        <f t="shared" si="2"/>
        <v>49000</v>
      </c>
      <c r="N6" s="97">
        <f t="shared" si="2"/>
        <v>56000</v>
      </c>
      <c r="O6" s="97">
        <f t="shared" si="2"/>
        <v>63000</v>
      </c>
      <c r="P6" s="97">
        <f t="shared" si="2"/>
        <v>70000</v>
      </c>
      <c r="Q6" s="97">
        <f t="shared" si="2"/>
        <v>77000</v>
      </c>
      <c r="R6" s="97">
        <f t="shared" si="2"/>
        <v>84000</v>
      </c>
    </row>
    <row r="7" spans="2:20" ht="21.75" customHeight="1">
      <c r="B7" s="98" t="s">
        <v>68</v>
      </c>
      <c r="C7" s="99" t="s">
        <v>12</v>
      </c>
      <c r="D7" s="23"/>
      <c r="E7" s="100"/>
      <c r="F7" s="101"/>
      <c r="G7" s="102">
        <f t="shared" ref="G7:R7" si="3">G13</f>
        <v>172</v>
      </c>
      <c r="H7" s="102">
        <f t="shared" si="3"/>
        <v>196</v>
      </c>
      <c r="I7" s="102">
        <f t="shared" si="3"/>
        <v>172</v>
      </c>
      <c r="J7" s="102">
        <f t="shared" si="3"/>
        <v>196</v>
      </c>
      <c r="K7" s="102">
        <f t="shared" si="3"/>
        <v>172</v>
      </c>
      <c r="L7" s="102">
        <f t="shared" si="3"/>
        <v>196</v>
      </c>
      <c r="M7" s="102">
        <f t="shared" si="3"/>
        <v>196</v>
      </c>
      <c r="N7" s="102">
        <f t="shared" si="3"/>
        <v>172</v>
      </c>
      <c r="O7" s="102">
        <f t="shared" si="3"/>
        <v>196</v>
      </c>
      <c r="P7" s="102">
        <f t="shared" si="3"/>
        <v>172</v>
      </c>
      <c r="Q7" s="102">
        <f t="shared" si="3"/>
        <v>196</v>
      </c>
      <c r="R7" s="102">
        <f t="shared" si="3"/>
        <v>196</v>
      </c>
    </row>
    <row r="8" spans="2:20" ht="21" customHeight="1">
      <c r="B8" s="103" t="s">
        <v>69</v>
      </c>
      <c r="C8" s="55" t="s">
        <v>70</v>
      </c>
      <c r="D8" s="57"/>
      <c r="E8" s="100"/>
      <c r="F8" s="101"/>
      <c r="G8" s="104">
        <f t="shared" ref="G8:R8" si="4">SUM(G9:G10)</f>
        <v>82160</v>
      </c>
      <c r="H8" s="104">
        <f t="shared" si="4"/>
        <v>83840</v>
      </c>
      <c r="I8" s="104">
        <f t="shared" si="4"/>
        <v>82160</v>
      </c>
      <c r="J8" s="104">
        <f t="shared" si="4"/>
        <v>83840</v>
      </c>
      <c r="K8" s="104">
        <f t="shared" si="4"/>
        <v>82160</v>
      </c>
      <c r="L8" s="104">
        <f t="shared" si="4"/>
        <v>83840</v>
      </c>
      <c r="M8" s="104">
        <f t="shared" si="4"/>
        <v>83840</v>
      </c>
      <c r="N8" s="104">
        <f t="shared" si="4"/>
        <v>82160</v>
      </c>
      <c r="O8" s="104">
        <f t="shared" si="4"/>
        <v>83840</v>
      </c>
      <c r="P8" s="104">
        <f t="shared" si="4"/>
        <v>82160</v>
      </c>
      <c r="Q8" s="104">
        <f t="shared" si="4"/>
        <v>83840</v>
      </c>
      <c r="R8" s="104">
        <f t="shared" si="4"/>
        <v>83840</v>
      </c>
    </row>
    <row r="9" spans="2:20" ht="20.25" customHeight="1">
      <c r="B9" s="105" t="s">
        <v>71</v>
      </c>
      <c r="C9" s="106" t="s">
        <v>70</v>
      </c>
      <c r="D9" s="46"/>
      <c r="E9" s="107"/>
      <c r="F9" s="108"/>
      <c r="G9" s="109">
        <f t="shared" ref="G9:R9" si="5">G22</f>
        <v>70120</v>
      </c>
      <c r="H9" s="109">
        <f t="shared" si="5"/>
        <v>70120</v>
      </c>
      <c r="I9" s="109">
        <f t="shared" si="5"/>
        <v>70120</v>
      </c>
      <c r="J9" s="109">
        <f t="shared" si="5"/>
        <v>70120</v>
      </c>
      <c r="K9" s="109">
        <f t="shared" si="5"/>
        <v>70120</v>
      </c>
      <c r="L9" s="109">
        <f t="shared" si="5"/>
        <v>70120</v>
      </c>
      <c r="M9" s="109">
        <f t="shared" si="5"/>
        <v>70120</v>
      </c>
      <c r="N9" s="109">
        <f t="shared" si="5"/>
        <v>70120</v>
      </c>
      <c r="O9" s="109">
        <f t="shared" si="5"/>
        <v>70120</v>
      </c>
      <c r="P9" s="109">
        <f t="shared" si="5"/>
        <v>70120</v>
      </c>
      <c r="Q9" s="109">
        <f t="shared" si="5"/>
        <v>70120</v>
      </c>
      <c r="R9" s="109">
        <f t="shared" si="5"/>
        <v>70120</v>
      </c>
    </row>
    <row r="10" spans="2:20" ht="23.25" customHeight="1">
      <c r="B10" s="110" t="s">
        <v>72</v>
      </c>
      <c r="C10" s="111" t="s">
        <v>70</v>
      </c>
      <c r="D10" s="49"/>
      <c r="E10" s="112"/>
      <c r="F10" s="113">
        <v>35</v>
      </c>
      <c r="G10" s="114">
        <f t="shared" ref="G10:R10" si="6">SUMPRODUCT(G14:G19,$F$14:$F$19)*$F10</f>
        <v>12040</v>
      </c>
      <c r="H10" s="114">
        <f t="shared" si="6"/>
        <v>13720</v>
      </c>
      <c r="I10" s="114">
        <f t="shared" si="6"/>
        <v>12040</v>
      </c>
      <c r="J10" s="114">
        <f t="shared" si="6"/>
        <v>13720</v>
      </c>
      <c r="K10" s="114">
        <f t="shared" si="6"/>
        <v>12040</v>
      </c>
      <c r="L10" s="114">
        <f t="shared" si="6"/>
        <v>13720</v>
      </c>
      <c r="M10" s="114">
        <f t="shared" si="6"/>
        <v>13720</v>
      </c>
      <c r="N10" s="114">
        <f t="shared" si="6"/>
        <v>12040</v>
      </c>
      <c r="O10" s="114">
        <f t="shared" si="6"/>
        <v>13720</v>
      </c>
      <c r="P10" s="114">
        <f t="shared" si="6"/>
        <v>12040</v>
      </c>
      <c r="Q10" s="114">
        <f t="shared" si="6"/>
        <v>13720</v>
      </c>
      <c r="R10" s="114">
        <f t="shared" si="6"/>
        <v>13720</v>
      </c>
    </row>
    <row r="11" spans="2:20" ht="13.5" customHeight="1">
      <c r="B11" s="236"/>
      <c r="C11" s="236"/>
      <c r="D11" s="236"/>
      <c r="E11" s="236"/>
      <c r="F11" s="236"/>
      <c r="G11" s="236"/>
      <c r="H11" s="236"/>
      <c r="I11" s="236"/>
      <c r="J11" s="236"/>
      <c r="K11" s="236"/>
      <c r="L11" s="236"/>
      <c r="M11" s="236"/>
      <c r="N11" s="236"/>
      <c r="O11" s="236"/>
      <c r="P11" s="236"/>
      <c r="Q11" s="236"/>
      <c r="R11" s="236"/>
    </row>
    <row r="12" spans="2:20" ht="38.25" customHeight="1">
      <c r="B12" s="115" t="s">
        <v>73</v>
      </c>
      <c r="C12" s="116" t="s">
        <v>74</v>
      </c>
      <c r="D12" s="117" t="s">
        <v>75</v>
      </c>
      <c r="E12" s="118" t="s">
        <v>76</v>
      </c>
      <c r="F12" s="119" t="s">
        <v>77</v>
      </c>
      <c r="G12" s="120" t="s">
        <v>78</v>
      </c>
      <c r="H12" s="120" t="s">
        <v>78</v>
      </c>
      <c r="I12" s="120" t="s">
        <v>78</v>
      </c>
      <c r="J12" s="120" t="s">
        <v>78</v>
      </c>
      <c r="K12" s="120" t="s">
        <v>78</v>
      </c>
      <c r="L12" s="120" t="s">
        <v>78</v>
      </c>
      <c r="M12" s="120" t="s">
        <v>78</v>
      </c>
      <c r="N12" s="120" t="s">
        <v>78</v>
      </c>
      <c r="O12" s="120" t="s">
        <v>78</v>
      </c>
      <c r="P12" s="120" t="s">
        <v>78</v>
      </c>
      <c r="Q12" s="120" t="s">
        <v>78</v>
      </c>
      <c r="R12" s="120" t="s">
        <v>78</v>
      </c>
    </row>
    <row r="13" spans="2:20" ht="12.75" customHeight="1">
      <c r="B13" s="121" t="s">
        <v>79</v>
      </c>
      <c r="C13" s="122"/>
      <c r="D13" s="123"/>
      <c r="E13" s="124"/>
      <c r="F13" s="125"/>
      <c r="G13" s="126">
        <f t="shared" ref="G13:R13" si="7">SUM(G14:G19)</f>
        <v>172</v>
      </c>
      <c r="H13" s="126">
        <f t="shared" si="7"/>
        <v>196</v>
      </c>
      <c r="I13" s="126">
        <f t="shared" si="7"/>
        <v>172</v>
      </c>
      <c r="J13" s="126">
        <f t="shared" si="7"/>
        <v>196</v>
      </c>
      <c r="K13" s="126">
        <f t="shared" si="7"/>
        <v>172</v>
      </c>
      <c r="L13" s="126">
        <f t="shared" si="7"/>
        <v>196</v>
      </c>
      <c r="M13" s="126">
        <f t="shared" si="7"/>
        <v>196</v>
      </c>
      <c r="N13" s="126">
        <f t="shared" si="7"/>
        <v>172</v>
      </c>
      <c r="O13" s="126">
        <f t="shared" si="7"/>
        <v>196</v>
      </c>
      <c r="P13" s="126">
        <f t="shared" si="7"/>
        <v>172</v>
      </c>
      <c r="Q13" s="126">
        <f t="shared" si="7"/>
        <v>196</v>
      </c>
      <c r="R13" s="126">
        <f t="shared" si="7"/>
        <v>196</v>
      </c>
    </row>
    <row r="14" spans="2:20" ht="12.75" customHeight="1">
      <c r="B14" s="127" t="s">
        <v>80</v>
      </c>
      <c r="C14" s="128">
        <v>500</v>
      </c>
      <c r="D14" s="129">
        <v>4</v>
      </c>
      <c r="E14" s="130">
        <f>$F$6/C14</f>
        <v>14</v>
      </c>
      <c r="F14" s="131">
        <v>2</v>
      </c>
      <c r="G14" s="129">
        <f t="shared" ref="G14:R18" si="8">$E14*$D14</f>
        <v>56</v>
      </c>
      <c r="H14" s="129">
        <f t="shared" si="8"/>
        <v>56</v>
      </c>
      <c r="I14" s="129">
        <f t="shared" si="8"/>
        <v>56</v>
      </c>
      <c r="J14" s="129">
        <f t="shared" si="8"/>
        <v>56</v>
      </c>
      <c r="K14" s="129">
        <f t="shared" si="8"/>
        <v>56</v>
      </c>
      <c r="L14" s="129">
        <f t="shared" si="8"/>
        <v>56</v>
      </c>
      <c r="M14" s="129">
        <f t="shared" si="8"/>
        <v>56</v>
      </c>
      <c r="N14" s="129">
        <f t="shared" si="8"/>
        <v>56</v>
      </c>
      <c r="O14" s="129">
        <f t="shared" si="8"/>
        <v>56</v>
      </c>
      <c r="P14" s="129">
        <f t="shared" si="8"/>
        <v>56</v>
      </c>
      <c r="Q14" s="129">
        <f t="shared" si="8"/>
        <v>56</v>
      </c>
      <c r="R14" s="129">
        <f t="shared" si="8"/>
        <v>56</v>
      </c>
      <c r="T14" s="79" t="s">
        <v>81</v>
      </c>
    </row>
    <row r="15" spans="2:20" ht="12.75" customHeight="1">
      <c r="B15" s="127" t="s">
        <v>82</v>
      </c>
      <c r="C15" s="128">
        <v>1000</v>
      </c>
      <c r="D15" s="129">
        <v>8</v>
      </c>
      <c r="E15" s="130">
        <f>$F$6/C15</f>
        <v>7</v>
      </c>
      <c r="F15" s="131">
        <v>2</v>
      </c>
      <c r="G15" s="129">
        <f t="shared" si="8"/>
        <v>56</v>
      </c>
      <c r="H15" s="129">
        <f t="shared" si="8"/>
        <v>56</v>
      </c>
      <c r="I15" s="129">
        <f t="shared" si="8"/>
        <v>56</v>
      </c>
      <c r="J15" s="129">
        <f t="shared" si="8"/>
        <v>56</v>
      </c>
      <c r="K15" s="129">
        <f t="shared" si="8"/>
        <v>56</v>
      </c>
      <c r="L15" s="129">
        <f t="shared" si="8"/>
        <v>56</v>
      </c>
      <c r="M15" s="129">
        <f t="shared" si="8"/>
        <v>56</v>
      </c>
      <c r="N15" s="129">
        <f t="shared" si="8"/>
        <v>56</v>
      </c>
      <c r="O15" s="129">
        <f t="shared" si="8"/>
        <v>56</v>
      </c>
      <c r="P15" s="129">
        <f t="shared" si="8"/>
        <v>56</v>
      </c>
      <c r="Q15" s="129">
        <f t="shared" si="8"/>
        <v>56</v>
      </c>
      <c r="R15" s="129">
        <f t="shared" si="8"/>
        <v>56</v>
      </c>
      <c r="T15" s="79" t="s">
        <v>81</v>
      </c>
    </row>
    <row r="16" spans="2:20" ht="12.75" customHeight="1">
      <c r="B16" s="127" t="s">
        <v>83</v>
      </c>
      <c r="C16" s="128">
        <v>2000</v>
      </c>
      <c r="D16" s="129">
        <v>12</v>
      </c>
      <c r="E16" s="130">
        <v>3</v>
      </c>
      <c r="F16" s="131">
        <v>2</v>
      </c>
      <c r="G16" s="129">
        <f t="shared" si="8"/>
        <v>36</v>
      </c>
      <c r="H16" s="129">
        <f t="shared" si="8"/>
        <v>36</v>
      </c>
      <c r="I16" s="129">
        <f t="shared" si="8"/>
        <v>36</v>
      </c>
      <c r="J16" s="129">
        <f t="shared" si="8"/>
        <v>36</v>
      </c>
      <c r="K16" s="129">
        <f t="shared" si="8"/>
        <v>36</v>
      </c>
      <c r="L16" s="129">
        <f t="shared" si="8"/>
        <v>36</v>
      </c>
      <c r="M16" s="129">
        <f t="shared" si="8"/>
        <v>36</v>
      </c>
      <c r="N16" s="129">
        <f t="shared" si="8"/>
        <v>36</v>
      </c>
      <c r="O16" s="129">
        <f t="shared" si="8"/>
        <v>36</v>
      </c>
      <c r="P16" s="129">
        <f t="shared" si="8"/>
        <v>36</v>
      </c>
      <c r="Q16" s="129">
        <f t="shared" si="8"/>
        <v>36</v>
      </c>
      <c r="R16" s="129">
        <f t="shared" si="8"/>
        <v>36</v>
      </c>
      <c r="T16" s="79" t="s">
        <v>81</v>
      </c>
    </row>
    <row r="17" spans="2:20" ht="12.75" customHeight="1">
      <c r="B17" s="127" t="s">
        <v>84</v>
      </c>
      <c r="C17" s="128">
        <v>4000</v>
      </c>
      <c r="D17" s="129">
        <v>12</v>
      </c>
      <c r="E17" s="130">
        <v>1</v>
      </c>
      <c r="F17" s="131">
        <v>2</v>
      </c>
      <c r="G17" s="129">
        <f t="shared" si="8"/>
        <v>12</v>
      </c>
      <c r="H17" s="129">
        <f t="shared" si="8"/>
        <v>12</v>
      </c>
      <c r="I17" s="129">
        <f t="shared" si="8"/>
        <v>12</v>
      </c>
      <c r="J17" s="129">
        <f t="shared" si="8"/>
        <v>12</v>
      </c>
      <c r="K17" s="129">
        <f t="shared" si="8"/>
        <v>12</v>
      </c>
      <c r="L17" s="129">
        <f t="shared" si="8"/>
        <v>12</v>
      </c>
      <c r="M17" s="129">
        <f t="shared" si="8"/>
        <v>12</v>
      </c>
      <c r="N17" s="129">
        <f t="shared" si="8"/>
        <v>12</v>
      </c>
      <c r="O17" s="129">
        <f t="shared" si="8"/>
        <v>12</v>
      </c>
      <c r="P17" s="129">
        <f t="shared" si="8"/>
        <v>12</v>
      </c>
      <c r="Q17" s="129">
        <f t="shared" si="8"/>
        <v>12</v>
      </c>
      <c r="R17" s="129">
        <f t="shared" si="8"/>
        <v>12</v>
      </c>
      <c r="T17" s="79" t="s">
        <v>81</v>
      </c>
    </row>
    <row r="18" spans="2:20" ht="12.75" customHeight="1">
      <c r="B18" s="127" t="s">
        <v>85</v>
      </c>
      <c r="C18" s="128">
        <v>6000</v>
      </c>
      <c r="D18" s="129">
        <v>12</v>
      </c>
      <c r="E18" s="130">
        <v>1</v>
      </c>
      <c r="F18" s="131">
        <v>2</v>
      </c>
      <c r="G18" s="129">
        <f t="shared" si="8"/>
        <v>12</v>
      </c>
      <c r="H18" s="129">
        <f t="shared" si="8"/>
        <v>12</v>
      </c>
      <c r="I18" s="129">
        <f t="shared" si="8"/>
        <v>12</v>
      </c>
      <c r="J18" s="129">
        <f t="shared" si="8"/>
        <v>12</v>
      </c>
      <c r="K18" s="129">
        <f t="shared" si="8"/>
        <v>12</v>
      </c>
      <c r="L18" s="129">
        <f t="shared" si="8"/>
        <v>12</v>
      </c>
      <c r="M18" s="129">
        <f t="shared" si="8"/>
        <v>12</v>
      </c>
      <c r="N18" s="129">
        <f t="shared" si="8"/>
        <v>12</v>
      </c>
      <c r="O18" s="129">
        <f t="shared" si="8"/>
        <v>12</v>
      </c>
      <c r="P18" s="129">
        <f t="shared" si="8"/>
        <v>12</v>
      </c>
      <c r="Q18" s="129">
        <f t="shared" si="8"/>
        <v>12</v>
      </c>
      <c r="R18" s="129">
        <f t="shared" si="8"/>
        <v>12</v>
      </c>
      <c r="T18" s="79" t="s">
        <v>81</v>
      </c>
    </row>
    <row r="19" spans="2:20" ht="13.5" customHeight="1">
      <c r="B19" s="132" t="s">
        <v>86</v>
      </c>
      <c r="C19" s="133">
        <v>12000</v>
      </c>
      <c r="D19" s="134">
        <v>24</v>
      </c>
      <c r="E19" s="135">
        <v>0</v>
      </c>
      <c r="F19" s="136">
        <v>2</v>
      </c>
      <c r="G19" s="134">
        <v>0</v>
      </c>
      <c r="H19" s="134">
        <f>$D19</f>
        <v>24</v>
      </c>
      <c r="I19" s="134">
        <v>0</v>
      </c>
      <c r="J19" s="134">
        <f>$D19</f>
        <v>24</v>
      </c>
      <c r="K19" s="134">
        <v>0</v>
      </c>
      <c r="L19" s="134">
        <f>$D19</f>
        <v>24</v>
      </c>
      <c r="M19" s="134">
        <f>$D19</f>
        <v>24</v>
      </c>
      <c r="N19" s="134">
        <v>0</v>
      </c>
      <c r="O19" s="134">
        <f>$D19</f>
        <v>24</v>
      </c>
      <c r="P19" s="134">
        <v>0</v>
      </c>
      <c r="Q19" s="134">
        <f>$D19</f>
        <v>24</v>
      </c>
      <c r="R19" s="134">
        <f>$D19</f>
        <v>24</v>
      </c>
      <c r="T19" s="79" t="s">
        <v>81</v>
      </c>
    </row>
    <row r="20" spans="2:20" ht="13.5" customHeight="1">
      <c r="B20" s="236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36"/>
      <c r="N20" s="236"/>
      <c r="O20" s="236"/>
      <c r="P20" s="236"/>
      <c r="Q20" s="236"/>
      <c r="R20" s="236"/>
    </row>
    <row r="21" spans="2:20" ht="25.5" customHeight="1">
      <c r="B21" s="115" t="s">
        <v>69</v>
      </c>
      <c r="C21" s="137" t="s">
        <v>87</v>
      </c>
      <c r="D21" s="13" t="s">
        <v>88</v>
      </c>
      <c r="E21" s="138" t="s">
        <v>89</v>
      </c>
      <c r="F21" s="139" t="s">
        <v>76</v>
      </c>
      <c r="G21" s="140" t="s">
        <v>90</v>
      </c>
      <c r="H21" s="140" t="s">
        <v>90</v>
      </c>
      <c r="I21" s="140" t="s">
        <v>90</v>
      </c>
      <c r="J21" s="140" t="s">
        <v>90</v>
      </c>
      <c r="K21" s="140" t="s">
        <v>90</v>
      </c>
      <c r="L21" s="140" t="s">
        <v>90</v>
      </c>
      <c r="M21" s="140" t="s">
        <v>90</v>
      </c>
      <c r="N21" s="140" t="s">
        <v>90</v>
      </c>
      <c r="O21" s="140" t="s">
        <v>90</v>
      </c>
      <c r="P21" s="140" t="s">
        <v>90</v>
      </c>
      <c r="Q21" s="140" t="s">
        <v>90</v>
      </c>
      <c r="R21" s="140" t="s">
        <v>90</v>
      </c>
    </row>
    <row r="22" spans="2:20" ht="12.75" customHeight="1">
      <c r="B22" s="141" t="s">
        <v>47</v>
      </c>
      <c r="C22" s="142"/>
      <c r="D22" s="143"/>
      <c r="E22" s="144"/>
      <c r="F22" s="145"/>
      <c r="G22" s="146">
        <f t="shared" ref="G22:R22" si="9">SUM(G23:G58)</f>
        <v>70120</v>
      </c>
      <c r="H22" s="146">
        <f t="shared" si="9"/>
        <v>70120</v>
      </c>
      <c r="I22" s="146">
        <f t="shared" si="9"/>
        <v>70120</v>
      </c>
      <c r="J22" s="146">
        <f t="shared" si="9"/>
        <v>70120</v>
      </c>
      <c r="K22" s="146">
        <f t="shared" si="9"/>
        <v>70120</v>
      </c>
      <c r="L22" s="146">
        <f t="shared" si="9"/>
        <v>70120</v>
      </c>
      <c r="M22" s="146">
        <f t="shared" si="9"/>
        <v>70120</v>
      </c>
      <c r="N22" s="146">
        <f t="shared" si="9"/>
        <v>70120</v>
      </c>
      <c r="O22" s="146">
        <f t="shared" si="9"/>
        <v>70120</v>
      </c>
      <c r="P22" s="146">
        <f t="shared" si="9"/>
        <v>70120</v>
      </c>
      <c r="Q22" s="146">
        <f t="shared" si="9"/>
        <v>70120</v>
      </c>
      <c r="R22" s="146">
        <f t="shared" si="9"/>
        <v>70120</v>
      </c>
    </row>
    <row r="23" spans="2:20" ht="12.75" customHeight="1">
      <c r="B23" s="147" t="s">
        <v>80</v>
      </c>
      <c r="C23" s="148"/>
      <c r="D23" s="149"/>
      <c r="E23" s="150">
        <f>VLOOKUP($B23,$B$14:$C$19,2,FALSE())</f>
        <v>500</v>
      </c>
      <c r="F23" s="96">
        <f>VLOOKUP($B23,$B$14:$E$19,4,FALSE())</f>
        <v>14</v>
      </c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</row>
    <row r="24" spans="2:20" ht="12.75" customHeight="1">
      <c r="B24" s="151" t="s">
        <v>91</v>
      </c>
      <c r="C24" s="242" t="s">
        <v>92</v>
      </c>
      <c r="D24" s="153">
        <v>140</v>
      </c>
      <c r="E24" s="154">
        <v>2</v>
      </c>
      <c r="F24" s="108"/>
      <c r="G24" s="155">
        <f t="shared" ref="G24:R29" si="10">IF(G$14=0,0,G$14/$D$14*$E24*$D24)</f>
        <v>3920</v>
      </c>
      <c r="H24" s="155">
        <f t="shared" si="10"/>
        <v>3920</v>
      </c>
      <c r="I24" s="155">
        <f t="shared" si="10"/>
        <v>3920</v>
      </c>
      <c r="J24" s="155">
        <f t="shared" si="10"/>
        <v>3920</v>
      </c>
      <c r="K24" s="155">
        <f t="shared" si="10"/>
        <v>3920</v>
      </c>
      <c r="L24" s="155">
        <f t="shared" si="10"/>
        <v>3920</v>
      </c>
      <c r="M24" s="155">
        <f t="shared" si="10"/>
        <v>3920</v>
      </c>
      <c r="N24" s="155">
        <f t="shared" si="10"/>
        <v>3920</v>
      </c>
      <c r="O24" s="155">
        <f t="shared" si="10"/>
        <v>3920</v>
      </c>
      <c r="P24" s="155">
        <f t="shared" si="10"/>
        <v>3920</v>
      </c>
      <c r="Q24" s="155">
        <f t="shared" si="10"/>
        <v>3920</v>
      </c>
      <c r="R24" s="155">
        <f t="shared" si="10"/>
        <v>3920</v>
      </c>
    </row>
    <row r="25" spans="2:20" ht="12.75" customHeight="1">
      <c r="B25" s="151" t="s">
        <v>91</v>
      </c>
      <c r="C25" s="242" t="s">
        <v>93</v>
      </c>
      <c r="D25" s="153">
        <v>70</v>
      </c>
      <c r="E25" s="154">
        <v>2</v>
      </c>
      <c r="F25" s="108"/>
      <c r="G25" s="155">
        <f t="shared" si="10"/>
        <v>1960</v>
      </c>
      <c r="H25" s="155">
        <f t="shared" si="10"/>
        <v>1960</v>
      </c>
      <c r="I25" s="155">
        <f t="shared" si="10"/>
        <v>1960</v>
      </c>
      <c r="J25" s="155">
        <f t="shared" si="10"/>
        <v>1960</v>
      </c>
      <c r="K25" s="155">
        <f t="shared" si="10"/>
        <v>1960</v>
      </c>
      <c r="L25" s="155">
        <f t="shared" si="10"/>
        <v>1960</v>
      </c>
      <c r="M25" s="155">
        <f t="shared" si="10"/>
        <v>1960</v>
      </c>
      <c r="N25" s="155">
        <f t="shared" si="10"/>
        <v>1960</v>
      </c>
      <c r="O25" s="155">
        <f t="shared" si="10"/>
        <v>1960</v>
      </c>
      <c r="P25" s="155">
        <f t="shared" si="10"/>
        <v>1960</v>
      </c>
      <c r="Q25" s="155">
        <f t="shared" si="10"/>
        <v>1960</v>
      </c>
      <c r="R25" s="155">
        <f t="shared" si="10"/>
        <v>1960</v>
      </c>
    </row>
    <row r="26" spans="2:20" ht="12.75" customHeight="1">
      <c r="B26" s="151" t="s">
        <v>94</v>
      </c>
      <c r="C26" s="242" t="s">
        <v>95</v>
      </c>
      <c r="D26" s="153">
        <v>6</v>
      </c>
      <c r="E26" s="154">
        <v>80</v>
      </c>
      <c r="F26" s="108"/>
      <c r="G26" s="155">
        <f t="shared" si="10"/>
        <v>6720</v>
      </c>
      <c r="H26" s="155">
        <f t="shared" si="10"/>
        <v>6720</v>
      </c>
      <c r="I26" s="155">
        <f t="shared" si="10"/>
        <v>6720</v>
      </c>
      <c r="J26" s="155">
        <f t="shared" si="10"/>
        <v>6720</v>
      </c>
      <c r="K26" s="155">
        <f t="shared" si="10"/>
        <v>6720</v>
      </c>
      <c r="L26" s="155">
        <f t="shared" si="10"/>
        <v>6720</v>
      </c>
      <c r="M26" s="155">
        <f t="shared" si="10"/>
        <v>6720</v>
      </c>
      <c r="N26" s="155">
        <f t="shared" si="10"/>
        <v>6720</v>
      </c>
      <c r="O26" s="155">
        <f t="shared" si="10"/>
        <v>6720</v>
      </c>
      <c r="P26" s="155">
        <f t="shared" si="10"/>
        <v>6720</v>
      </c>
      <c r="Q26" s="155">
        <f t="shared" si="10"/>
        <v>6720</v>
      </c>
      <c r="R26" s="155">
        <f t="shared" si="10"/>
        <v>6720</v>
      </c>
    </row>
    <row r="27" spans="2:20" ht="12.75" customHeight="1">
      <c r="B27" s="151" t="s">
        <v>94</v>
      </c>
      <c r="C27" s="242" t="s">
        <v>96</v>
      </c>
      <c r="D27" s="153">
        <v>6</v>
      </c>
      <c r="E27" s="154">
        <v>80</v>
      </c>
      <c r="F27" s="108"/>
      <c r="G27" s="155">
        <f t="shared" si="10"/>
        <v>6720</v>
      </c>
      <c r="H27" s="155">
        <f t="shared" si="10"/>
        <v>6720</v>
      </c>
      <c r="I27" s="155">
        <f t="shared" si="10"/>
        <v>6720</v>
      </c>
      <c r="J27" s="155">
        <f t="shared" si="10"/>
        <v>6720</v>
      </c>
      <c r="K27" s="155">
        <f t="shared" si="10"/>
        <v>6720</v>
      </c>
      <c r="L27" s="155">
        <f t="shared" si="10"/>
        <v>6720</v>
      </c>
      <c r="M27" s="155">
        <f t="shared" si="10"/>
        <v>6720</v>
      </c>
      <c r="N27" s="155">
        <f t="shared" si="10"/>
        <v>6720</v>
      </c>
      <c r="O27" s="155">
        <f t="shared" si="10"/>
        <v>6720</v>
      </c>
      <c r="P27" s="155">
        <f t="shared" si="10"/>
        <v>6720</v>
      </c>
      <c r="Q27" s="155">
        <f t="shared" si="10"/>
        <v>6720</v>
      </c>
      <c r="R27" s="155">
        <f t="shared" si="10"/>
        <v>6720</v>
      </c>
    </row>
    <row r="28" spans="2:20" ht="12.75" customHeight="1">
      <c r="B28" s="151" t="s">
        <v>97</v>
      </c>
      <c r="C28" s="242" t="s">
        <v>98</v>
      </c>
      <c r="D28" s="153">
        <v>8</v>
      </c>
      <c r="E28" s="154">
        <v>80</v>
      </c>
      <c r="F28" s="108"/>
      <c r="G28" s="155">
        <f t="shared" si="10"/>
        <v>8960</v>
      </c>
      <c r="H28" s="155">
        <f t="shared" si="10"/>
        <v>8960</v>
      </c>
      <c r="I28" s="155">
        <f t="shared" si="10"/>
        <v>8960</v>
      </c>
      <c r="J28" s="155">
        <f t="shared" si="10"/>
        <v>8960</v>
      </c>
      <c r="K28" s="155">
        <f t="shared" si="10"/>
        <v>8960</v>
      </c>
      <c r="L28" s="155">
        <f t="shared" si="10"/>
        <v>8960</v>
      </c>
      <c r="M28" s="155">
        <f t="shared" si="10"/>
        <v>8960</v>
      </c>
      <c r="N28" s="155">
        <f t="shared" si="10"/>
        <v>8960</v>
      </c>
      <c r="O28" s="155">
        <f t="shared" si="10"/>
        <v>8960</v>
      </c>
      <c r="P28" s="155">
        <f t="shared" si="10"/>
        <v>8960</v>
      </c>
      <c r="Q28" s="155">
        <f t="shared" si="10"/>
        <v>8960</v>
      </c>
      <c r="R28" s="155">
        <f t="shared" si="10"/>
        <v>8960</v>
      </c>
    </row>
    <row r="29" spans="2:20" ht="12.75" customHeight="1">
      <c r="B29" s="151" t="s">
        <v>97</v>
      </c>
      <c r="C29" s="242" t="s">
        <v>99</v>
      </c>
      <c r="D29" s="153">
        <v>8</v>
      </c>
      <c r="E29" s="154">
        <v>80</v>
      </c>
      <c r="F29" s="108"/>
      <c r="G29" s="155">
        <f t="shared" si="10"/>
        <v>8960</v>
      </c>
      <c r="H29" s="155">
        <f t="shared" si="10"/>
        <v>8960</v>
      </c>
      <c r="I29" s="155">
        <f t="shared" si="10"/>
        <v>8960</v>
      </c>
      <c r="J29" s="155">
        <f t="shared" si="10"/>
        <v>8960</v>
      </c>
      <c r="K29" s="155">
        <f t="shared" si="10"/>
        <v>8960</v>
      </c>
      <c r="L29" s="155">
        <f t="shared" si="10"/>
        <v>8960</v>
      </c>
      <c r="M29" s="155">
        <f t="shared" si="10"/>
        <v>8960</v>
      </c>
      <c r="N29" s="155">
        <f t="shared" si="10"/>
        <v>8960</v>
      </c>
      <c r="O29" s="155">
        <f t="shared" si="10"/>
        <v>8960</v>
      </c>
      <c r="P29" s="155">
        <f t="shared" si="10"/>
        <v>8960</v>
      </c>
      <c r="Q29" s="155">
        <f t="shared" si="10"/>
        <v>8960</v>
      </c>
      <c r="R29" s="155">
        <f t="shared" si="10"/>
        <v>8960</v>
      </c>
    </row>
    <row r="30" spans="2:20" ht="12.75" customHeight="1">
      <c r="B30" s="147" t="s">
        <v>82</v>
      </c>
      <c r="C30" s="148"/>
      <c r="D30" s="149"/>
      <c r="E30" s="150">
        <f>VLOOKUP($B30,$B$14:$C$19,2,FALSE())</f>
        <v>1000</v>
      </c>
      <c r="F30" s="96">
        <f>VLOOKUP($B30,$B$14:$E$19,4,FALSE())</f>
        <v>7</v>
      </c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</row>
    <row r="31" spans="2:20" ht="12.75" customHeight="1">
      <c r="B31" s="151" t="s">
        <v>91</v>
      </c>
      <c r="C31" s="152" t="s">
        <v>92</v>
      </c>
      <c r="D31" s="153">
        <v>140</v>
      </c>
      <c r="E31" s="154">
        <v>2</v>
      </c>
      <c r="F31" s="108"/>
      <c r="G31" s="155">
        <f t="shared" ref="G31:R36" si="11">IF(G$15=0,0,G$15/$D$15*$E31*$D31)</f>
        <v>1960</v>
      </c>
      <c r="H31" s="155">
        <f t="shared" si="11"/>
        <v>1960</v>
      </c>
      <c r="I31" s="155">
        <f t="shared" si="11"/>
        <v>1960</v>
      </c>
      <c r="J31" s="155">
        <f t="shared" si="11"/>
        <v>1960</v>
      </c>
      <c r="K31" s="155">
        <f t="shared" si="11"/>
        <v>1960</v>
      </c>
      <c r="L31" s="155">
        <f t="shared" si="11"/>
        <v>1960</v>
      </c>
      <c r="M31" s="155">
        <f t="shared" si="11"/>
        <v>1960</v>
      </c>
      <c r="N31" s="155">
        <f t="shared" si="11"/>
        <v>1960</v>
      </c>
      <c r="O31" s="155">
        <f t="shared" si="11"/>
        <v>1960</v>
      </c>
      <c r="P31" s="155">
        <f t="shared" si="11"/>
        <v>1960</v>
      </c>
      <c r="Q31" s="155">
        <f t="shared" si="11"/>
        <v>1960</v>
      </c>
      <c r="R31" s="155">
        <f t="shared" si="11"/>
        <v>1960</v>
      </c>
    </row>
    <row r="32" spans="2:20" ht="12.75" customHeight="1">
      <c r="B32" s="151" t="s">
        <v>91</v>
      </c>
      <c r="C32" s="152" t="s">
        <v>93</v>
      </c>
      <c r="D32" s="153">
        <v>70</v>
      </c>
      <c r="E32" s="154">
        <v>2</v>
      </c>
      <c r="F32" s="108"/>
      <c r="G32" s="155">
        <f t="shared" si="11"/>
        <v>980</v>
      </c>
      <c r="H32" s="155">
        <f t="shared" si="11"/>
        <v>980</v>
      </c>
      <c r="I32" s="155">
        <f t="shared" si="11"/>
        <v>980</v>
      </c>
      <c r="J32" s="155">
        <f t="shared" si="11"/>
        <v>980</v>
      </c>
      <c r="K32" s="155">
        <f t="shared" si="11"/>
        <v>980</v>
      </c>
      <c r="L32" s="155">
        <f t="shared" si="11"/>
        <v>980</v>
      </c>
      <c r="M32" s="155">
        <f t="shared" si="11"/>
        <v>980</v>
      </c>
      <c r="N32" s="155">
        <f t="shared" si="11"/>
        <v>980</v>
      </c>
      <c r="O32" s="155">
        <f t="shared" si="11"/>
        <v>980</v>
      </c>
      <c r="P32" s="155">
        <f t="shared" si="11"/>
        <v>980</v>
      </c>
      <c r="Q32" s="155">
        <f t="shared" si="11"/>
        <v>980</v>
      </c>
      <c r="R32" s="155">
        <f t="shared" si="11"/>
        <v>980</v>
      </c>
    </row>
    <row r="33" spans="2:18" ht="12.75" customHeight="1">
      <c r="B33" s="151" t="s">
        <v>94</v>
      </c>
      <c r="C33" s="152" t="s">
        <v>95</v>
      </c>
      <c r="D33" s="153">
        <v>6</v>
      </c>
      <c r="E33" s="154">
        <v>80</v>
      </c>
      <c r="F33" s="108"/>
      <c r="G33" s="155">
        <f t="shared" si="11"/>
        <v>3360</v>
      </c>
      <c r="H33" s="155">
        <f t="shared" si="11"/>
        <v>3360</v>
      </c>
      <c r="I33" s="155">
        <f t="shared" si="11"/>
        <v>3360</v>
      </c>
      <c r="J33" s="155">
        <f t="shared" si="11"/>
        <v>3360</v>
      </c>
      <c r="K33" s="155">
        <f t="shared" si="11"/>
        <v>3360</v>
      </c>
      <c r="L33" s="155">
        <f t="shared" si="11"/>
        <v>3360</v>
      </c>
      <c r="M33" s="155">
        <f t="shared" si="11"/>
        <v>3360</v>
      </c>
      <c r="N33" s="155">
        <f t="shared" si="11"/>
        <v>3360</v>
      </c>
      <c r="O33" s="155">
        <f t="shared" si="11"/>
        <v>3360</v>
      </c>
      <c r="P33" s="155">
        <f t="shared" si="11"/>
        <v>3360</v>
      </c>
      <c r="Q33" s="155">
        <f t="shared" si="11"/>
        <v>3360</v>
      </c>
      <c r="R33" s="155">
        <f t="shared" si="11"/>
        <v>3360</v>
      </c>
    </row>
    <row r="34" spans="2:18" ht="12.75" customHeight="1">
      <c r="B34" s="151" t="s">
        <v>94</v>
      </c>
      <c r="C34" s="156" t="s">
        <v>96</v>
      </c>
      <c r="D34" s="153">
        <v>6</v>
      </c>
      <c r="E34" s="154">
        <v>80</v>
      </c>
      <c r="F34" s="108"/>
      <c r="G34" s="155">
        <f t="shared" si="11"/>
        <v>3360</v>
      </c>
      <c r="H34" s="155">
        <f t="shared" si="11"/>
        <v>3360</v>
      </c>
      <c r="I34" s="155">
        <f t="shared" si="11"/>
        <v>3360</v>
      </c>
      <c r="J34" s="155">
        <f t="shared" si="11"/>
        <v>3360</v>
      </c>
      <c r="K34" s="155">
        <f t="shared" si="11"/>
        <v>3360</v>
      </c>
      <c r="L34" s="155">
        <f t="shared" si="11"/>
        <v>3360</v>
      </c>
      <c r="M34" s="155">
        <f t="shared" si="11"/>
        <v>3360</v>
      </c>
      <c r="N34" s="155">
        <f t="shared" si="11"/>
        <v>3360</v>
      </c>
      <c r="O34" s="155">
        <f t="shared" si="11"/>
        <v>3360</v>
      </c>
      <c r="P34" s="155">
        <f t="shared" si="11"/>
        <v>3360</v>
      </c>
      <c r="Q34" s="155">
        <f t="shared" si="11"/>
        <v>3360</v>
      </c>
      <c r="R34" s="155">
        <f t="shared" si="11"/>
        <v>3360</v>
      </c>
    </row>
    <row r="35" spans="2:18" ht="12.75" customHeight="1">
      <c r="B35" s="151" t="s">
        <v>97</v>
      </c>
      <c r="C35" s="156" t="s">
        <v>98</v>
      </c>
      <c r="D35" s="153">
        <v>8</v>
      </c>
      <c r="E35" s="154">
        <v>80</v>
      </c>
      <c r="F35" s="108"/>
      <c r="G35" s="155">
        <f t="shared" si="11"/>
        <v>4480</v>
      </c>
      <c r="H35" s="155">
        <f t="shared" si="11"/>
        <v>4480</v>
      </c>
      <c r="I35" s="155">
        <f t="shared" si="11"/>
        <v>4480</v>
      </c>
      <c r="J35" s="155">
        <f t="shared" si="11"/>
        <v>4480</v>
      </c>
      <c r="K35" s="155">
        <f t="shared" si="11"/>
        <v>4480</v>
      </c>
      <c r="L35" s="155">
        <f t="shared" si="11"/>
        <v>4480</v>
      </c>
      <c r="M35" s="155">
        <f t="shared" si="11"/>
        <v>4480</v>
      </c>
      <c r="N35" s="155">
        <f t="shared" si="11"/>
        <v>4480</v>
      </c>
      <c r="O35" s="155">
        <f t="shared" si="11"/>
        <v>4480</v>
      </c>
      <c r="P35" s="155">
        <f t="shared" si="11"/>
        <v>4480</v>
      </c>
      <c r="Q35" s="155">
        <f t="shared" si="11"/>
        <v>4480</v>
      </c>
      <c r="R35" s="155">
        <f t="shared" si="11"/>
        <v>4480</v>
      </c>
    </row>
    <row r="36" spans="2:18" ht="12.75" customHeight="1">
      <c r="B36" s="151" t="s">
        <v>97</v>
      </c>
      <c r="C36" s="156" t="s">
        <v>99</v>
      </c>
      <c r="D36" s="153">
        <v>8</v>
      </c>
      <c r="E36" s="154">
        <v>80</v>
      </c>
      <c r="F36" s="108"/>
      <c r="G36" s="155">
        <f t="shared" si="11"/>
        <v>4480</v>
      </c>
      <c r="H36" s="155">
        <f t="shared" si="11"/>
        <v>4480</v>
      </c>
      <c r="I36" s="155">
        <f t="shared" si="11"/>
        <v>4480</v>
      </c>
      <c r="J36" s="155">
        <f t="shared" si="11"/>
        <v>4480</v>
      </c>
      <c r="K36" s="155">
        <f t="shared" si="11"/>
        <v>4480</v>
      </c>
      <c r="L36" s="155">
        <f t="shared" si="11"/>
        <v>4480</v>
      </c>
      <c r="M36" s="155">
        <f t="shared" si="11"/>
        <v>4480</v>
      </c>
      <c r="N36" s="155">
        <f t="shared" si="11"/>
        <v>4480</v>
      </c>
      <c r="O36" s="155">
        <f t="shared" si="11"/>
        <v>4480</v>
      </c>
      <c r="P36" s="155">
        <f t="shared" si="11"/>
        <v>4480</v>
      </c>
      <c r="Q36" s="155">
        <f t="shared" si="11"/>
        <v>4480</v>
      </c>
      <c r="R36" s="155">
        <f t="shared" si="11"/>
        <v>4480</v>
      </c>
    </row>
    <row r="37" spans="2:18" ht="12.75" customHeight="1">
      <c r="B37" s="147" t="s">
        <v>83</v>
      </c>
      <c r="C37" s="148"/>
      <c r="D37" s="149"/>
      <c r="E37" s="150">
        <f>VLOOKUP($B37,$B$14:$C$19,2,FALSE())</f>
        <v>2000</v>
      </c>
      <c r="F37" s="96">
        <f>VLOOKUP($B37,$B$14:$E$19,4,FALSE())</f>
        <v>3</v>
      </c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</row>
    <row r="38" spans="2:18" ht="12.75" customHeight="1">
      <c r="B38" s="151" t="s">
        <v>91</v>
      </c>
      <c r="C38" s="152" t="s">
        <v>92</v>
      </c>
      <c r="D38" s="153">
        <v>140</v>
      </c>
      <c r="E38" s="154">
        <v>2</v>
      </c>
      <c r="F38" s="108"/>
      <c r="G38" s="155">
        <f t="shared" ref="G38:R43" si="12">IF(G$16=0,0,G$16/$D$16*$E38*$D38)</f>
        <v>840</v>
      </c>
      <c r="H38" s="155">
        <f t="shared" si="12"/>
        <v>840</v>
      </c>
      <c r="I38" s="155">
        <f t="shared" si="12"/>
        <v>840</v>
      </c>
      <c r="J38" s="155">
        <f t="shared" si="12"/>
        <v>840</v>
      </c>
      <c r="K38" s="155">
        <f t="shared" si="12"/>
        <v>840</v>
      </c>
      <c r="L38" s="155">
        <f t="shared" si="12"/>
        <v>840</v>
      </c>
      <c r="M38" s="155">
        <f t="shared" si="12"/>
        <v>840</v>
      </c>
      <c r="N38" s="155">
        <f t="shared" si="12"/>
        <v>840</v>
      </c>
      <c r="O38" s="155">
        <f t="shared" si="12"/>
        <v>840</v>
      </c>
      <c r="P38" s="155">
        <f t="shared" si="12"/>
        <v>840</v>
      </c>
      <c r="Q38" s="155">
        <f t="shared" si="12"/>
        <v>840</v>
      </c>
      <c r="R38" s="155">
        <f t="shared" si="12"/>
        <v>840</v>
      </c>
    </row>
    <row r="39" spans="2:18" ht="12.75" customHeight="1">
      <c r="B39" s="151" t="s">
        <v>91</v>
      </c>
      <c r="C39" s="152" t="s">
        <v>93</v>
      </c>
      <c r="D39" s="153">
        <v>70</v>
      </c>
      <c r="E39" s="154">
        <v>2</v>
      </c>
      <c r="F39" s="108"/>
      <c r="G39" s="155">
        <f t="shared" si="12"/>
        <v>420</v>
      </c>
      <c r="H39" s="155">
        <f t="shared" si="12"/>
        <v>420</v>
      </c>
      <c r="I39" s="155">
        <f t="shared" si="12"/>
        <v>420</v>
      </c>
      <c r="J39" s="155">
        <f t="shared" si="12"/>
        <v>420</v>
      </c>
      <c r="K39" s="155">
        <f t="shared" si="12"/>
        <v>420</v>
      </c>
      <c r="L39" s="155">
        <f t="shared" si="12"/>
        <v>420</v>
      </c>
      <c r="M39" s="155">
        <f t="shared" si="12"/>
        <v>420</v>
      </c>
      <c r="N39" s="155">
        <f t="shared" si="12"/>
        <v>420</v>
      </c>
      <c r="O39" s="155">
        <f t="shared" si="12"/>
        <v>420</v>
      </c>
      <c r="P39" s="155">
        <f t="shared" si="12"/>
        <v>420</v>
      </c>
      <c r="Q39" s="155">
        <f t="shared" si="12"/>
        <v>420</v>
      </c>
      <c r="R39" s="155">
        <f t="shared" si="12"/>
        <v>420</v>
      </c>
    </row>
    <row r="40" spans="2:18" ht="12.75" customHeight="1">
      <c r="B40" s="151" t="s">
        <v>94</v>
      </c>
      <c r="C40" s="152" t="s">
        <v>95</v>
      </c>
      <c r="D40" s="153">
        <v>7</v>
      </c>
      <c r="E40" s="154">
        <v>80</v>
      </c>
      <c r="F40" s="108"/>
      <c r="G40" s="155">
        <f t="shared" si="12"/>
        <v>1680</v>
      </c>
      <c r="H40" s="155">
        <f t="shared" si="12"/>
        <v>1680</v>
      </c>
      <c r="I40" s="155">
        <f t="shared" si="12"/>
        <v>1680</v>
      </c>
      <c r="J40" s="155">
        <f t="shared" si="12"/>
        <v>1680</v>
      </c>
      <c r="K40" s="155">
        <f t="shared" si="12"/>
        <v>1680</v>
      </c>
      <c r="L40" s="155">
        <f t="shared" si="12"/>
        <v>1680</v>
      </c>
      <c r="M40" s="155">
        <f t="shared" si="12"/>
        <v>1680</v>
      </c>
      <c r="N40" s="155">
        <f t="shared" si="12"/>
        <v>1680</v>
      </c>
      <c r="O40" s="155">
        <f t="shared" si="12"/>
        <v>1680</v>
      </c>
      <c r="P40" s="155">
        <f t="shared" si="12"/>
        <v>1680</v>
      </c>
      <c r="Q40" s="155">
        <f t="shared" si="12"/>
        <v>1680</v>
      </c>
      <c r="R40" s="155">
        <f t="shared" si="12"/>
        <v>1680</v>
      </c>
    </row>
    <row r="41" spans="2:18" ht="12.75" customHeight="1">
      <c r="B41" s="151" t="s">
        <v>94</v>
      </c>
      <c r="C41" s="156" t="s">
        <v>96</v>
      </c>
      <c r="D41" s="153">
        <v>7</v>
      </c>
      <c r="E41" s="154">
        <v>80</v>
      </c>
      <c r="F41" s="108"/>
      <c r="G41" s="155">
        <f t="shared" si="12"/>
        <v>1680</v>
      </c>
      <c r="H41" s="155">
        <f t="shared" si="12"/>
        <v>1680</v>
      </c>
      <c r="I41" s="155">
        <f t="shared" si="12"/>
        <v>1680</v>
      </c>
      <c r="J41" s="155">
        <f t="shared" si="12"/>
        <v>1680</v>
      </c>
      <c r="K41" s="155">
        <f t="shared" si="12"/>
        <v>1680</v>
      </c>
      <c r="L41" s="155">
        <f t="shared" si="12"/>
        <v>1680</v>
      </c>
      <c r="M41" s="155">
        <f t="shared" si="12"/>
        <v>1680</v>
      </c>
      <c r="N41" s="155">
        <f t="shared" si="12"/>
        <v>1680</v>
      </c>
      <c r="O41" s="155">
        <f t="shared" si="12"/>
        <v>1680</v>
      </c>
      <c r="P41" s="155">
        <f t="shared" si="12"/>
        <v>1680</v>
      </c>
      <c r="Q41" s="155">
        <f t="shared" si="12"/>
        <v>1680</v>
      </c>
      <c r="R41" s="155">
        <f t="shared" si="12"/>
        <v>1680</v>
      </c>
    </row>
    <row r="42" spans="2:18" ht="12.75" customHeight="1">
      <c r="B42" s="151" t="s">
        <v>97</v>
      </c>
      <c r="C42" s="156" t="s">
        <v>98</v>
      </c>
      <c r="D42" s="153">
        <v>9</v>
      </c>
      <c r="E42" s="154">
        <v>80</v>
      </c>
      <c r="F42" s="108"/>
      <c r="G42" s="155">
        <f t="shared" si="12"/>
        <v>2160</v>
      </c>
      <c r="H42" s="155">
        <f t="shared" si="12"/>
        <v>2160</v>
      </c>
      <c r="I42" s="155">
        <f t="shared" si="12"/>
        <v>2160</v>
      </c>
      <c r="J42" s="155">
        <f t="shared" si="12"/>
        <v>2160</v>
      </c>
      <c r="K42" s="155">
        <f t="shared" si="12"/>
        <v>2160</v>
      </c>
      <c r="L42" s="155">
        <f t="shared" si="12"/>
        <v>2160</v>
      </c>
      <c r="M42" s="155">
        <f t="shared" si="12"/>
        <v>2160</v>
      </c>
      <c r="N42" s="155">
        <f t="shared" si="12"/>
        <v>2160</v>
      </c>
      <c r="O42" s="155">
        <f t="shared" si="12"/>
        <v>2160</v>
      </c>
      <c r="P42" s="155">
        <f t="shared" si="12"/>
        <v>2160</v>
      </c>
      <c r="Q42" s="155">
        <f t="shared" si="12"/>
        <v>2160</v>
      </c>
      <c r="R42" s="155">
        <f t="shared" si="12"/>
        <v>2160</v>
      </c>
    </row>
    <row r="43" spans="2:18" ht="12.75" customHeight="1">
      <c r="B43" s="151" t="s">
        <v>97</v>
      </c>
      <c r="C43" s="156" t="s">
        <v>99</v>
      </c>
      <c r="D43" s="153">
        <v>9</v>
      </c>
      <c r="E43" s="154">
        <v>80</v>
      </c>
      <c r="F43" s="108"/>
      <c r="G43" s="155">
        <f t="shared" si="12"/>
        <v>2160</v>
      </c>
      <c r="H43" s="155">
        <f t="shared" si="12"/>
        <v>2160</v>
      </c>
      <c r="I43" s="155">
        <f t="shared" si="12"/>
        <v>2160</v>
      </c>
      <c r="J43" s="155">
        <f t="shared" si="12"/>
        <v>2160</v>
      </c>
      <c r="K43" s="155">
        <f t="shared" si="12"/>
        <v>2160</v>
      </c>
      <c r="L43" s="155">
        <f t="shared" si="12"/>
        <v>2160</v>
      </c>
      <c r="M43" s="155">
        <f t="shared" si="12"/>
        <v>2160</v>
      </c>
      <c r="N43" s="155">
        <f t="shared" si="12"/>
        <v>2160</v>
      </c>
      <c r="O43" s="155">
        <f t="shared" si="12"/>
        <v>2160</v>
      </c>
      <c r="P43" s="155">
        <f t="shared" si="12"/>
        <v>2160</v>
      </c>
      <c r="Q43" s="155">
        <f t="shared" si="12"/>
        <v>2160</v>
      </c>
      <c r="R43" s="155">
        <f t="shared" si="12"/>
        <v>2160</v>
      </c>
    </row>
    <row r="44" spans="2:18" ht="12.75" customHeight="1">
      <c r="B44" s="147" t="s">
        <v>84</v>
      </c>
      <c r="C44" s="148"/>
      <c r="D44" s="149"/>
      <c r="E44" s="150">
        <f>VLOOKUP($B44,$B$14:$C$19,2,FALSE())</f>
        <v>4000</v>
      </c>
      <c r="F44" s="96">
        <f>VLOOKUP($B44,$B$14:$E$19,4,FALSE())</f>
        <v>1</v>
      </c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</row>
    <row r="45" spans="2:18" ht="12.75" customHeight="1">
      <c r="B45" s="151" t="s">
        <v>91</v>
      </c>
      <c r="C45" s="152" t="s">
        <v>92</v>
      </c>
      <c r="D45" s="153">
        <v>140</v>
      </c>
      <c r="E45" s="154">
        <v>2</v>
      </c>
      <c r="F45" s="108"/>
      <c r="G45" s="155">
        <f t="shared" ref="G45:R50" si="13">IF(G$17=0,0,G$17/$D$17*$E45*$D45)</f>
        <v>280</v>
      </c>
      <c r="H45" s="155">
        <f t="shared" si="13"/>
        <v>280</v>
      </c>
      <c r="I45" s="155">
        <f t="shared" si="13"/>
        <v>280</v>
      </c>
      <c r="J45" s="155">
        <f t="shared" si="13"/>
        <v>280</v>
      </c>
      <c r="K45" s="155">
        <f t="shared" si="13"/>
        <v>280</v>
      </c>
      <c r="L45" s="155">
        <f t="shared" si="13"/>
        <v>280</v>
      </c>
      <c r="M45" s="155">
        <f t="shared" si="13"/>
        <v>280</v>
      </c>
      <c r="N45" s="155">
        <f t="shared" si="13"/>
        <v>280</v>
      </c>
      <c r="O45" s="155">
        <f t="shared" si="13"/>
        <v>280</v>
      </c>
      <c r="P45" s="155">
        <f t="shared" si="13"/>
        <v>280</v>
      </c>
      <c r="Q45" s="155">
        <f t="shared" si="13"/>
        <v>280</v>
      </c>
      <c r="R45" s="155">
        <f t="shared" si="13"/>
        <v>280</v>
      </c>
    </row>
    <row r="46" spans="2:18" ht="12.75" customHeight="1">
      <c r="B46" s="151" t="s">
        <v>91</v>
      </c>
      <c r="C46" s="152" t="s">
        <v>93</v>
      </c>
      <c r="D46" s="153">
        <v>70</v>
      </c>
      <c r="E46" s="154">
        <v>2</v>
      </c>
      <c r="F46" s="108"/>
      <c r="G46" s="155">
        <f t="shared" si="13"/>
        <v>140</v>
      </c>
      <c r="H46" s="155">
        <f t="shared" si="13"/>
        <v>140</v>
      </c>
      <c r="I46" s="155">
        <f t="shared" si="13"/>
        <v>140</v>
      </c>
      <c r="J46" s="155">
        <f t="shared" si="13"/>
        <v>140</v>
      </c>
      <c r="K46" s="155">
        <f t="shared" si="13"/>
        <v>140</v>
      </c>
      <c r="L46" s="155">
        <f t="shared" si="13"/>
        <v>140</v>
      </c>
      <c r="M46" s="155">
        <f t="shared" si="13"/>
        <v>140</v>
      </c>
      <c r="N46" s="155">
        <f t="shared" si="13"/>
        <v>140</v>
      </c>
      <c r="O46" s="155">
        <f t="shared" si="13"/>
        <v>140</v>
      </c>
      <c r="P46" s="155">
        <f t="shared" si="13"/>
        <v>140</v>
      </c>
      <c r="Q46" s="155">
        <f t="shared" si="13"/>
        <v>140</v>
      </c>
      <c r="R46" s="155">
        <f t="shared" si="13"/>
        <v>140</v>
      </c>
    </row>
    <row r="47" spans="2:18" ht="12.75" customHeight="1">
      <c r="B47" s="151" t="s">
        <v>94</v>
      </c>
      <c r="C47" s="152" t="s">
        <v>95</v>
      </c>
      <c r="D47" s="153">
        <v>6</v>
      </c>
      <c r="E47" s="154">
        <v>80</v>
      </c>
      <c r="F47" s="108"/>
      <c r="G47" s="155">
        <f t="shared" si="13"/>
        <v>480</v>
      </c>
      <c r="H47" s="155">
        <f t="shared" si="13"/>
        <v>480</v>
      </c>
      <c r="I47" s="155">
        <f t="shared" si="13"/>
        <v>480</v>
      </c>
      <c r="J47" s="155">
        <f t="shared" si="13"/>
        <v>480</v>
      </c>
      <c r="K47" s="155">
        <f t="shared" si="13"/>
        <v>480</v>
      </c>
      <c r="L47" s="155">
        <f t="shared" si="13"/>
        <v>480</v>
      </c>
      <c r="M47" s="155">
        <f t="shared" si="13"/>
        <v>480</v>
      </c>
      <c r="N47" s="155">
        <f t="shared" si="13"/>
        <v>480</v>
      </c>
      <c r="O47" s="155">
        <f t="shared" si="13"/>
        <v>480</v>
      </c>
      <c r="P47" s="155">
        <f t="shared" si="13"/>
        <v>480</v>
      </c>
      <c r="Q47" s="155">
        <f t="shared" si="13"/>
        <v>480</v>
      </c>
      <c r="R47" s="155">
        <f t="shared" si="13"/>
        <v>480</v>
      </c>
    </row>
    <row r="48" spans="2:18" ht="12.75" customHeight="1">
      <c r="B48" s="151" t="s">
        <v>94</v>
      </c>
      <c r="C48" s="156" t="s">
        <v>96</v>
      </c>
      <c r="D48" s="153">
        <v>6</v>
      </c>
      <c r="E48" s="154">
        <v>80</v>
      </c>
      <c r="F48" s="108"/>
      <c r="G48" s="155">
        <f t="shared" si="13"/>
        <v>480</v>
      </c>
      <c r="H48" s="155">
        <f t="shared" si="13"/>
        <v>480</v>
      </c>
      <c r="I48" s="155">
        <f t="shared" si="13"/>
        <v>480</v>
      </c>
      <c r="J48" s="155">
        <f t="shared" si="13"/>
        <v>480</v>
      </c>
      <c r="K48" s="155">
        <f t="shared" si="13"/>
        <v>480</v>
      </c>
      <c r="L48" s="155">
        <f t="shared" si="13"/>
        <v>480</v>
      </c>
      <c r="M48" s="155">
        <f t="shared" si="13"/>
        <v>480</v>
      </c>
      <c r="N48" s="155">
        <f t="shared" si="13"/>
        <v>480</v>
      </c>
      <c r="O48" s="155">
        <f t="shared" si="13"/>
        <v>480</v>
      </c>
      <c r="P48" s="155">
        <f t="shared" si="13"/>
        <v>480</v>
      </c>
      <c r="Q48" s="155">
        <f t="shared" si="13"/>
        <v>480</v>
      </c>
      <c r="R48" s="155">
        <f t="shared" si="13"/>
        <v>480</v>
      </c>
    </row>
    <row r="49" spans="2:18" ht="12.75" customHeight="1">
      <c r="B49" s="151" t="s">
        <v>97</v>
      </c>
      <c r="C49" s="156" t="s">
        <v>98</v>
      </c>
      <c r="D49" s="153">
        <v>8</v>
      </c>
      <c r="E49" s="154">
        <v>80</v>
      </c>
      <c r="F49" s="108"/>
      <c r="G49" s="155">
        <f t="shared" si="13"/>
        <v>640</v>
      </c>
      <c r="H49" s="155">
        <f t="shared" si="13"/>
        <v>640</v>
      </c>
      <c r="I49" s="155">
        <f t="shared" si="13"/>
        <v>640</v>
      </c>
      <c r="J49" s="155">
        <f t="shared" si="13"/>
        <v>640</v>
      </c>
      <c r="K49" s="155">
        <f t="shared" si="13"/>
        <v>640</v>
      </c>
      <c r="L49" s="155">
        <f t="shared" si="13"/>
        <v>640</v>
      </c>
      <c r="M49" s="155">
        <f t="shared" si="13"/>
        <v>640</v>
      </c>
      <c r="N49" s="155">
        <f t="shared" si="13"/>
        <v>640</v>
      </c>
      <c r="O49" s="155">
        <f t="shared" si="13"/>
        <v>640</v>
      </c>
      <c r="P49" s="155">
        <f t="shared" si="13"/>
        <v>640</v>
      </c>
      <c r="Q49" s="155">
        <f t="shared" si="13"/>
        <v>640</v>
      </c>
      <c r="R49" s="155">
        <f t="shared" si="13"/>
        <v>640</v>
      </c>
    </row>
    <row r="50" spans="2:18" ht="12.75" customHeight="1">
      <c r="B50" s="151" t="s">
        <v>97</v>
      </c>
      <c r="C50" s="156" t="s">
        <v>99</v>
      </c>
      <c r="D50" s="153">
        <v>8</v>
      </c>
      <c r="E50" s="154">
        <v>80</v>
      </c>
      <c r="F50" s="108"/>
      <c r="G50" s="155">
        <f t="shared" si="13"/>
        <v>640</v>
      </c>
      <c r="H50" s="155">
        <f t="shared" si="13"/>
        <v>640</v>
      </c>
      <c r="I50" s="155">
        <f t="shared" si="13"/>
        <v>640</v>
      </c>
      <c r="J50" s="155">
        <f t="shared" si="13"/>
        <v>640</v>
      </c>
      <c r="K50" s="155">
        <f t="shared" si="13"/>
        <v>640</v>
      </c>
      <c r="L50" s="155">
        <f t="shared" si="13"/>
        <v>640</v>
      </c>
      <c r="M50" s="155">
        <f t="shared" si="13"/>
        <v>640</v>
      </c>
      <c r="N50" s="155">
        <f t="shared" si="13"/>
        <v>640</v>
      </c>
      <c r="O50" s="155">
        <f t="shared" si="13"/>
        <v>640</v>
      </c>
      <c r="P50" s="155">
        <f t="shared" si="13"/>
        <v>640</v>
      </c>
      <c r="Q50" s="155">
        <f t="shared" si="13"/>
        <v>640</v>
      </c>
      <c r="R50" s="155">
        <f t="shared" si="13"/>
        <v>640</v>
      </c>
    </row>
    <row r="51" spans="2:18" ht="12.75" customHeight="1">
      <c r="B51" s="147" t="s">
        <v>85</v>
      </c>
      <c r="C51" s="148"/>
      <c r="D51" s="149"/>
      <c r="E51" s="150">
        <f>VLOOKUP($B51,$B$14:$C$19,2,FALSE())</f>
        <v>6000</v>
      </c>
      <c r="F51" s="96">
        <f>VLOOKUP($B51,$B$14:$E$19,4,FALSE())</f>
        <v>1</v>
      </c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</row>
    <row r="52" spans="2:18" ht="12.75" customHeight="1">
      <c r="B52" s="151" t="s">
        <v>91</v>
      </c>
      <c r="C52" s="152" t="s">
        <v>92</v>
      </c>
      <c r="D52" s="153">
        <v>140</v>
      </c>
      <c r="E52" s="154">
        <v>2</v>
      </c>
      <c r="F52" s="108"/>
      <c r="G52" s="155">
        <f t="shared" ref="G52:R57" si="14">IF(G$18=0,0,G$18/$D$18*$E52*$D52)</f>
        <v>280</v>
      </c>
      <c r="H52" s="155">
        <f t="shared" si="14"/>
        <v>280</v>
      </c>
      <c r="I52" s="155">
        <f t="shared" si="14"/>
        <v>280</v>
      </c>
      <c r="J52" s="155">
        <f t="shared" si="14"/>
        <v>280</v>
      </c>
      <c r="K52" s="155">
        <f t="shared" si="14"/>
        <v>280</v>
      </c>
      <c r="L52" s="155">
        <f t="shared" si="14"/>
        <v>280</v>
      </c>
      <c r="M52" s="155">
        <f t="shared" si="14"/>
        <v>280</v>
      </c>
      <c r="N52" s="155">
        <f t="shared" si="14"/>
        <v>280</v>
      </c>
      <c r="O52" s="155">
        <f t="shared" si="14"/>
        <v>280</v>
      </c>
      <c r="P52" s="155">
        <f t="shared" si="14"/>
        <v>280</v>
      </c>
      <c r="Q52" s="155">
        <f t="shared" si="14"/>
        <v>280</v>
      </c>
      <c r="R52" s="155">
        <f t="shared" si="14"/>
        <v>280</v>
      </c>
    </row>
    <row r="53" spans="2:18" ht="12.75" customHeight="1">
      <c r="B53" s="151" t="s">
        <v>91</v>
      </c>
      <c r="C53" s="152" t="s">
        <v>93</v>
      </c>
      <c r="D53" s="153">
        <v>70</v>
      </c>
      <c r="E53" s="154">
        <v>2</v>
      </c>
      <c r="F53" s="108"/>
      <c r="G53" s="155">
        <f t="shared" si="14"/>
        <v>140</v>
      </c>
      <c r="H53" s="155">
        <f t="shared" si="14"/>
        <v>140</v>
      </c>
      <c r="I53" s="155">
        <f t="shared" si="14"/>
        <v>140</v>
      </c>
      <c r="J53" s="155">
        <f t="shared" si="14"/>
        <v>140</v>
      </c>
      <c r="K53" s="155">
        <f t="shared" si="14"/>
        <v>140</v>
      </c>
      <c r="L53" s="155">
        <f t="shared" si="14"/>
        <v>140</v>
      </c>
      <c r="M53" s="155">
        <f t="shared" si="14"/>
        <v>140</v>
      </c>
      <c r="N53" s="155">
        <f t="shared" si="14"/>
        <v>140</v>
      </c>
      <c r="O53" s="155">
        <f t="shared" si="14"/>
        <v>140</v>
      </c>
      <c r="P53" s="155">
        <f t="shared" si="14"/>
        <v>140</v>
      </c>
      <c r="Q53" s="155">
        <f t="shared" si="14"/>
        <v>140</v>
      </c>
      <c r="R53" s="155">
        <f t="shared" si="14"/>
        <v>140</v>
      </c>
    </row>
    <row r="54" spans="2:18" ht="12.75" customHeight="1">
      <c r="B54" s="151" t="s">
        <v>94</v>
      </c>
      <c r="C54" s="152" t="s">
        <v>95</v>
      </c>
      <c r="D54" s="153">
        <v>6</v>
      </c>
      <c r="E54" s="154">
        <v>80</v>
      </c>
      <c r="F54" s="108"/>
      <c r="G54" s="155">
        <f t="shared" si="14"/>
        <v>480</v>
      </c>
      <c r="H54" s="155">
        <f t="shared" si="14"/>
        <v>480</v>
      </c>
      <c r="I54" s="155">
        <f t="shared" si="14"/>
        <v>480</v>
      </c>
      <c r="J54" s="155">
        <f t="shared" si="14"/>
        <v>480</v>
      </c>
      <c r="K54" s="155">
        <f t="shared" si="14"/>
        <v>480</v>
      </c>
      <c r="L54" s="155">
        <f t="shared" si="14"/>
        <v>480</v>
      </c>
      <c r="M54" s="155">
        <f t="shared" si="14"/>
        <v>480</v>
      </c>
      <c r="N54" s="155">
        <f t="shared" si="14"/>
        <v>480</v>
      </c>
      <c r="O54" s="155">
        <f t="shared" si="14"/>
        <v>480</v>
      </c>
      <c r="P54" s="155">
        <f t="shared" si="14"/>
        <v>480</v>
      </c>
      <c r="Q54" s="155">
        <f t="shared" si="14"/>
        <v>480</v>
      </c>
      <c r="R54" s="155">
        <f t="shared" si="14"/>
        <v>480</v>
      </c>
    </row>
    <row r="55" spans="2:18" ht="12.75" customHeight="1">
      <c r="B55" s="151" t="s">
        <v>94</v>
      </c>
      <c r="C55" s="156" t="s">
        <v>96</v>
      </c>
      <c r="D55" s="153">
        <v>6</v>
      </c>
      <c r="E55" s="154">
        <v>80</v>
      </c>
      <c r="F55" s="108"/>
      <c r="G55" s="155">
        <f t="shared" si="14"/>
        <v>480</v>
      </c>
      <c r="H55" s="155">
        <f t="shared" si="14"/>
        <v>480</v>
      </c>
      <c r="I55" s="155">
        <f t="shared" si="14"/>
        <v>480</v>
      </c>
      <c r="J55" s="155">
        <f t="shared" si="14"/>
        <v>480</v>
      </c>
      <c r="K55" s="155">
        <f t="shared" si="14"/>
        <v>480</v>
      </c>
      <c r="L55" s="155">
        <f t="shared" si="14"/>
        <v>480</v>
      </c>
      <c r="M55" s="155">
        <f t="shared" si="14"/>
        <v>480</v>
      </c>
      <c r="N55" s="155">
        <f t="shared" si="14"/>
        <v>480</v>
      </c>
      <c r="O55" s="155">
        <f t="shared" si="14"/>
        <v>480</v>
      </c>
      <c r="P55" s="155">
        <f t="shared" si="14"/>
        <v>480</v>
      </c>
      <c r="Q55" s="155">
        <f t="shared" si="14"/>
        <v>480</v>
      </c>
      <c r="R55" s="155">
        <f t="shared" si="14"/>
        <v>480</v>
      </c>
    </row>
    <row r="56" spans="2:18" ht="12.75" customHeight="1">
      <c r="B56" s="151" t="s">
        <v>97</v>
      </c>
      <c r="C56" s="156" t="s">
        <v>98</v>
      </c>
      <c r="D56" s="153">
        <v>8</v>
      </c>
      <c r="E56" s="154">
        <v>80</v>
      </c>
      <c r="F56" s="108"/>
      <c r="G56" s="155">
        <f t="shared" si="14"/>
        <v>640</v>
      </c>
      <c r="H56" s="155">
        <f t="shared" si="14"/>
        <v>640</v>
      </c>
      <c r="I56" s="155">
        <f t="shared" si="14"/>
        <v>640</v>
      </c>
      <c r="J56" s="155">
        <f t="shared" si="14"/>
        <v>640</v>
      </c>
      <c r="K56" s="155">
        <f t="shared" si="14"/>
        <v>640</v>
      </c>
      <c r="L56" s="155">
        <f t="shared" si="14"/>
        <v>640</v>
      </c>
      <c r="M56" s="155">
        <f t="shared" si="14"/>
        <v>640</v>
      </c>
      <c r="N56" s="155">
        <f t="shared" si="14"/>
        <v>640</v>
      </c>
      <c r="O56" s="155">
        <f t="shared" si="14"/>
        <v>640</v>
      </c>
      <c r="P56" s="155">
        <f t="shared" si="14"/>
        <v>640</v>
      </c>
      <c r="Q56" s="155">
        <f t="shared" si="14"/>
        <v>640</v>
      </c>
      <c r="R56" s="155">
        <f t="shared" si="14"/>
        <v>640</v>
      </c>
    </row>
    <row r="57" spans="2:18" ht="12.75" customHeight="1">
      <c r="B57" s="151" t="s">
        <v>97</v>
      </c>
      <c r="C57" s="156" t="s">
        <v>99</v>
      </c>
      <c r="D57" s="153">
        <v>8</v>
      </c>
      <c r="E57" s="154">
        <v>80</v>
      </c>
      <c r="F57" s="108"/>
      <c r="G57" s="155">
        <f t="shared" si="14"/>
        <v>640</v>
      </c>
      <c r="H57" s="155">
        <f t="shared" si="14"/>
        <v>640</v>
      </c>
      <c r="I57" s="155">
        <f t="shared" si="14"/>
        <v>640</v>
      </c>
      <c r="J57" s="155">
        <f t="shared" si="14"/>
        <v>640</v>
      </c>
      <c r="K57" s="155">
        <f t="shared" si="14"/>
        <v>640</v>
      </c>
      <c r="L57" s="155">
        <f t="shared" si="14"/>
        <v>640</v>
      </c>
      <c r="M57" s="155">
        <f t="shared" si="14"/>
        <v>640</v>
      </c>
      <c r="N57" s="155">
        <f t="shared" si="14"/>
        <v>640</v>
      </c>
      <c r="O57" s="155">
        <f t="shared" si="14"/>
        <v>640</v>
      </c>
      <c r="P57" s="155">
        <f t="shared" si="14"/>
        <v>640</v>
      </c>
      <c r="Q57" s="155">
        <f t="shared" si="14"/>
        <v>640</v>
      </c>
      <c r="R57" s="155">
        <f t="shared" si="14"/>
        <v>640</v>
      </c>
    </row>
    <row r="58" spans="2:18" ht="12.75" customHeight="1">
      <c r="B58" s="147" t="s">
        <v>86</v>
      </c>
      <c r="C58" s="148"/>
      <c r="D58" s="149"/>
      <c r="E58" s="150">
        <f>VLOOKUP($B58,$B$14:$C$19,2,FALSE())</f>
        <v>12000</v>
      </c>
      <c r="F58" s="108"/>
      <c r="G58" s="97"/>
      <c r="H58" s="97"/>
      <c r="I58" s="94"/>
      <c r="J58" s="97"/>
      <c r="K58" s="94"/>
      <c r="L58" s="97"/>
      <c r="M58" s="94"/>
      <c r="N58" s="97"/>
      <c r="O58" s="94"/>
      <c r="P58" s="97"/>
      <c r="Q58" s="94"/>
      <c r="R58" s="97"/>
    </row>
    <row r="59" spans="2:18" ht="12.75" customHeight="1">
      <c r="B59" s="151" t="s">
        <v>91</v>
      </c>
      <c r="C59" s="152" t="s">
        <v>92</v>
      </c>
      <c r="D59" s="153">
        <v>140</v>
      </c>
      <c r="E59" s="154">
        <v>2</v>
      </c>
      <c r="F59" s="157"/>
      <c r="G59" s="155">
        <f t="shared" ref="G59:R64" si="15">IF(G$19=0,0,G$19/$D$19*$E59*$D59)</f>
        <v>0</v>
      </c>
      <c r="H59" s="155">
        <f t="shared" si="15"/>
        <v>280</v>
      </c>
      <c r="I59" s="155">
        <f t="shared" si="15"/>
        <v>0</v>
      </c>
      <c r="J59" s="155">
        <f t="shared" si="15"/>
        <v>280</v>
      </c>
      <c r="K59" s="155">
        <f t="shared" si="15"/>
        <v>0</v>
      </c>
      <c r="L59" s="155">
        <f t="shared" si="15"/>
        <v>280</v>
      </c>
      <c r="M59" s="155">
        <f t="shared" si="15"/>
        <v>280</v>
      </c>
      <c r="N59" s="155">
        <f t="shared" si="15"/>
        <v>0</v>
      </c>
      <c r="O59" s="155">
        <f t="shared" si="15"/>
        <v>280</v>
      </c>
      <c r="P59" s="155">
        <f t="shared" si="15"/>
        <v>0</v>
      </c>
      <c r="Q59" s="155">
        <f t="shared" si="15"/>
        <v>280</v>
      </c>
      <c r="R59" s="155">
        <f t="shared" si="15"/>
        <v>280</v>
      </c>
    </row>
    <row r="60" spans="2:18" ht="12.75" customHeight="1">
      <c r="B60" s="151" t="s">
        <v>91</v>
      </c>
      <c r="C60" s="152" t="s">
        <v>93</v>
      </c>
      <c r="D60" s="153">
        <v>70</v>
      </c>
      <c r="E60" s="154">
        <v>2</v>
      </c>
      <c r="F60" s="157"/>
      <c r="G60" s="155">
        <f t="shared" si="15"/>
        <v>0</v>
      </c>
      <c r="H60" s="155">
        <f t="shared" si="15"/>
        <v>140</v>
      </c>
      <c r="I60" s="155">
        <f t="shared" si="15"/>
        <v>0</v>
      </c>
      <c r="J60" s="155">
        <f t="shared" si="15"/>
        <v>140</v>
      </c>
      <c r="K60" s="155">
        <f t="shared" si="15"/>
        <v>0</v>
      </c>
      <c r="L60" s="155">
        <f t="shared" si="15"/>
        <v>140</v>
      </c>
      <c r="M60" s="155">
        <f t="shared" si="15"/>
        <v>140</v>
      </c>
      <c r="N60" s="155">
        <f t="shared" si="15"/>
        <v>0</v>
      </c>
      <c r="O60" s="155">
        <f t="shared" si="15"/>
        <v>140</v>
      </c>
      <c r="P60" s="155">
        <f t="shared" si="15"/>
        <v>0</v>
      </c>
      <c r="Q60" s="155">
        <f t="shared" si="15"/>
        <v>140</v>
      </c>
      <c r="R60" s="155">
        <f t="shared" si="15"/>
        <v>140</v>
      </c>
    </row>
    <row r="61" spans="2:18" ht="12.75" customHeight="1">
      <c r="B61" s="151" t="s">
        <v>94</v>
      </c>
      <c r="C61" s="152" t="s">
        <v>95</v>
      </c>
      <c r="D61" s="153">
        <v>6</v>
      </c>
      <c r="E61" s="154">
        <v>80</v>
      </c>
      <c r="F61" s="157"/>
      <c r="G61" s="155">
        <f t="shared" si="15"/>
        <v>0</v>
      </c>
      <c r="H61" s="155">
        <f t="shared" si="15"/>
        <v>480</v>
      </c>
      <c r="I61" s="155">
        <f t="shared" si="15"/>
        <v>0</v>
      </c>
      <c r="J61" s="155">
        <f t="shared" si="15"/>
        <v>480</v>
      </c>
      <c r="K61" s="155">
        <f t="shared" si="15"/>
        <v>0</v>
      </c>
      <c r="L61" s="155">
        <f t="shared" si="15"/>
        <v>480</v>
      </c>
      <c r="M61" s="155">
        <f t="shared" si="15"/>
        <v>480</v>
      </c>
      <c r="N61" s="155">
        <f t="shared" si="15"/>
        <v>0</v>
      </c>
      <c r="O61" s="155">
        <f t="shared" si="15"/>
        <v>480</v>
      </c>
      <c r="P61" s="155">
        <f t="shared" si="15"/>
        <v>0</v>
      </c>
      <c r="Q61" s="155">
        <f t="shared" si="15"/>
        <v>480</v>
      </c>
      <c r="R61" s="155">
        <f t="shared" si="15"/>
        <v>480</v>
      </c>
    </row>
    <row r="62" spans="2:18" ht="12.75" customHeight="1">
      <c r="B62" s="151" t="s">
        <v>94</v>
      </c>
      <c r="C62" s="156" t="s">
        <v>96</v>
      </c>
      <c r="D62" s="153">
        <v>6</v>
      </c>
      <c r="E62" s="154">
        <v>80</v>
      </c>
      <c r="F62" s="157"/>
      <c r="G62" s="155">
        <f t="shared" si="15"/>
        <v>0</v>
      </c>
      <c r="H62" s="155">
        <f t="shared" si="15"/>
        <v>480</v>
      </c>
      <c r="I62" s="155">
        <f t="shared" si="15"/>
        <v>0</v>
      </c>
      <c r="J62" s="155">
        <f t="shared" si="15"/>
        <v>480</v>
      </c>
      <c r="K62" s="155">
        <f t="shared" si="15"/>
        <v>0</v>
      </c>
      <c r="L62" s="155">
        <f t="shared" si="15"/>
        <v>480</v>
      </c>
      <c r="M62" s="155">
        <f t="shared" si="15"/>
        <v>480</v>
      </c>
      <c r="N62" s="155">
        <f t="shared" si="15"/>
        <v>0</v>
      </c>
      <c r="O62" s="155">
        <f t="shared" si="15"/>
        <v>480</v>
      </c>
      <c r="P62" s="155">
        <f t="shared" si="15"/>
        <v>0</v>
      </c>
      <c r="Q62" s="155">
        <f t="shared" si="15"/>
        <v>480</v>
      </c>
      <c r="R62" s="155">
        <f t="shared" si="15"/>
        <v>480</v>
      </c>
    </row>
    <row r="63" spans="2:18" ht="12.75" customHeight="1">
      <c r="B63" s="151" t="s">
        <v>97</v>
      </c>
      <c r="C63" s="156" t="s">
        <v>98</v>
      </c>
      <c r="D63" s="153">
        <v>8</v>
      </c>
      <c r="E63" s="154">
        <v>80</v>
      </c>
      <c r="F63" s="157"/>
      <c r="G63" s="155">
        <f t="shared" si="15"/>
        <v>0</v>
      </c>
      <c r="H63" s="155">
        <f t="shared" si="15"/>
        <v>640</v>
      </c>
      <c r="I63" s="155">
        <f t="shared" si="15"/>
        <v>0</v>
      </c>
      <c r="J63" s="155">
        <f t="shared" si="15"/>
        <v>640</v>
      </c>
      <c r="K63" s="155">
        <f t="shared" si="15"/>
        <v>0</v>
      </c>
      <c r="L63" s="155">
        <f t="shared" si="15"/>
        <v>640</v>
      </c>
      <c r="M63" s="155">
        <f t="shared" si="15"/>
        <v>640</v>
      </c>
      <c r="N63" s="155">
        <f t="shared" si="15"/>
        <v>0</v>
      </c>
      <c r="O63" s="155">
        <f t="shared" si="15"/>
        <v>640</v>
      </c>
      <c r="P63" s="155">
        <f t="shared" si="15"/>
        <v>0</v>
      </c>
      <c r="Q63" s="155">
        <f t="shared" si="15"/>
        <v>640</v>
      </c>
      <c r="R63" s="155">
        <f t="shared" si="15"/>
        <v>640</v>
      </c>
    </row>
    <row r="64" spans="2:18" ht="13.5" customHeight="1">
      <c r="B64" s="158" t="s">
        <v>97</v>
      </c>
      <c r="C64" s="156" t="s">
        <v>99</v>
      </c>
      <c r="D64" s="153">
        <v>8</v>
      </c>
      <c r="E64" s="154">
        <v>80</v>
      </c>
      <c r="F64" s="159"/>
      <c r="G64" s="160">
        <f t="shared" si="15"/>
        <v>0</v>
      </c>
      <c r="H64" s="160">
        <f t="shared" si="15"/>
        <v>640</v>
      </c>
      <c r="I64" s="160">
        <f t="shared" si="15"/>
        <v>0</v>
      </c>
      <c r="J64" s="160">
        <f t="shared" si="15"/>
        <v>640</v>
      </c>
      <c r="K64" s="160">
        <f t="shared" si="15"/>
        <v>0</v>
      </c>
      <c r="L64" s="160">
        <f t="shared" si="15"/>
        <v>640</v>
      </c>
      <c r="M64" s="160">
        <f t="shared" si="15"/>
        <v>640</v>
      </c>
      <c r="N64" s="160">
        <f t="shared" si="15"/>
        <v>0</v>
      </c>
      <c r="O64" s="160">
        <f t="shared" si="15"/>
        <v>640</v>
      </c>
      <c r="P64" s="160">
        <f t="shared" si="15"/>
        <v>0</v>
      </c>
      <c r="Q64" s="160">
        <f t="shared" si="15"/>
        <v>640</v>
      </c>
      <c r="R64" s="160">
        <f t="shared" si="15"/>
        <v>640</v>
      </c>
    </row>
  </sheetData>
  <mergeCells count="2">
    <mergeCell ref="B11:R11"/>
    <mergeCell ref="B20:R20"/>
  </mergeCells>
  <printOptions horizontalCentered="1"/>
  <pageMargins left="0.31527777777777799" right="0.31527777777777799" top="0.35416666666666702" bottom="0.55138888888888904" header="0.511811023622047" footer="0.511811023622047"/>
  <pageSetup paperSize="9" scale="64" orientation="landscape" horizontalDpi="300" verticalDpi="300" r:id="rId1"/>
  <rowBreaks count="1" manualBreakCount="1">
    <brk id="50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77"/>
  <sheetViews>
    <sheetView tabSelected="1" view="pageBreakPreview" zoomScale="80" zoomScaleNormal="80" zoomScalePageLayoutView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3" sqref="F3"/>
    </sheetView>
  </sheetViews>
  <sheetFormatPr defaultColWidth="9.140625" defaultRowHeight="12.75"/>
  <cols>
    <col min="1" max="1" width="5.42578125" style="79" customWidth="1"/>
    <col min="2" max="2" width="81.42578125" style="79" customWidth="1"/>
    <col min="3" max="3" width="12.7109375" style="79" customWidth="1"/>
    <col min="4" max="4" width="14.140625" style="79" customWidth="1"/>
    <col min="5" max="5" width="11.42578125" style="79" customWidth="1"/>
    <col min="6" max="11" width="9.28515625" style="79" customWidth="1"/>
    <col min="12" max="12" width="11.28515625" style="79" customWidth="1"/>
    <col min="13" max="14" width="9.28515625" style="79" customWidth="1"/>
    <col min="15" max="15" width="10.7109375" style="79" customWidth="1"/>
    <col min="16" max="17" width="9.28515625" style="79" customWidth="1"/>
    <col min="18" max="18" width="3.28515625" style="79" customWidth="1"/>
    <col min="19" max="16384" width="9.140625" style="79"/>
  </cols>
  <sheetData>
    <row r="2" spans="2:17" ht="12.75" customHeight="1">
      <c r="B2" s="5" t="s">
        <v>0</v>
      </c>
    </row>
    <row r="3" spans="2:17" ht="16.5" customHeight="1">
      <c r="B3" s="79" t="s">
        <v>100</v>
      </c>
      <c r="F3" s="161">
        <f>'Данные_Буровой станок'!E6</f>
        <v>0.93093607305936077</v>
      </c>
      <c r="G3" s="161">
        <f>'Данные_Буровой станок'!F6</f>
        <v>0.91717402333840692</v>
      </c>
      <c r="H3" s="161">
        <f>'Данные_Буровой станок'!G6</f>
        <v>0.93093607305936077</v>
      </c>
      <c r="I3" s="161">
        <f>'Данные_Буровой станок'!H6</f>
        <v>0.91717402333840692</v>
      </c>
      <c r="J3" s="161">
        <f>'Данные_Буровой станок'!I6</f>
        <v>0.88654236428209032</v>
      </c>
      <c r="K3" s="161">
        <f>'Данные_Буровой станок'!J6</f>
        <v>0.91717402333840692</v>
      </c>
      <c r="L3" s="161">
        <f>'Данные_Буровой станок'!K6</f>
        <v>0.8505834601725013</v>
      </c>
      <c r="M3" s="161">
        <f>'Данные_Буровой станок'!L6</f>
        <v>0.91983764586504313</v>
      </c>
      <c r="N3" s="161">
        <f>'Данные_Буровой станок'!M6</f>
        <v>0.92827245053272456</v>
      </c>
      <c r="O3" s="161">
        <f>'Данные_Буровой станок'!N6</f>
        <v>0.85324708269913752</v>
      </c>
      <c r="P3" s="161">
        <f>'Данные_Буровой станок'!O6</f>
        <v>0.92827245053272456</v>
      </c>
      <c r="Q3" s="161">
        <f>'Данные_Буровой станок'!P6</f>
        <v>0.91717402333840692</v>
      </c>
    </row>
    <row r="4" spans="2:17" s="162" customFormat="1" ht="22.5" customHeight="1">
      <c r="B4" s="163" t="s">
        <v>64</v>
      </c>
      <c r="C4" s="164" t="s">
        <v>101</v>
      </c>
      <c r="D4" s="140"/>
      <c r="E4" s="140"/>
      <c r="F4" s="13">
        <v>1</v>
      </c>
      <c r="G4" s="13">
        <f t="shared" ref="G4:Q4" si="0">F4+1</f>
        <v>2</v>
      </c>
      <c r="H4" s="13">
        <f t="shared" si="0"/>
        <v>3</v>
      </c>
      <c r="I4" s="13">
        <f t="shared" si="0"/>
        <v>4</v>
      </c>
      <c r="J4" s="13">
        <f t="shared" si="0"/>
        <v>5</v>
      </c>
      <c r="K4" s="13">
        <f t="shared" si="0"/>
        <v>6</v>
      </c>
      <c r="L4" s="13">
        <f t="shared" si="0"/>
        <v>7</v>
      </c>
      <c r="M4" s="13">
        <f t="shared" si="0"/>
        <v>8</v>
      </c>
      <c r="N4" s="13">
        <f t="shared" si="0"/>
        <v>9</v>
      </c>
      <c r="O4" s="13">
        <f t="shared" si="0"/>
        <v>10</v>
      </c>
      <c r="P4" s="13">
        <f t="shared" si="0"/>
        <v>11</v>
      </c>
      <c r="Q4" s="13">
        <f t="shared" si="0"/>
        <v>12</v>
      </c>
    </row>
    <row r="5" spans="2:17" ht="12.75" customHeight="1">
      <c r="B5" s="92" t="s">
        <v>65</v>
      </c>
      <c r="C5" s="165" t="s">
        <v>66</v>
      </c>
      <c r="D5" s="94"/>
      <c r="E5" s="166"/>
      <c r="F5" s="97">
        <v>0</v>
      </c>
      <c r="G5" s="97">
        <f t="shared" ref="G5:Q5" si="1">F6+1</f>
        <v>7001</v>
      </c>
      <c r="H5" s="97">
        <f t="shared" si="1"/>
        <v>14001</v>
      </c>
      <c r="I5" s="97">
        <f t="shared" si="1"/>
        <v>21001</v>
      </c>
      <c r="J5" s="97">
        <f t="shared" si="1"/>
        <v>28001</v>
      </c>
      <c r="K5" s="97">
        <f t="shared" si="1"/>
        <v>35001</v>
      </c>
      <c r="L5" s="97">
        <f t="shared" si="1"/>
        <v>42001</v>
      </c>
      <c r="M5" s="97">
        <f t="shared" si="1"/>
        <v>49001</v>
      </c>
      <c r="N5" s="97">
        <f t="shared" si="1"/>
        <v>56001</v>
      </c>
      <c r="O5" s="97">
        <f t="shared" si="1"/>
        <v>63001</v>
      </c>
      <c r="P5" s="97">
        <f t="shared" si="1"/>
        <v>70001</v>
      </c>
      <c r="Q5" s="97">
        <f t="shared" si="1"/>
        <v>77001</v>
      </c>
    </row>
    <row r="6" spans="2:17" ht="13.5" customHeight="1">
      <c r="B6" s="167" t="s">
        <v>67</v>
      </c>
      <c r="C6" s="168" t="s">
        <v>66</v>
      </c>
      <c r="D6" s="169"/>
      <c r="E6" s="170">
        <f>ТО!F6</f>
        <v>7000</v>
      </c>
      <c r="F6" s="171">
        <f>E6</f>
        <v>7000</v>
      </c>
      <c r="G6" s="171">
        <f t="shared" ref="G6:Q6" si="2">F6+$E6</f>
        <v>14000</v>
      </c>
      <c r="H6" s="171">
        <f t="shared" si="2"/>
        <v>21000</v>
      </c>
      <c r="I6" s="171">
        <f t="shared" si="2"/>
        <v>28000</v>
      </c>
      <c r="J6" s="171">
        <f t="shared" si="2"/>
        <v>35000</v>
      </c>
      <c r="K6" s="171">
        <f t="shared" si="2"/>
        <v>42000</v>
      </c>
      <c r="L6" s="171">
        <f t="shared" si="2"/>
        <v>49000</v>
      </c>
      <c r="M6" s="171">
        <f t="shared" si="2"/>
        <v>56000</v>
      </c>
      <c r="N6" s="171">
        <f t="shared" si="2"/>
        <v>63000</v>
      </c>
      <c r="O6" s="171">
        <f t="shared" si="2"/>
        <v>70000</v>
      </c>
      <c r="P6" s="171">
        <f t="shared" si="2"/>
        <v>77000</v>
      </c>
      <c r="Q6" s="171">
        <f t="shared" si="2"/>
        <v>84000</v>
      </c>
    </row>
    <row r="7" spans="2:17" ht="13.5" customHeight="1">
      <c r="B7" s="172"/>
    </row>
    <row r="8" spans="2:17" ht="21.75" customHeight="1">
      <c r="B8" s="173" t="s">
        <v>102</v>
      </c>
      <c r="C8" s="33" t="s">
        <v>12</v>
      </c>
      <c r="D8" s="33"/>
      <c r="E8" s="33"/>
      <c r="F8" s="174">
        <f t="shared" ref="F8:Q8" si="3">F16</f>
        <v>200</v>
      </c>
      <c r="G8" s="174">
        <f t="shared" si="3"/>
        <v>300</v>
      </c>
      <c r="H8" s="174">
        <f t="shared" si="3"/>
        <v>200</v>
      </c>
      <c r="I8" s="174">
        <f t="shared" si="3"/>
        <v>300</v>
      </c>
      <c r="J8" s="174">
        <f t="shared" si="3"/>
        <v>600</v>
      </c>
      <c r="K8" s="174">
        <f t="shared" si="3"/>
        <v>300</v>
      </c>
      <c r="L8" s="174">
        <f t="shared" si="3"/>
        <v>900</v>
      </c>
      <c r="M8" s="174">
        <f t="shared" si="3"/>
        <v>300</v>
      </c>
      <c r="N8" s="174">
        <f t="shared" si="3"/>
        <v>200</v>
      </c>
      <c r="O8" s="174">
        <f t="shared" si="3"/>
        <v>900</v>
      </c>
      <c r="P8" s="174">
        <f t="shared" si="3"/>
        <v>200</v>
      </c>
      <c r="Q8" s="174">
        <f t="shared" si="3"/>
        <v>300</v>
      </c>
    </row>
    <row r="9" spans="2:17" ht="21" customHeight="1">
      <c r="B9" s="17" t="s">
        <v>45</v>
      </c>
      <c r="C9" s="175" t="s">
        <v>103</v>
      </c>
      <c r="D9" s="23"/>
      <c r="E9" s="23"/>
      <c r="F9" s="104">
        <f t="shared" ref="F9:Q9" si="4">SUM(F10:F12)</f>
        <v>98700</v>
      </c>
      <c r="G9" s="104">
        <f t="shared" si="4"/>
        <v>247300</v>
      </c>
      <c r="H9" s="104">
        <f t="shared" si="4"/>
        <v>339300</v>
      </c>
      <c r="I9" s="104">
        <f t="shared" si="4"/>
        <v>272300</v>
      </c>
      <c r="J9" s="104">
        <f t="shared" si="4"/>
        <v>210200</v>
      </c>
      <c r="K9" s="104">
        <f t="shared" si="4"/>
        <v>378800</v>
      </c>
      <c r="L9" s="104">
        <f t="shared" si="4"/>
        <v>253800</v>
      </c>
      <c r="M9" s="104">
        <f t="shared" si="4"/>
        <v>326800</v>
      </c>
      <c r="N9" s="104">
        <f t="shared" si="4"/>
        <v>293200</v>
      </c>
      <c r="O9" s="104">
        <f t="shared" si="4"/>
        <v>316300</v>
      </c>
      <c r="P9" s="104">
        <f t="shared" si="4"/>
        <v>232300</v>
      </c>
      <c r="Q9" s="176">
        <f t="shared" si="4"/>
        <v>304300</v>
      </c>
    </row>
    <row r="10" spans="2:17" ht="23.25" customHeight="1">
      <c r="B10" s="45" t="s">
        <v>48</v>
      </c>
      <c r="C10" s="57" t="s">
        <v>103</v>
      </c>
      <c r="D10" s="57"/>
      <c r="E10" s="57"/>
      <c r="F10" s="109">
        <f t="shared" ref="F10:Q10" si="5">F33</f>
        <v>8500</v>
      </c>
      <c r="G10" s="109">
        <f t="shared" si="5"/>
        <v>8500</v>
      </c>
      <c r="H10" s="109">
        <f t="shared" si="5"/>
        <v>8500</v>
      </c>
      <c r="I10" s="109">
        <f t="shared" si="5"/>
        <v>8500</v>
      </c>
      <c r="J10" s="109">
        <f t="shared" si="5"/>
        <v>8500</v>
      </c>
      <c r="K10" s="109">
        <f t="shared" si="5"/>
        <v>8500</v>
      </c>
      <c r="L10" s="109">
        <f t="shared" si="5"/>
        <v>8500</v>
      </c>
      <c r="M10" s="109">
        <f t="shared" si="5"/>
        <v>8500</v>
      </c>
      <c r="N10" s="109">
        <f t="shared" si="5"/>
        <v>8500</v>
      </c>
      <c r="O10" s="109">
        <f t="shared" si="5"/>
        <v>8500</v>
      </c>
      <c r="P10" s="109">
        <f t="shared" si="5"/>
        <v>8500</v>
      </c>
      <c r="Q10" s="177">
        <f t="shared" si="5"/>
        <v>8500</v>
      </c>
    </row>
    <row r="11" spans="2:17" ht="27.75" customHeight="1">
      <c r="B11" s="45" t="s">
        <v>49</v>
      </c>
      <c r="C11" s="57" t="s">
        <v>103</v>
      </c>
      <c r="D11" s="57"/>
      <c r="E11" s="57"/>
      <c r="F11" s="109">
        <f t="shared" ref="F11:Q11" si="6">F39</f>
        <v>76200</v>
      </c>
      <c r="G11" s="109">
        <f t="shared" si="6"/>
        <v>217800</v>
      </c>
      <c r="H11" s="109">
        <f t="shared" si="6"/>
        <v>316800</v>
      </c>
      <c r="I11" s="109">
        <f t="shared" si="6"/>
        <v>242800</v>
      </c>
      <c r="J11" s="109">
        <f t="shared" si="6"/>
        <v>145700</v>
      </c>
      <c r="K11" s="109">
        <f t="shared" si="6"/>
        <v>349300</v>
      </c>
      <c r="L11" s="109">
        <f t="shared" si="6"/>
        <v>182300</v>
      </c>
      <c r="M11" s="109">
        <f t="shared" si="6"/>
        <v>297300</v>
      </c>
      <c r="N11" s="109">
        <f t="shared" si="6"/>
        <v>270700</v>
      </c>
      <c r="O11" s="109">
        <f t="shared" si="6"/>
        <v>244800</v>
      </c>
      <c r="P11" s="109">
        <f t="shared" si="6"/>
        <v>209800</v>
      </c>
      <c r="Q11" s="177">
        <f t="shared" si="6"/>
        <v>274800</v>
      </c>
    </row>
    <row r="12" spans="2:17" ht="23.25" customHeight="1">
      <c r="B12" s="48" t="s">
        <v>104</v>
      </c>
      <c r="C12" s="178" t="s">
        <v>103</v>
      </c>
      <c r="D12" s="178"/>
      <c r="E12" s="178"/>
      <c r="F12" s="114">
        <f t="shared" ref="F12:Q12" si="7">SUMPRODUCT(F$25:F$29,$D25:$D29)</f>
        <v>14000</v>
      </c>
      <c r="G12" s="114">
        <f t="shared" si="7"/>
        <v>21000</v>
      </c>
      <c r="H12" s="114">
        <f t="shared" si="7"/>
        <v>14000</v>
      </c>
      <c r="I12" s="114">
        <f t="shared" si="7"/>
        <v>21000</v>
      </c>
      <c r="J12" s="114">
        <f t="shared" si="7"/>
        <v>56000</v>
      </c>
      <c r="K12" s="114">
        <f t="shared" si="7"/>
        <v>21000</v>
      </c>
      <c r="L12" s="114">
        <f t="shared" si="7"/>
        <v>63000</v>
      </c>
      <c r="M12" s="114">
        <f t="shared" si="7"/>
        <v>21000</v>
      </c>
      <c r="N12" s="114">
        <f t="shared" si="7"/>
        <v>14000</v>
      </c>
      <c r="O12" s="114">
        <f t="shared" si="7"/>
        <v>63000</v>
      </c>
      <c r="P12" s="114">
        <f t="shared" si="7"/>
        <v>14000</v>
      </c>
      <c r="Q12" s="114">
        <f t="shared" si="7"/>
        <v>21000</v>
      </c>
    </row>
    <row r="13" spans="2:17" ht="12.75" customHeight="1">
      <c r="B13" s="179"/>
      <c r="E13" s="180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</row>
    <row r="14" spans="2:17" ht="13.5" customHeight="1" thickBot="1">
      <c r="B14" s="182" t="s">
        <v>105</v>
      </c>
      <c r="E14" s="180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</row>
    <row r="15" spans="2:17" ht="13.5" customHeight="1" thickBot="1">
      <c r="B15" s="81" t="s">
        <v>106</v>
      </c>
      <c r="C15" s="164" t="s">
        <v>101</v>
      </c>
      <c r="D15" s="183"/>
      <c r="E15" s="183"/>
      <c r="F15" s="184" t="s">
        <v>12</v>
      </c>
      <c r="G15" s="185" t="s">
        <v>12</v>
      </c>
      <c r="H15" s="185" t="s">
        <v>12</v>
      </c>
      <c r="I15" s="185" t="s">
        <v>12</v>
      </c>
      <c r="J15" s="185" t="s">
        <v>12</v>
      </c>
      <c r="K15" s="185" t="s">
        <v>12</v>
      </c>
      <c r="L15" s="185" t="s">
        <v>12</v>
      </c>
      <c r="M15" s="185" t="s">
        <v>12</v>
      </c>
      <c r="N15" s="185" t="s">
        <v>12</v>
      </c>
      <c r="O15" s="185" t="s">
        <v>12</v>
      </c>
      <c r="P15" s="185" t="s">
        <v>12</v>
      </c>
      <c r="Q15" s="186" t="s">
        <v>12</v>
      </c>
    </row>
    <row r="16" spans="2:17" ht="13.5" customHeight="1" thickBot="1">
      <c r="B16" s="187" t="s">
        <v>107</v>
      </c>
      <c r="C16" s="188"/>
      <c r="D16" s="189"/>
      <c r="E16" s="189"/>
      <c r="F16" s="190">
        <f t="shared" ref="F16:Q16" si="8">SUM(F17:F21)</f>
        <v>200</v>
      </c>
      <c r="G16" s="191">
        <f t="shared" si="8"/>
        <v>300</v>
      </c>
      <c r="H16" s="191">
        <f t="shared" si="8"/>
        <v>200</v>
      </c>
      <c r="I16" s="191">
        <f t="shared" si="8"/>
        <v>300</v>
      </c>
      <c r="J16" s="191">
        <f t="shared" si="8"/>
        <v>600</v>
      </c>
      <c r="K16" s="191">
        <f t="shared" si="8"/>
        <v>300</v>
      </c>
      <c r="L16" s="191">
        <f t="shared" si="8"/>
        <v>900</v>
      </c>
      <c r="M16" s="191">
        <f t="shared" si="8"/>
        <v>300</v>
      </c>
      <c r="N16" s="191">
        <f t="shared" si="8"/>
        <v>200</v>
      </c>
      <c r="O16" s="191">
        <f t="shared" si="8"/>
        <v>900</v>
      </c>
      <c r="P16" s="191">
        <f t="shared" si="8"/>
        <v>200</v>
      </c>
      <c r="Q16" s="192">
        <f t="shared" si="8"/>
        <v>300</v>
      </c>
    </row>
    <row r="17" spans="2:17" ht="12.75" customHeight="1">
      <c r="B17" s="193" t="s">
        <v>108</v>
      </c>
      <c r="C17" s="194" t="s">
        <v>12</v>
      </c>
      <c r="D17" s="195"/>
      <c r="E17" s="102"/>
      <c r="F17" s="196">
        <v>200</v>
      </c>
      <c r="G17" s="196">
        <v>200</v>
      </c>
      <c r="H17" s="196">
        <v>200</v>
      </c>
      <c r="I17" s="196">
        <v>200</v>
      </c>
      <c r="J17" s="196">
        <v>200</v>
      </c>
      <c r="K17" s="196">
        <v>200</v>
      </c>
      <c r="L17" s="196">
        <v>200</v>
      </c>
      <c r="M17" s="196">
        <v>200</v>
      </c>
      <c r="N17" s="196">
        <v>200</v>
      </c>
      <c r="O17" s="196">
        <v>200</v>
      </c>
      <c r="P17" s="196">
        <v>200</v>
      </c>
      <c r="Q17" s="197">
        <v>200</v>
      </c>
    </row>
    <row r="18" spans="2:17" ht="12.75" customHeight="1">
      <c r="B18" s="193" t="s">
        <v>109</v>
      </c>
      <c r="C18" s="194" t="s">
        <v>12</v>
      </c>
      <c r="D18" s="198"/>
      <c r="E18" s="102"/>
      <c r="F18" s="199">
        <v>0</v>
      </c>
      <c r="G18" s="200">
        <v>0</v>
      </c>
      <c r="H18" s="200">
        <v>0</v>
      </c>
      <c r="I18" s="200">
        <v>0</v>
      </c>
      <c r="J18" s="196">
        <v>200</v>
      </c>
      <c r="K18" s="200">
        <v>0</v>
      </c>
      <c r="L18" s="200">
        <v>400</v>
      </c>
      <c r="M18" s="200">
        <v>0</v>
      </c>
      <c r="N18" s="200">
        <v>0</v>
      </c>
      <c r="O18" s="200">
        <v>400</v>
      </c>
      <c r="P18" s="200">
        <v>0</v>
      </c>
      <c r="Q18" s="201">
        <v>0</v>
      </c>
    </row>
    <row r="19" spans="2:17" ht="12.75" customHeight="1">
      <c r="B19" s="193" t="s">
        <v>110</v>
      </c>
      <c r="C19" s="194" t="s">
        <v>12</v>
      </c>
      <c r="D19" s="198"/>
      <c r="E19" s="102"/>
      <c r="F19" s="199">
        <v>0</v>
      </c>
      <c r="G19" s="200">
        <v>100</v>
      </c>
      <c r="H19" s="200">
        <v>0</v>
      </c>
      <c r="I19" s="200">
        <v>100</v>
      </c>
      <c r="J19" s="200">
        <v>0</v>
      </c>
      <c r="K19" s="200">
        <v>100</v>
      </c>
      <c r="L19" s="200">
        <v>0</v>
      </c>
      <c r="M19" s="200">
        <v>100</v>
      </c>
      <c r="N19" s="200">
        <v>0</v>
      </c>
      <c r="O19" s="200">
        <v>0</v>
      </c>
      <c r="P19" s="200">
        <v>0</v>
      </c>
      <c r="Q19" s="201">
        <v>100</v>
      </c>
    </row>
    <row r="20" spans="2:17" ht="12.75" customHeight="1">
      <c r="B20" s="193" t="s">
        <v>111</v>
      </c>
      <c r="C20" s="194" t="s">
        <v>12</v>
      </c>
      <c r="D20" s="198"/>
      <c r="E20" s="102"/>
      <c r="F20" s="199">
        <v>0</v>
      </c>
      <c r="G20" s="200">
        <v>0</v>
      </c>
      <c r="H20" s="200">
        <v>0</v>
      </c>
      <c r="I20" s="200">
        <v>0</v>
      </c>
      <c r="J20" s="200">
        <v>100</v>
      </c>
      <c r="K20" s="200">
        <v>0</v>
      </c>
      <c r="L20" s="200">
        <v>200</v>
      </c>
      <c r="M20" s="200">
        <v>0</v>
      </c>
      <c r="N20" s="200">
        <v>0</v>
      </c>
      <c r="O20" s="200">
        <v>200</v>
      </c>
      <c r="P20" s="200">
        <v>0</v>
      </c>
      <c r="Q20" s="201">
        <v>0</v>
      </c>
    </row>
    <row r="21" spans="2:17" ht="13.5" customHeight="1" thickBot="1">
      <c r="B21" s="202" t="s">
        <v>112</v>
      </c>
      <c r="C21" s="203" t="s">
        <v>12</v>
      </c>
      <c r="D21" s="204"/>
      <c r="E21" s="170"/>
      <c r="F21" s="205">
        <v>0</v>
      </c>
      <c r="G21" s="205">
        <v>0</v>
      </c>
      <c r="H21" s="205">
        <v>0</v>
      </c>
      <c r="I21" s="205">
        <v>0</v>
      </c>
      <c r="J21" s="205">
        <v>100</v>
      </c>
      <c r="K21" s="205">
        <v>0</v>
      </c>
      <c r="L21" s="205">
        <v>100</v>
      </c>
      <c r="M21" s="205">
        <v>0</v>
      </c>
      <c r="N21" s="205">
        <v>0</v>
      </c>
      <c r="O21" s="205">
        <v>100</v>
      </c>
      <c r="P21" s="205">
        <v>0</v>
      </c>
      <c r="Q21" s="206">
        <v>0</v>
      </c>
    </row>
    <row r="22" spans="2:17" ht="12.75" customHeight="1">
      <c r="B22" s="179"/>
      <c r="E22" s="180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</row>
    <row r="23" spans="2:17" ht="13.5" customHeight="1" thickBot="1">
      <c r="B23" s="182" t="s">
        <v>113</v>
      </c>
      <c r="D23" s="207">
        <f>ТО!F10</f>
        <v>35</v>
      </c>
      <c r="E23" s="180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</row>
    <row r="24" spans="2:17" ht="26.25" customHeight="1" thickBot="1">
      <c r="B24" s="81" t="s">
        <v>106</v>
      </c>
      <c r="C24" s="164" t="s">
        <v>101</v>
      </c>
      <c r="D24" s="208" t="s">
        <v>114</v>
      </c>
      <c r="E24" s="208"/>
      <c r="F24" s="209" t="s">
        <v>115</v>
      </c>
      <c r="G24" s="209" t="s">
        <v>115</v>
      </c>
      <c r="H24" s="209" t="s">
        <v>115</v>
      </c>
      <c r="I24" s="209" t="s">
        <v>115</v>
      </c>
      <c r="J24" s="209" t="s">
        <v>115</v>
      </c>
      <c r="K24" s="209" t="s">
        <v>115</v>
      </c>
      <c r="L24" s="209" t="s">
        <v>115</v>
      </c>
      <c r="M24" s="209" t="s">
        <v>115</v>
      </c>
      <c r="N24" s="209" t="s">
        <v>115</v>
      </c>
      <c r="O24" s="209" t="s">
        <v>115</v>
      </c>
      <c r="P24" s="209" t="s">
        <v>115</v>
      </c>
      <c r="Q24" s="210" t="s">
        <v>115</v>
      </c>
    </row>
    <row r="25" spans="2:17" ht="12.75" customHeight="1">
      <c r="B25" s="211" t="str">
        <f>B17</f>
        <v>ремонт-1</v>
      </c>
      <c r="C25" s="194" t="s">
        <v>115</v>
      </c>
      <c r="D25" s="149">
        <f>$D$23</f>
        <v>35</v>
      </c>
      <c r="E25" s="102"/>
      <c r="F25" s="212">
        <v>400</v>
      </c>
      <c r="G25" s="212">
        <v>400</v>
      </c>
      <c r="H25" s="212">
        <v>400</v>
      </c>
      <c r="I25" s="212">
        <v>400</v>
      </c>
      <c r="J25" s="212">
        <v>400</v>
      </c>
      <c r="K25" s="212">
        <v>400</v>
      </c>
      <c r="L25" s="212">
        <v>400</v>
      </c>
      <c r="M25" s="212">
        <v>400</v>
      </c>
      <c r="N25" s="212">
        <v>400</v>
      </c>
      <c r="O25" s="212">
        <v>400</v>
      </c>
      <c r="P25" s="212">
        <v>400</v>
      </c>
      <c r="Q25" s="213">
        <v>400</v>
      </c>
    </row>
    <row r="26" spans="2:17" ht="12.75" customHeight="1">
      <c r="B26" s="211" t="str">
        <f>B18</f>
        <v>ремонт-2</v>
      </c>
      <c r="C26" s="194" t="s">
        <v>115</v>
      </c>
      <c r="D26" s="149">
        <f>$D$23</f>
        <v>35</v>
      </c>
      <c r="E26" s="102"/>
      <c r="F26" s="212">
        <v>0</v>
      </c>
      <c r="G26" s="212">
        <v>0</v>
      </c>
      <c r="H26" s="212">
        <v>0</v>
      </c>
      <c r="I26" s="212">
        <v>0</v>
      </c>
      <c r="J26" s="212">
        <v>600</v>
      </c>
      <c r="K26" s="212">
        <v>0</v>
      </c>
      <c r="L26" s="212">
        <v>800</v>
      </c>
      <c r="M26" s="212">
        <v>0</v>
      </c>
      <c r="N26" s="212">
        <v>0</v>
      </c>
      <c r="O26" s="212">
        <v>800</v>
      </c>
      <c r="P26" s="212">
        <v>0</v>
      </c>
      <c r="Q26" s="213">
        <v>0</v>
      </c>
    </row>
    <row r="27" spans="2:17" ht="12.75" customHeight="1">
      <c r="B27" s="211" t="str">
        <f>B19</f>
        <v>ремонт-3</v>
      </c>
      <c r="C27" s="194" t="s">
        <v>115</v>
      </c>
      <c r="D27" s="149">
        <f>$D$23</f>
        <v>35</v>
      </c>
      <c r="E27" s="102"/>
      <c r="F27" s="212">
        <v>0</v>
      </c>
      <c r="G27" s="212">
        <v>200</v>
      </c>
      <c r="H27" s="212">
        <v>0</v>
      </c>
      <c r="I27" s="212">
        <v>200</v>
      </c>
      <c r="J27" s="212">
        <v>0</v>
      </c>
      <c r="K27" s="212">
        <v>200</v>
      </c>
      <c r="L27" s="212">
        <v>0</v>
      </c>
      <c r="M27" s="212">
        <v>200</v>
      </c>
      <c r="N27" s="212">
        <v>0</v>
      </c>
      <c r="O27" s="212">
        <v>0</v>
      </c>
      <c r="P27" s="212">
        <v>0</v>
      </c>
      <c r="Q27" s="213">
        <v>200</v>
      </c>
    </row>
    <row r="28" spans="2:17" ht="12.75" customHeight="1">
      <c r="B28" s="211" t="str">
        <f>B20</f>
        <v>ремонт-4</v>
      </c>
      <c r="C28" s="194" t="s">
        <v>115</v>
      </c>
      <c r="D28" s="149">
        <f>$D$23</f>
        <v>35</v>
      </c>
      <c r="E28" s="102"/>
      <c r="F28" s="212">
        <v>0</v>
      </c>
      <c r="G28" s="212">
        <v>0</v>
      </c>
      <c r="H28" s="212">
        <v>0</v>
      </c>
      <c r="I28" s="212">
        <v>0</v>
      </c>
      <c r="J28" s="212">
        <v>400</v>
      </c>
      <c r="K28" s="212">
        <v>0</v>
      </c>
      <c r="L28" s="212">
        <v>400</v>
      </c>
      <c r="M28" s="212">
        <v>0</v>
      </c>
      <c r="N28" s="212">
        <v>0</v>
      </c>
      <c r="O28" s="212">
        <v>400</v>
      </c>
      <c r="P28" s="212">
        <v>0</v>
      </c>
      <c r="Q28" s="213">
        <v>0</v>
      </c>
    </row>
    <row r="29" spans="2:17" ht="13.5" customHeight="1" thickBot="1">
      <c r="B29" s="214" t="str">
        <f>B21</f>
        <v>ремонт-5</v>
      </c>
      <c r="C29" s="203" t="s">
        <v>115</v>
      </c>
      <c r="D29" s="204">
        <f>$D$23</f>
        <v>35</v>
      </c>
      <c r="E29" s="170"/>
      <c r="F29" s="215">
        <v>0</v>
      </c>
      <c r="G29" s="215">
        <v>0</v>
      </c>
      <c r="H29" s="215">
        <v>0</v>
      </c>
      <c r="I29" s="215">
        <v>0</v>
      </c>
      <c r="J29" s="215">
        <v>200</v>
      </c>
      <c r="K29" s="215">
        <v>0</v>
      </c>
      <c r="L29" s="215">
        <v>200</v>
      </c>
      <c r="M29" s="215">
        <v>0</v>
      </c>
      <c r="N29" s="215">
        <v>0</v>
      </c>
      <c r="O29" s="215">
        <v>200</v>
      </c>
      <c r="P29" s="215">
        <v>0</v>
      </c>
      <c r="Q29" s="216">
        <v>0</v>
      </c>
    </row>
    <row r="30" spans="2:17" ht="12.75" customHeight="1">
      <c r="B30" s="179"/>
      <c r="E30" s="180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</row>
    <row r="31" spans="2:17" ht="13.5" customHeight="1">
      <c r="B31" s="182" t="s">
        <v>116</v>
      </c>
      <c r="F31" s="181"/>
    </row>
    <row r="32" spans="2:17" ht="39" customHeight="1">
      <c r="B32" s="217" t="s">
        <v>117</v>
      </c>
      <c r="C32" s="218" t="s">
        <v>118</v>
      </c>
      <c r="D32" s="120" t="s">
        <v>119</v>
      </c>
      <c r="E32" s="120" t="s">
        <v>120</v>
      </c>
      <c r="F32" s="219" t="s">
        <v>90</v>
      </c>
      <c r="G32" s="219" t="s">
        <v>90</v>
      </c>
      <c r="H32" s="219" t="s">
        <v>90</v>
      </c>
      <c r="I32" s="219" t="s">
        <v>90</v>
      </c>
      <c r="J32" s="219" t="s">
        <v>90</v>
      </c>
      <c r="K32" s="219" t="s">
        <v>90</v>
      </c>
      <c r="L32" s="219" t="s">
        <v>90</v>
      </c>
      <c r="M32" s="219" t="s">
        <v>90</v>
      </c>
      <c r="N32" s="219" t="s">
        <v>90</v>
      </c>
      <c r="O32" s="219" t="s">
        <v>90</v>
      </c>
      <c r="P32" s="219" t="s">
        <v>90</v>
      </c>
      <c r="Q32" s="219" t="s">
        <v>90</v>
      </c>
    </row>
    <row r="33" spans="2:17" ht="28.5" customHeight="1">
      <c r="B33" s="220" t="s">
        <v>121</v>
      </c>
      <c r="C33" s="221"/>
      <c r="D33" s="85"/>
      <c r="E33" s="85"/>
      <c r="F33" s="191">
        <f t="shared" ref="F33:Q33" si="9">SUM(F34:F38)</f>
        <v>8500</v>
      </c>
      <c r="G33" s="191">
        <f t="shared" si="9"/>
        <v>8500</v>
      </c>
      <c r="H33" s="191">
        <f t="shared" si="9"/>
        <v>8500</v>
      </c>
      <c r="I33" s="191">
        <f t="shared" si="9"/>
        <v>8500</v>
      </c>
      <c r="J33" s="191">
        <f t="shared" si="9"/>
        <v>8500</v>
      </c>
      <c r="K33" s="191">
        <f t="shared" si="9"/>
        <v>8500</v>
      </c>
      <c r="L33" s="191">
        <f t="shared" si="9"/>
        <v>8500</v>
      </c>
      <c r="M33" s="191">
        <f t="shared" si="9"/>
        <v>8500</v>
      </c>
      <c r="N33" s="191">
        <f t="shared" si="9"/>
        <v>8500</v>
      </c>
      <c r="O33" s="191">
        <f t="shared" si="9"/>
        <v>8500</v>
      </c>
      <c r="P33" s="191">
        <f t="shared" si="9"/>
        <v>8500</v>
      </c>
      <c r="Q33" s="191">
        <f t="shared" si="9"/>
        <v>8500</v>
      </c>
    </row>
    <row r="34" spans="2:17" ht="12.75" customHeight="1">
      <c r="B34" s="222" t="s">
        <v>122</v>
      </c>
      <c r="C34" s="223">
        <v>500</v>
      </c>
      <c r="D34" s="224">
        <v>500</v>
      </c>
      <c r="E34" s="225">
        <v>5</v>
      </c>
      <c r="F34" s="91">
        <f t="shared" ref="F34:Q38" si="10">$E34*$C34</f>
        <v>2500</v>
      </c>
      <c r="G34" s="91">
        <f t="shared" si="10"/>
        <v>2500</v>
      </c>
      <c r="H34" s="91">
        <f t="shared" si="10"/>
        <v>2500</v>
      </c>
      <c r="I34" s="91">
        <f t="shared" si="10"/>
        <v>2500</v>
      </c>
      <c r="J34" s="91">
        <f t="shared" si="10"/>
        <v>2500</v>
      </c>
      <c r="K34" s="91">
        <f t="shared" si="10"/>
        <v>2500</v>
      </c>
      <c r="L34" s="91">
        <f t="shared" si="10"/>
        <v>2500</v>
      </c>
      <c r="M34" s="91">
        <f t="shared" si="10"/>
        <v>2500</v>
      </c>
      <c r="N34" s="91">
        <f t="shared" si="10"/>
        <v>2500</v>
      </c>
      <c r="O34" s="91">
        <f t="shared" si="10"/>
        <v>2500</v>
      </c>
      <c r="P34" s="91">
        <f t="shared" si="10"/>
        <v>2500</v>
      </c>
      <c r="Q34" s="91">
        <f t="shared" si="10"/>
        <v>2500</v>
      </c>
    </row>
    <row r="35" spans="2:17" ht="25.5" customHeight="1">
      <c r="B35" s="226" t="s">
        <v>123</v>
      </c>
      <c r="C35" s="227">
        <v>500</v>
      </c>
      <c r="D35" s="228">
        <v>1000</v>
      </c>
      <c r="E35" s="25">
        <v>4</v>
      </c>
      <c r="F35" s="97">
        <f t="shared" si="10"/>
        <v>2000</v>
      </c>
      <c r="G35" s="97">
        <f t="shared" si="10"/>
        <v>2000</v>
      </c>
      <c r="H35" s="97">
        <f t="shared" si="10"/>
        <v>2000</v>
      </c>
      <c r="I35" s="97">
        <f t="shared" si="10"/>
        <v>2000</v>
      </c>
      <c r="J35" s="97">
        <f t="shared" si="10"/>
        <v>2000</v>
      </c>
      <c r="K35" s="97">
        <f t="shared" si="10"/>
        <v>2000</v>
      </c>
      <c r="L35" s="97">
        <f t="shared" si="10"/>
        <v>2000</v>
      </c>
      <c r="M35" s="97">
        <f t="shared" si="10"/>
        <v>2000</v>
      </c>
      <c r="N35" s="97">
        <f t="shared" si="10"/>
        <v>2000</v>
      </c>
      <c r="O35" s="97">
        <f t="shared" si="10"/>
        <v>2000</v>
      </c>
      <c r="P35" s="97">
        <f t="shared" si="10"/>
        <v>2000</v>
      </c>
      <c r="Q35" s="97">
        <f t="shared" si="10"/>
        <v>2000</v>
      </c>
    </row>
    <row r="36" spans="2:17" ht="12.75" customHeight="1">
      <c r="B36" s="147" t="s">
        <v>124</v>
      </c>
      <c r="C36" s="227">
        <v>500</v>
      </c>
      <c r="D36" s="228">
        <v>2000</v>
      </c>
      <c r="E36" s="25">
        <v>3</v>
      </c>
      <c r="F36" s="97">
        <f t="shared" si="10"/>
        <v>1500</v>
      </c>
      <c r="G36" s="97">
        <f t="shared" si="10"/>
        <v>1500</v>
      </c>
      <c r="H36" s="97">
        <f t="shared" si="10"/>
        <v>1500</v>
      </c>
      <c r="I36" s="97">
        <f t="shared" si="10"/>
        <v>1500</v>
      </c>
      <c r="J36" s="97">
        <f t="shared" si="10"/>
        <v>1500</v>
      </c>
      <c r="K36" s="97">
        <f t="shared" si="10"/>
        <v>1500</v>
      </c>
      <c r="L36" s="97">
        <f t="shared" si="10"/>
        <v>1500</v>
      </c>
      <c r="M36" s="97">
        <f t="shared" si="10"/>
        <v>1500</v>
      </c>
      <c r="N36" s="97">
        <f t="shared" si="10"/>
        <v>1500</v>
      </c>
      <c r="O36" s="97">
        <f t="shared" si="10"/>
        <v>1500</v>
      </c>
      <c r="P36" s="97">
        <f t="shared" si="10"/>
        <v>1500</v>
      </c>
      <c r="Q36" s="97">
        <f t="shared" si="10"/>
        <v>1500</v>
      </c>
    </row>
    <row r="37" spans="2:17" ht="12.75" customHeight="1">
      <c r="B37" s="147" t="s">
        <v>125</v>
      </c>
      <c r="C37" s="227">
        <v>500</v>
      </c>
      <c r="D37" s="228">
        <v>4000</v>
      </c>
      <c r="E37" s="25">
        <v>3</v>
      </c>
      <c r="F37" s="97">
        <f t="shared" si="10"/>
        <v>1500</v>
      </c>
      <c r="G37" s="97">
        <f t="shared" si="10"/>
        <v>1500</v>
      </c>
      <c r="H37" s="97">
        <f t="shared" si="10"/>
        <v>1500</v>
      </c>
      <c r="I37" s="97">
        <f t="shared" si="10"/>
        <v>1500</v>
      </c>
      <c r="J37" s="97">
        <f t="shared" si="10"/>
        <v>1500</v>
      </c>
      <c r="K37" s="97">
        <f t="shared" si="10"/>
        <v>1500</v>
      </c>
      <c r="L37" s="97">
        <f t="shared" si="10"/>
        <v>1500</v>
      </c>
      <c r="M37" s="97">
        <f t="shared" si="10"/>
        <v>1500</v>
      </c>
      <c r="N37" s="97">
        <f t="shared" si="10"/>
        <v>1500</v>
      </c>
      <c r="O37" s="97">
        <f t="shared" si="10"/>
        <v>1500</v>
      </c>
      <c r="P37" s="97">
        <f t="shared" si="10"/>
        <v>1500</v>
      </c>
      <c r="Q37" s="97">
        <f t="shared" si="10"/>
        <v>1500</v>
      </c>
    </row>
    <row r="38" spans="2:17" ht="13.5" customHeight="1">
      <c r="B38" s="229" t="s">
        <v>126</v>
      </c>
      <c r="C38" s="230">
        <v>500</v>
      </c>
      <c r="D38" s="231">
        <v>6000</v>
      </c>
      <c r="E38" s="232">
        <v>2</v>
      </c>
      <c r="F38" s="233">
        <f t="shared" si="10"/>
        <v>1000</v>
      </c>
      <c r="G38" s="233">
        <f t="shared" si="10"/>
        <v>1000</v>
      </c>
      <c r="H38" s="233">
        <f t="shared" si="10"/>
        <v>1000</v>
      </c>
      <c r="I38" s="233">
        <f t="shared" si="10"/>
        <v>1000</v>
      </c>
      <c r="J38" s="233">
        <f t="shared" si="10"/>
        <v>1000</v>
      </c>
      <c r="K38" s="233">
        <f t="shared" si="10"/>
        <v>1000</v>
      </c>
      <c r="L38" s="233">
        <f t="shared" si="10"/>
        <v>1000</v>
      </c>
      <c r="M38" s="233">
        <f t="shared" si="10"/>
        <v>1000</v>
      </c>
      <c r="N38" s="233">
        <f t="shared" si="10"/>
        <v>1000</v>
      </c>
      <c r="O38" s="233">
        <f t="shared" si="10"/>
        <v>1000</v>
      </c>
      <c r="P38" s="233">
        <f t="shared" si="10"/>
        <v>1000</v>
      </c>
      <c r="Q38" s="233">
        <f t="shared" si="10"/>
        <v>1000</v>
      </c>
    </row>
    <row r="39" spans="2:17" ht="36" customHeight="1">
      <c r="B39" s="220" t="s">
        <v>49</v>
      </c>
      <c r="C39" s="221"/>
      <c r="D39" s="85"/>
      <c r="E39" s="85"/>
      <c r="F39" s="191">
        <f t="shared" ref="F39:Q39" si="11">SUM(F40:F77)</f>
        <v>76200</v>
      </c>
      <c r="G39" s="191">
        <f t="shared" si="11"/>
        <v>217800</v>
      </c>
      <c r="H39" s="191">
        <f t="shared" si="11"/>
        <v>316800</v>
      </c>
      <c r="I39" s="191">
        <f t="shared" si="11"/>
        <v>242800</v>
      </c>
      <c r="J39" s="191">
        <f t="shared" si="11"/>
        <v>145700</v>
      </c>
      <c r="K39" s="191">
        <f t="shared" si="11"/>
        <v>349300</v>
      </c>
      <c r="L39" s="191">
        <f t="shared" si="11"/>
        <v>182300</v>
      </c>
      <c r="M39" s="191">
        <f t="shared" si="11"/>
        <v>297300</v>
      </c>
      <c r="N39" s="191">
        <f t="shared" si="11"/>
        <v>270700</v>
      </c>
      <c r="O39" s="191">
        <f t="shared" si="11"/>
        <v>244800</v>
      </c>
      <c r="P39" s="191">
        <f t="shared" si="11"/>
        <v>209800</v>
      </c>
      <c r="Q39" s="191">
        <f t="shared" si="11"/>
        <v>274800</v>
      </c>
    </row>
    <row r="40" spans="2:17" ht="12.75" customHeight="1">
      <c r="B40" s="244" t="s">
        <v>127</v>
      </c>
      <c r="C40" s="234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</row>
    <row r="41" spans="2:17" ht="12.75" customHeight="1">
      <c r="B41" s="243" t="s">
        <v>128</v>
      </c>
      <c r="C41" s="227">
        <v>2500</v>
      </c>
      <c r="D41" s="235">
        <v>6000</v>
      </c>
      <c r="E41" s="129">
        <v>1</v>
      </c>
      <c r="F41" s="212">
        <f t="shared" ref="F41:Q41" si="12">$C41*$E41</f>
        <v>2500</v>
      </c>
      <c r="G41" s="212">
        <f t="shared" si="12"/>
        <v>2500</v>
      </c>
      <c r="H41" s="212">
        <f t="shared" si="12"/>
        <v>2500</v>
      </c>
      <c r="I41" s="212">
        <f t="shared" si="12"/>
        <v>2500</v>
      </c>
      <c r="J41" s="212">
        <f t="shared" si="12"/>
        <v>2500</v>
      </c>
      <c r="K41" s="212">
        <f t="shared" si="12"/>
        <v>2500</v>
      </c>
      <c r="L41" s="212">
        <f t="shared" si="12"/>
        <v>2500</v>
      </c>
      <c r="M41" s="212">
        <f t="shared" si="12"/>
        <v>2500</v>
      </c>
      <c r="N41" s="212">
        <f t="shared" si="12"/>
        <v>2500</v>
      </c>
      <c r="O41" s="212">
        <f t="shared" si="12"/>
        <v>2500</v>
      </c>
      <c r="P41" s="212">
        <f t="shared" si="12"/>
        <v>2500</v>
      </c>
      <c r="Q41" s="212">
        <f t="shared" si="12"/>
        <v>2500</v>
      </c>
    </row>
    <row r="42" spans="2:17" ht="12.75" customHeight="1">
      <c r="B42" s="243" t="s">
        <v>129</v>
      </c>
      <c r="C42" s="227">
        <v>5000</v>
      </c>
      <c r="D42" s="235">
        <v>12000</v>
      </c>
      <c r="E42" s="129">
        <v>1</v>
      </c>
      <c r="F42" s="212">
        <v>0</v>
      </c>
      <c r="G42" s="212">
        <f>$C42*$E42</f>
        <v>5000</v>
      </c>
      <c r="H42" s="212">
        <v>0</v>
      </c>
      <c r="I42" s="212">
        <f>$C42*$E42</f>
        <v>5000</v>
      </c>
      <c r="J42" s="212">
        <v>0</v>
      </c>
      <c r="K42" s="212">
        <f>$C42*$E42</f>
        <v>5000</v>
      </c>
      <c r="L42" s="212">
        <v>0</v>
      </c>
      <c r="M42" s="212">
        <f>$C42*$E42</f>
        <v>5000</v>
      </c>
      <c r="N42" s="212">
        <v>0</v>
      </c>
      <c r="O42" s="212">
        <f>$C42*$E42</f>
        <v>5000</v>
      </c>
      <c r="P42" s="212">
        <v>0</v>
      </c>
      <c r="Q42" s="212">
        <f>$C42*$E42</f>
        <v>5000</v>
      </c>
    </row>
    <row r="43" spans="2:17" ht="12.75" customHeight="1">
      <c r="B43" s="243" t="s">
        <v>130</v>
      </c>
      <c r="C43" s="227">
        <v>12000</v>
      </c>
      <c r="D43" s="235">
        <v>10000</v>
      </c>
      <c r="E43" s="129">
        <v>1</v>
      </c>
      <c r="F43" s="212">
        <v>0</v>
      </c>
      <c r="G43" s="212">
        <f>$C43*$E43</f>
        <v>12000</v>
      </c>
      <c r="H43" s="212">
        <v>0</v>
      </c>
      <c r="I43" s="212">
        <f>$C43*$E43</f>
        <v>12000</v>
      </c>
      <c r="J43" s="212">
        <f>$C43*$E43</f>
        <v>12000</v>
      </c>
      <c r="K43" s="212">
        <v>0</v>
      </c>
      <c r="L43" s="212">
        <f>$C43*$E43</f>
        <v>12000</v>
      </c>
      <c r="M43" s="212">
        <v>0</v>
      </c>
      <c r="N43" s="212">
        <f>$C43*$E43</f>
        <v>12000</v>
      </c>
      <c r="O43" s="212">
        <f>$C43*$E43</f>
        <v>12000</v>
      </c>
      <c r="P43" s="212">
        <v>0</v>
      </c>
      <c r="Q43" s="212">
        <f>$C43*$E43</f>
        <v>12000</v>
      </c>
    </row>
    <row r="44" spans="2:17" ht="12.75" customHeight="1">
      <c r="B44" s="243" t="s">
        <v>131</v>
      </c>
      <c r="C44" s="227">
        <v>7500</v>
      </c>
      <c r="D44" s="235">
        <v>12000</v>
      </c>
      <c r="E44" s="129">
        <v>1</v>
      </c>
      <c r="F44" s="212">
        <v>0</v>
      </c>
      <c r="G44" s="212">
        <f>$C44*$E44</f>
        <v>7500</v>
      </c>
      <c r="H44" s="212">
        <v>0</v>
      </c>
      <c r="I44" s="212">
        <f>$C44*$E44</f>
        <v>7500</v>
      </c>
      <c r="J44" s="212">
        <v>0</v>
      </c>
      <c r="K44" s="212">
        <f>$C44*$E44</f>
        <v>7500</v>
      </c>
      <c r="L44" s="212">
        <v>0</v>
      </c>
      <c r="M44" s="212">
        <f>$C44*$E44</f>
        <v>7500</v>
      </c>
      <c r="N44" s="212">
        <v>0</v>
      </c>
      <c r="O44" s="212">
        <f>$C44*$E44</f>
        <v>7500</v>
      </c>
      <c r="P44" s="212">
        <v>0</v>
      </c>
      <c r="Q44" s="212">
        <f>$C44*$E44</f>
        <v>7500</v>
      </c>
    </row>
    <row r="45" spans="2:17" ht="12.75" customHeight="1">
      <c r="B45" s="243" t="s">
        <v>173</v>
      </c>
      <c r="C45" s="227">
        <v>48000</v>
      </c>
      <c r="D45" s="235">
        <v>18000</v>
      </c>
      <c r="E45" s="129">
        <v>1</v>
      </c>
      <c r="F45" s="212">
        <v>0</v>
      </c>
      <c r="G45" s="212">
        <v>0</v>
      </c>
      <c r="H45" s="212">
        <f>$C45*$E45</f>
        <v>48000</v>
      </c>
      <c r="I45" s="212">
        <v>0</v>
      </c>
      <c r="J45" s="212">
        <v>0</v>
      </c>
      <c r="K45" s="212">
        <f>C45*1.5</f>
        <v>72000</v>
      </c>
      <c r="L45" s="212">
        <v>0</v>
      </c>
      <c r="M45" s="212">
        <v>0</v>
      </c>
      <c r="N45" s="212">
        <v>0</v>
      </c>
      <c r="O45" s="212">
        <v>0</v>
      </c>
      <c r="P45" s="212">
        <v>0</v>
      </c>
      <c r="Q45" s="212">
        <v>0</v>
      </c>
    </row>
    <row r="46" spans="2:17" ht="12.75" customHeight="1">
      <c r="B46" s="243" t="s">
        <v>132</v>
      </c>
      <c r="C46" s="227">
        <v>120000</v>
      </c>
      <c r="D46" s="235">
        <v>54000</v>
      </c>
      <c r="E46" s="129">
        <v>1</v>
      </c>
      <c r="F46" s="212">
        <v>0</v>
      </c>
      <c r="G46" s="212">
        <v>0</v>
      </c>
      <c r="H46" s="212">
        <v>0</v>
      </c>
      <c r="I46" s="212">
        <v>0</v>
      </c>
      <c r="J46" s="212">
        <v>0</v>
      </c>
      <c r="K46" s="212">
        <v>0</v>
      </c>
      <c r="L46" s="212">
        <v>0</v>
      </c>
      <c r="M46" s="212">
        <v>0</v>
      </c>
      <c r="N46" s="212">
        <f>$C46*$E46</f>
        <v>120000</v>
      </c>
      <c r="O46" s="212">
        <v>0</v>
      </c>
      <c r="P46" s="212">
        <v>0</v>
      </c>
      <c r="Q46" s="212">
        <v>0</v>
      </c>
    </row>
    <row r="47" spans="2:17" ht="12.75" customHeight="1">
      <c r="B47" s="245" t="s">
        <v>133</v>
      </c>
      <c r="C47" s="157"/>
      <c r="D47" s="94"/>
      <c r="E47" s="166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</row>
    <row r="48" spans="2:17" ht="12.75" customHeight="1">
      <c r="B48" s="243" t="s">
        <v>134</v>
      </c>
      <c r="C48" s="227">
        <v>6000</v>
      </c>
      <c r="D48" s="235">
        <v>8000</v>
      </c>
      <c r="E48" s="129">
        <v>2</v>
      </c>
      <c r="F48" s="212">
        <v>0</v>
      </c>
      <c r="G48" s="212">
        <f>$C48*$E48</f>
        <v>12000</v>
      </c>
      <c r="H48" s="212">
        <f>$C48*$E48</f>
        <v>12000</v>
      </c>
      <c r="I48" s="212">
        <f>$C48*$E48</f>
        <v>12000</v>
      </c>
      <c r="J48" s="212">
        <v>0</v>
      </c>
      <c r="K48" s="212">
        <f>$C48*$E48</f>
        <v>12000</v>
      </c>
      <c r="L48" s="212">
        <f>$C48*$E48</f>
        <v>12000</v>
      </c>
      <c r="M48" s="212">
        <f>$C48*$E48</f>
        <v>12000</v>
      </c>
      <c r="N48" s="212">
        <v>0</v>
      </c>
      <c r="O48" s="212">
        <f>$C48*$E48</f>
        <v>12000</v>
      </c>
      <c r="P48" s="212">
        <f>$C48*$E48</f>
        <v>12000</v>
      </c>
      <c r="Q48" s="212">
        <f>$C48*$E48</f>
        <v>12000</v>
      </c>
    </row>
    <row r="49" spans="2:17" ht="12.75" customHeight="1">
      <c r="B49" s="243" t="s">
        <v>135</v>
      </c>
      <c r="C49" s="227">
        <v>15000</v>
      </c>
      <c r="D49" s="235">
        <v>16000</v>
      </c>
      <c r="E49" s="129">
        <v>2</v>
      </c>
      <c r="F49" s="212">
        <v>0</v>
      </c>
      <c r="G49" s="212">
        <v>0</v>
      </c>
      <c r="H49" s="212">
        <f>$C49*$E49</f>
        <v>30000</v>
      </c>
      <c r="I49" s="212">
        <v>0</v>
      </c>
      <c r="J49" s="212">
        <v>0</v>
      </c>
      <c r="K49" s="212">
        <f>$C49*$E49</f>
        <v>30000</v>
      </c>
      <c r="L49" s="212">
        <v>0</v>
      </c>
      <c r="M49" s="212">
        <f>$C49*$E49</f>
        <v>30000</v>
      </c>
      <c r="N49" s="212">
        <v>0</v>
      </c>
      <c r="O49" s="212">
        <v>0</v>
      </c>
      <c r="P49" s="212">
        <f>$C49*$E49</f>
        <v>30000</v>
      </c>
      <c r="Q49" s="212">
        <v>0</v>
      </c>
    </row>
    <row r="50" spans="2:17" ht="12.75" customHeight="1">
      <c r="B50" s="243" t="s">
        <v>136</v>
      </c>
      <c r="C50" s="227">
        <v>8000</v>
      </c>
      <c r="D50" s="235">
        <v>15000</v>
      </c>
      <c r="E50" s="129">
        <v>2</v>
      </c>
      <c r="F50" s="212">
        <v>0</v>
      </c>
      <c r="G50" s="212">
        <v>0</v>
      </c>
      <c r="H50" s="212">
        <f>$C50*$E50</f>
        <v>16000</v>
      </c>
      <c r="I50" s="212">
        <v>0</v>
      </c>
      <c r="J50" s="212">
        <f>$C50*$E50</f>
        <v>16000</v>
      </c>
      <c r="K50" s="212">
        <v>0</v>
      </c>
      <c r="L50" s="212">
        <v>0</v>
      </c>
      <c r="M50" s="212">
        <f>$C50*$E50</f>
        <v>16000</v>
      </c>
      <c r="N50" s="212">
        <v>0</v>
      </c>
      <c r="O50" s="212">
        <f>$C50*$E50</f>
        <v>16000</v>
      </c>
      <c r="P50" s="212">
        <v>0</v>
      </c>
      <c r="Q50" s="212">
        <v>0</v>
      </c>
    </row>
    <row r="51" spans="2:17" ht="12.75" customHeight="1">
      <c r="B51" s="243" t="s">
        <v>137</v>
      </c>
      <c r="C51" s="227">
        <v>32000</v>
      </c>
      <c r="D51" s="235">
        <v>5000</v>
      </c>
      <c r="E51" s="129">
        <v>2</v>
      </c>
      <c r="F51" s="212">
        <f>$C51*$E51</f>
        <v>64000</v>
      </c>
      <c r="G51" s="212">
        <f>$C51*$E51</f>
        <v>64000</v>
      </c>
      <c r="H51" s="212">
        <f>$C51*$E51</f>
        <v>64000</v>
      </c>
      <c r="I51" s="212">
        <f>$C51*$E51</f>
        <v>64000</v>
      </c>
      <c r="J51" s="212">
        <f>$C51*$E51</f>
        <v>64000</v>
      </c>
      <c r="K51" s="212">
        <f>$C51*$E51</f>
        <v>64000</v>
      </c>
      <c r="L51" s="212">
        <f>$C51*$E51</f>
        <v>64000</v>
      </c>
      <c r="M51" s="212">
        <f>$C51*$E51</f>
        <v>64000</v>
      </c>
      <c r="N51" s="212">
        <f>$C51*$E51</f>
        <v>64000</v>
      </c>
      <c r="O51" s="212">
        <f>$C51*$E51</f>
        <v>64000</v>
      </c>
      <c r="P51" s="212">
        <f>$C51*$E51</f>
        <v>64000</v>
      </c>
      <c r="Q51" s="212">
        <f>$C51*$E51</f>
        <v>64000</v>
      </c>
    </row>
    <row r="52" spans="2:17" ht="12.75" customHeight="1">
      <c r="B52" s="243" t="s">
        <v>138</v>
      </c>
      <c r="C52" s="227">
        <v>8000</v>
      </c>
      <c r="D52" s="235">
        <v>10000</v>
      </c>
      <c r="E52" s="129">
        <v>2</v>
      </c>
      <c r="F52" s="212">
        <v>0</v>
      </c>
      <c r="G52" s="212">
        <f>$C52*$E52</f>
        <v>16000</v>
      </c>
      <c r="H52" s="212">
        <v>0</v>
      </c>
      <c r="I52" s="212">
        <f>$C52*$E52</f>
        <v>16000</v>
      </c>
      <c r="J52" s="212">
        <f>$C52*$E52</f>
        <v>16000</v>
      </c>
      <c r="K52" s="212">
        <v>0</v>
      </c>
      <c r="L52" s="212">
        <f>$C52*$E52</f>
        <v>16000</v>
      </c>
      <c r="M52" s="212">
        <v>0</v>
      </c>
      <c r="N52" s="212">
        <f>$C52*$E52</f>
        <v>16000</v>
      </c>
      <c r="O52" s="212">
        <f>$C52*$E52</f>
        <v>16000</v>
      </c>
      <c r="P52" s="212">
        <v>0</v>
      </c>
      <c r="Q52" s="212">
        <f>$C52*$E52</f>
        <v>16000</v>
      </c>
    </row>
    <row r="53" spans="2:17" ht="12.75" customHeight="1">
      <c r="B53" s="243" t="s">
        <v>139</v>
      </c>
      <c r="C53" s="227">
        <v>35000</v>
      </c>
      <c r="D53" s="235">
        <v>8000</v>
      </c>
      <c r="E53" s="129">
        <v>1</v>
      </c>
      <c r="F53" s="212">
        <v>0</v>
      </c>
      <c r="G53" s="212">
        <f>$C53*$E53</f>
        <v>35000</v>
      </c>
      <c r="H53" s="212">
        <f>$C53*$E53</f>
        <v>35000</v>
      </c>
      <c r="I53" s="212">
        <f>$C53*$E53</f>
        <v>35000</v>
      </c>
      <c r="J53" s="212">
        <v>0</v>
      </c>
      <c r="K53" s="212">
        <f>$C53*$E53</f>
        <v>35000</v>
      </c>
      <c r="L53" s="212">
        <f>$C53*$E53</f>
        <v>35000</v>
      </c>
      <c r="M53" s="212">
        <f>$C53*$E53</f>
        <v>35000</v>
      </c>
      <c r="N53" s="212">
        <v>0</v>
      </c>
      <c r="O53" s="212">
        <f>$C53*$E53</f>
        <v>35000</v>
      </c>
      <c r="P53" s="212">
        <f>$C53*$E53</f>
        <v>35000</v>
      </c>
      <c r="Q53" s="212">
        <f>$C53*$E53</f>
        <v>35000</v>
      </c>
    </row>
    <row r="54" spans="2:17" ht="12.75" customHeight="1">
      <c r="B54" s="245" t="s">
        <v>140</v>
      </c>
      <c r="C54" s="157"/>
      <c r="D54" s="94"/>
      <c r="E54" s="166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</row>
    <row r="55" spans="2:17" ht="12.75" customHeight="1">
      <c r="B55" s="243" t="s">
        <v>141</v>
      </c>
      <c r="C55" s="227">
        <v>6000</v>
      </c>
      <c r="D55" s="235">
        <v>8000</v>
      </c>
      <c r="E55" s="129">
        <v>2</v>
      </c>
      <c r="F55" s="212">
        <v>0</v>
      </c>
      <c r="G55" s="212">
        <f>$C55*$E55</f>
        <v>12000</v>
      </c>
      <c r="H55" s="212">
        <f>$C55*$E55</f>
        <v>12000</v>
      </c>
      <c r="I55" s="212">
        <f>$C55*$E55</f>
        <v>12000</v>
      </c>
      <c r="J55" s="212">
        <v>0</v>
      </c>
      <c r="K55" s="212">
        <f>$C55*$E55</f>
        <v>12000</v>
      </c>
      <c r="L55" s="212">
        <f>$C55*$E55</f>
        <v>12000</v>
      </c>
      <c r="M55" s="212">
        <f>$C55*$E55</f>
        <v>12000</v>
      </c>
      <c r="N55" s="212">
        <v>0</v>
      </c>
      <c r="O55" s="212">
        <f>$C55*$E55</f>
        <v>12000</v>
      </c>
      <c r="P55" s="212">
        <f>$C55*$E55</f>
        <v>12000</v>
      </c>
      <c r="Q55" s="212">
        <f>$C55*$E55</f>
        <v>12000</v>
      </c>
    </row>
    <row r="56" spans="2:17" ht="12.75" customHeight="1">
      <c r="B56" s="243" t="s">
        <v>142</v>
      </c>
      <c r="C56" s="227">
        <v>18000</v>
      </c>
      <c r="D56" s="235">
        <v>16000</v>
      </c>
      <c r="E56" s="129">
        <v>2</v>
      </c>
      <c r="F56" s="212">
        <v>0</v>
      </c>
      <c r="G56" s="212">
        <v>0</v>
      </c>
      <c r="H56" s="212">
        <f>$C56*$E56</f>
        <v>36000</v>
      </c>
      <c r="I56" s="212">
        <v>0</v>
      </c>
      <c r="J56" s="212">
        <v>0</v>
      </c>
      <c r="K56" s="212">
        <f>$C56*$E56</f>
        <v>36000</v>
      </c>
      <c r="L56" s="212">
        <v>0</v>
      </c>
      <c r="M56" s="212">
        <f>$C56*$E56</f>
        <v>36000</v>
      </c>
      <c r="N56" s="212">
        <v>0</v>
      </c>
      <c r="O56" s="212">
        <v>0</v>
      </c>
      <c r="P56" s="212">
        <f>$C56*$E56</f>
        <v>36000</v>
      </c>
      <c r="Q56" s="212">
        <v>0</v>
      </c>
    </row>
    <row r="57" spans="2:17" ht="12.75" customHeight="1">
      <c r="B57" s="243" t="s">
        <v>143</v>
      </c>
      <c r="C57" s="227">
        <v>4500</v>
      </c>
      <c r="D57" s="235">
        <v>12000</v>
      </c>
      <c r="E57" s="129">
        <v>1</v>
      </c>
      <c r="F57" s="212">
        <v>0</v>
      </c>
      <c r="G57" s="212">
        <f>$C57*$E57</f>
        <v>4500</v>
      </c>
      <c r="H57" s="212">
        <v>0</v>
      </c>
      <c r="I57" s="212">
        <f>$C57*$E57</f>
        <v>4500</v>
      </c>
      <c r="J57" s="212">
        <v>0</v>
      </c>
      <c r="K57" s="212">
        <f>$C57*$E57</f>
        <v>4500</v>
      </c>
      <c r="L57" s="212">
        <v>0</v>
      </c>
      <c r="M57" s="212">
        <f>$C57*$E57</f>
        <v>4500</v>
      </c>
      <c r="N57" s="212">
        <v>0</v>
      </c>
      <c r="O57" s="212">
        <f>$C57*$E57</f>
        <v>4500</v>
      </c>
      <c r="P57" s="212">
        <v>0</v>
      </c>
      <c r="Q57" s="212">
        <f>$C57*$E57</f>
        <v>4500</v>
      </c>
    </row>
    <row r="58" spans="2:17" ht="12.75" customHeight="1">
      <c r="B58" s="243" t="s">
        <v>144</v>
      </c>
      <c r="C58" s="227">
        <v>5000</v>
      </c>
      <c r="D58" s="235">
        <v>15000</v>
      </c>
      <c r="E58" s="129">
        <v>1</v>
      </c>
      <c r="F58" s="212">
        <v>0</v>
      </c>
      <c r="G58" s="212">
        <v>0</v>
      </c>
      <c r="H58" s="212">
        <f>$C58*$E58</f>
        <v>5000</v>
      </c>
      <c r="I58" s="212">
        <v>0</v>
      </c>
      <c r="J58" s="212">
        <f>$C58*$E58</f>
        <v>5000</v>
      </c>
      <c r="K58" s="212">
        <v>0</v>
      </c>
      <c r="L58" s="212">
        <v>0</v>
      </c>
      <c r="M58" s="212">
        <f>$C58*$E58</f>
        <v>5000</v>
      </c>
      <c r="N58" s="212">
        <v>0</v>
      </c>
      <c r="O58" s="212">
        <f>$C58*$E58</f>
        <v>5000</v>
      </c>
      <c r="P58" s="212">
        <v>0</v>
      </c>
      <c r="Q58" s="212">
        <v>0</v>
      </c>
    </row>
    <row r="59" spans="2:17" ht="12.75" customHeight="1">
      <c r="B59" s="243" t="s">
        <v>145</v>
      </c>
      <c r="C59" s="227">
        <v>2500</v>
      </c>
      <c r="D59" s="235">
        <v>6000</v>
      </c>
      <c r="E59" s="129">
        <v>1</v>
      </c>
      <c r="F59" s="212">
        <f>$C59*$E59</f>
        <v>2500</v>
      </c>
      <c r="G59" s="212">
        <f>$C59*$E59</f>
        <v>2500</v>
      </c>
      <c r="H59" s="212">
        <f>$C59*$E59</f>
        <v>2500</v>
      </c>
      <c r="I59" s="212">
        <f>$C59*$E59</f>
        <v>2500</v>
      </c>
      <c r="J59" s="212">
        <f>$C59*$E59</f>
        <v>2500</v>
      </c>
      <c r="K59" s="212">
        <f>$C59*$E59</f>
        <v>2500</v>
      </c>
      <c r="L59" s="212">
        <f>$C59*$E59</f>
        <v>2500</v>
      </c>
      <c r="M59" s="212">
        <f>$C59*$E59</f>
        <v>2500</v>
      </c>
      <c r="N59" s="212">
        <f>$C59*$E59</f>
        <v>2500</v>
      </c>
      <c r="O59" s="212">
        <f>$C59*$E59</f>
        <v>2500</v>
      </c>
      <c r="P59" s="212">
        <f>$C59*$E59</f>
        <v>2500</v>
      </c>
      <c r="Q59" s="212">
        <f>$C59*$E59</f>
        <v>2500</v>
      </c>
    </row>
    <row r="60" spans="2:17" ht="12.75" customHeight="1">
      <c r="B60" s="245" t="s">
        <v>146</v>
      </c>
      <c r="C60" s="157"/>
      <c r="D60" s="94"/>
      <c r="E60" s="166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</row>
    <row r="61" spans="2:17" ht="12.75" customHeight="1">
      <c r="B61" s="243" t="s">
        <v>147</v>
      </c>
      <c r="C61" s="227">
        <v>5000</v>
      </c>
      <c r="D61" s="235">
        <v>10000</v>
      </c>
      <c r="E61" s="129">
        <v>2</v>
      </c>
      <c r="F61" s="212">
        <v>0</v>
      </c>
      <c r="G61" s="212">
        <f>$C61*$E61</f>
        <v>10000</v>
      </c>
      <c r="H61" s="212">
        <v>0</v>
      </c>
      <c r="I61" s="212">
        <f>$C61*$E61</f>
        <v>10000</v>
      </c>
      <c r="J61" s="212">
        <f>$C61*$E61</f>
        <v>10000</v>
      </c>
      <c r="K61" s="212">
        <v>0</v>
      </c>
      <c r="L61" s="212">
        <f>$C61*$E61</f>
        <v>10000</v>
      </c>
      <c r="M61" s="212">
        <v>0</v>
      </c>
      <c r="N61" s="212">
        <f>$C61*$E61</f>
        <v>10000</v>
      </c>
      <c r="O61" s="212">
        <f>$C61*$E61</f>
        <v>10000</v>
      </c>
      <c r="P61" s="212">
        <v>0</v>
      </c>
      <c r="Q61" s="212">
        <f>$C61*$E61</f>
        <v>10000</v>
      </c>
    </row>
    <row r="62" spans="2:17" ht="12.75" customHeight="1">
      <c r="B62" s="243" t="s">
        <v>148</v>
      </c>
      <c r="C62" s="227">
        <v>9000</v>
      </c>
      <c r="D62" s="235">
        <v>18000</v>
      </c>
      <c r="E62" s="129">
        <v>2</v>
      </c>
      <c r="F62" s="212">
        <v>0</v>
      </c>
      <c r="G62" s="212">
        <v>0</v>
      </c>
      <c r="H62" s="212">
        <f>$C62*$E62</f>
        <v>18000</v>
      </c>
      <c r="I62" s="212">
        <v>0</v>
      </c>
      <c r="J62" s="212">
        <v>0</v>
      </c>
      <c r="K62" s="212">
        <f>$C62*$E62</f>
        <v>18000</v>
      </c>
      <c r="L62" s="212">
        <v>0</v>
      </c>
      <c r="M62" s="212">
        <v>0</v>
      </c>
      <c r="N62" s="212">
        <f>$C62*$E62</f>
        <v>18000</v>
      </c>
      <c r="O62" s="212">
        <v>0</v>
      </c>
      <c r="P62" s="212">
        <v>0</v>
      </c>
      <c r="Q62" s="212">
        <f>$C62*$E62</f>
        <v>18000</v>
      </c>
    </row>
    <row r="63" spans="2:17" ht="12.75" customHeight="1">
      <c r="B63" s="243" t="s">
        <v>149</v>
      </c>
      <c r="C63" s="227">
        <v>14000</v>
      </c>
      <c r="D63" s="235">
        <v>18000</v>
      </c>
      <c r="E63" s="129">
        <v>1</v>
      </c>
      <c r="F63" s="212">
        <v>0</v>
      </c>
      <c r="G63" s="212">
        <v>0</v>
      </c>
      <c r="H63" s="212">
        <f>$C63*$E63</f>
        <v>14000</v>
      </c>
      <c r="I63" s="212">
        <v>0</v>
      </c>
      <c r="J63" s="212">
        <v>0</v>
      </c>
      <c r="K63" s="212">
        <f>$C63*$E63</f>
        <v>14000</v>
      </c>
      <c r="L63" s="212">
        <v>0</v>
      </c>
      <c r="M63" s="212">
        <v>0</v>
      </c>
      <c r="N63" s="212">
        <f>$C63*$E63</f>
        <v>14000</v>
      </c>
      <c r="O63" s="212">
        <v>0</v>
      </c>
      <c r="P63" s="212">
        <v>0</v>
      </c>
      <c r="Q63" s="212">
        <f>$C63*$E63</f>
        <v>14000</v>
      </c>
    </row>
    <row r="64" spans="2:17" ht="12.75" customHeight="1">
      <c r="B64" s="243" t="s">
        <v>150</v>
      </c>
      <c r="C64" s="227">
        <v>2800</v>
      </c>
      <c r="D64" s="235">
        <v>8000</v>
      </c>
      <c r="E64" s="129">
        <v>1</v>
      </c>
      <c r="F64" s="212">
        <v>0</v>
      </c>
      <c r="G64" s="212">
        <f>$C64*$E64</f>
        <v>2800</v>
      </c>
      <c r="H64" s="212">
        <f>$C64*$E64</f>
        <v>2800</v>
      </c>
      <c r="I64" s="212">
        <f>$C64*$E64</f>
        <v>2800</v>
      </c>
      <c r="J64" s="212">
        <v>0</v>
      </c>
      <c r="K64" s="212">
        <f>$C64*$E64</f>
        <v>2800</v>
      </c>
      <c r="L64" s="212">
        <f>$C64*$E64</f>
        <v>2800</v>
      </c>
      <c r="M64" s="212">
        <f>$C64*$E64</f>
        <v>2800</v>
      </c>
      <c r="N64" s="212">
        <v>0</v>
      </c>
      <c r="O64" s="212">
        <f>$C64*$E64</f>
        <v>2800</v>
      </c>
      <c r="P64" s="212">
        <f>$C64*$E64</f>
        <v>2800</v>
      </c>
      <c r="Q64" s="212">
        <f>$C64*$E64</f>
        <v>2800</v>
      </c>
    </row>
    <row r="65" spans="2:17" ht="12.75" customHeight="1">
      <c r="B65" s="243" t="s">
        <v>151</v>
      </c>
      <c r="C65" s="227">
        <v>6000</v>
      </c>
      <c r="D65" s="235">
        <v>15000</v>
      </c>
      <c r="E65" s="129">
        <v>1</v>
      </c>
      <c r="F65" s="212">
        <v>0</v>
      </c>
      <c r="G65" s="212">
        <v>0</v>
      </c>
      <c r="H65" s="212">
        <f>$C65*$E65</f>
        <v>6000</v>
      </c>
      <c r="I65" s="212">
        <v>0</v>
      </c>
      <c r="J65" s="212">
        <f>$C65*$E65</f>
        <v>6000</v>
      </c>
      <c r="K65" s="212">
        <v>0</v>
      </c>
      <c r="L65" s="212">
        <v>0</v>
      </c>
      <c r="M65" s="212">
        <f>$C65*$E65</f>
        <v>6000</v>
      </c>
      <c r="N65" s="212">
        <v>0</v>
      </c>
      <c r="O65" s="212">
        <f>$C65*$E65</f>
        <v>6000</v>
      </c>
      <c r="P65" s="212">
        <v>0</v>
      </c>
      <c r="Q65" s="212">
        <v>0</v>
      </c>
    </row>
    <row r="66" spans="2:17" ht="12.75" customHeight="1">
      <c r="B66" s="245" t="s">
        <v>152</v>
      </c>
      <c r="C66" s="157"/>
      <c r="D66" s="94"/>
      <c r="E66" s="166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</row>
    <row r="67" spans="2:17" ht="12.75" customHeight="1">
      <c r="B67" s="243" t="s">
        <v>153</v>
      </c>
      <c r="C67" s="227">
        <v>12000</v>
      </c>
      <c r="D67" s="235">
        <v>12000</v>
      </c>
      <c r="E67" s="129">
        <v>1</v>
      </c>
      <c r="F67" s="212">
        <v>0</v>
      </c>
      <c r="G67" s="212">
        <f>$C67*$E67</f>
        <v>12000</v>
      </c>
      <c r="H67" s="212">
        <v>0</v>
      </c>
      <c r="I67" s="212">
        <f>$C67*$E67</f>
        <v>12000</v>
      </c>
      <c r="J67" s="212">
        <v>0</v>
      </c>
      <c r="K67" s="212">
        <f>$C67*$E67</f>
        <v>12000</v>
      </c>
      <c r="L67" s="212">
        <v>0</v>
      </c>
      <c r="M67" s="212">
        <f>$C67*$E67</f>
        <v>12000</v>
      </c>
      <c r="N67" s="212">
        <v>0</v>
      </c>
      <c r="O67" s="212">
        <f>$C67*$E67</f>
        <v>12000</v>
      </c>
      <c r="P67" s="212">
        <v>0</v>
      </c>
      <c r="Q67" s="212">
        <f>$C67*$E67</f>
        <v>12000</v>
      </c>
    </row>
    <row r="68" spans="2:17" ht="12.75" customHeight="1">
      <c r="B68" s="243" t="s">
        <v>154</v>
      </c>
      <c r="C68" s="227">
        <v>25000</v>
      </c>
      <c r="D68" s="235">
        <v>24000</v>
      </c>
      <c r="E68" s="129">
        <v>1</v>
      </c>
      <c r="F68" s="212">
        <v>0</v>
      </c>
      <c r="G68" s="212">
        <v>0</v>
      </c>
      <c r="H68" s="212">
        <v>0</v>
      </c>
      <c r="I68" s="212">
        <f>$C68*$E68</f>
        <v>25000</v>
      </c>
      <c r="J68" s="212">
        <v>0</v>
      </c>
      <c r="K68" s="212">
        <v>0</v>
      </c>
      <c r="L68" s="212">
        <v>0</v>
      </c>
      <c r="M68" s="212">
        <f>$C68*$E68</f>
        <v>25000</v>
      </c>
      <c r="N68" s="212">
        <v>0</v>
      </c>
      <c r="O68" s="212">
        <v>0</v>
      </c>
      <c r="P68" s="212">
        <v>0</v>
      </c>
      <c r="Q68" s="212">
        <f>$C68*$E68</f>
        <v>25000</v>
      </c>
    </row>
    <row r="69" spans="2:17" ht="12.75" customHeight="1">
      <c r="B69" s="243" t="s">
        <v>155</v>
      </c>
      <c r="C69" s="227">
        <v>2000</v>
      </c>
      <c r="D69" s="235">
        <v>10000</v>
      </c>
      <c r="E69" s="129">
        <v>1</v>
      </c>
      <c r="F69" s="212">
        <v>0</v>
      </c>
      <c r="G69" s="212">
        <f>$C69*$E69</f>
        <v>2000</v>
      </c>
      <c r="H69" s="212">
        <v>0</v>
      </c>
      <c r="I69" s="212">
        <f>$C69*$E69</f>
        <v>2000</v>
      </c>
      <c r="J69" s="212">
        <f>$C69*$E69</f>
        <v>2000</v>
      </c>
      <c r="K69" s="212">
        <v>0</v>
      </c>
      <c r="L69" s="212">
        <f>$C69*$E69</f>
        <v>2000</v>
      </c>
      <c r="M69" s="212">
        <v>0</v>
      </c>
      <c r="N69" s="212">
        <f>$C69*$E69</f>
        <v>2000</v>
      </c>
      <c r="O69" s="212">
        <f>$C69*$E69</f>
        <v>2000</v>
      </c>
      <c r="P69" s="212">
        <v>0</v>
      </c>
      <c r="Q69" s="212">
        <f>$C69*$E69</f>
        <v>2000</v>
      </c>
    </row>
    <row r="70" spans="2:17" ht="12.75" customHeight="1">
      <c r="B70" s="243" t="s">
        <v>156</v>
      </c>
      <c r="C70" s="227">
        <v>3500</v>
      </c>
      <c r="D70" s="235">
        <v>12000</v>
      </c>
      <c r="E70" s="129">
        <v>1</v>
      </c>
      <c r="F70" s="212">
        <v>0</v>
      </c>
      <c r="G70" s="212">
        <f>$C70*$E70</f>
        <v>3500</v>
      </c>
      <c r="H70" s="212">
        <v>0</v>
      </c>
      <c r="I70" s="212">
        <f>$C70*$E70</f>
        <v>3500</v>
      </c>
      <c r="J70" s="212">
        <v>0</v>
      </c>
      <c r="K70" s="212">
        <f>$C70*$E70</f>
        <v>3500</v>
      </c>
      <c r="L70" s="212">
        <v>0</v>
      </c>
      <c r="M70" s="212">
        <f>$C70*$E70</f>
        <v>3500</v>
      </c>
      <c r="N70" s="212">
        <v>0</v>
      </c>
      <c r="O70" s="212">
        <f>$C70*$E70</f>
        <v>3500</v>
      </c>
      <c r="P70" s="212">
        <v>0</v>
      </c>
      <c r="Q70" s="212">
        <f>$C70*$E70</f>
        <v>3500</v>
      </c>
    </row>
    <row r="71" spans="2:17" ht="12.75" customHeight="1">
      <c r="B71" s="243" t="s">
        <v>157</v>
      </c>
      <c r="C71" s="227">
        <v>3000</v>
      </c>
      <c r="D71" s="235">
        <v>12000</v>
      </c>
      <c r="E71" s="129">
        <v>1</v>
      </c>
      <c r="F71" s="212">
        <v>0</v>
      </c>
      <c r="G71" s="212">
        <f>$C71*$E71</f>
        <v>3000</v>
      </c>
      <c r="H71" s="212">
        <v>0</v>
      </c>
      <c r="I71" s="212">
        <f>$C71*$E71</f>
        <v>3000</v>
      </c>
      <c r="J71" s="212">
        <v>0</v>
      </c>
      <c r="K71" s="212">
        <f>$C71*$E71</f>
        <v>3000</v>
      </c>
      <c r="L71" s="212">
        <v>0</v>
      </c>
      <c r="M71" s="212">
        <f>$C71*$E71</f>
        <v>3000</v>
      </c>
      <c r="N71" s="212">
        <v>0</v>
      </c>
      <c r="O71" s="212">
        <f>$C71*$E71</f>
        <v>3000</v>
      </c>
      <c r="P71" s="212">
        <v>0</v>
      </c>
      <c r="Q71" s="212">
        <f>$C71*$E71</f>
        <v>3000</v>
      </c>
    </row>
    <row r="72" spans="2:17" ht="12.75" customHeight="1">
      <c r="B72" s="246" t="s">
        <v>158</v>
      </c>
      <c r="C72" s="157"/>
      <c r="D72" s="94"/>
      <c r="E72" s="166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</row>
    <row r="73" spans="2:17" ht="12.75" customHeight="1">
      <c r="B73" s="243" t="s">
        <v>159</v>
      </c>
      <c r="C73" s="227">
        <v>1800</v>
      </c>
      <c r="D73" s="235">
        <v>8000</v>
      </c>
      <c r="E73" s="129">
        <v>1</v>
      </c>
      <c r="F73" s="212">
        <v>0</v>
      </c>
      <c r="G73" s="212">
        <f>$C73*$E73</f>
        <v>1800</v>
      </c>
      <c r="H73" s="212">
        <f>$C73*$E73</f>
        <v>1800</v>
      </c>
      <c r="I73" s="212">
        <f>$C73*$E73</f>
        <v>1800</v>
      </c>
      <c r="J73" s="212">
        <v>0</v>
      </c>
      <c r="K73" s="212">
        <f>$C73*$E73</f>
        <v>1800</v>
      </c>
      <c r="L73" s="212">
        <f>$C73*$E73</f>
        <v>1800</v>
      </c>
      <c r="M73" s="212">
        <f>$C73*$E73</f>
        <v>1800</v>
      </c>
      <c r="N73" s="212">
        <v>0</v>
      </c>
      <c r="O73" s="212">
        <f>$C73*$E73</f>
        <v>1800</v>
      </c>
      <c r="P73" s="212">
        <f>$C73*$E73</f>
        <v>1800</v>
      </c>
      <c r="Q73" s="212">
        <f>$C73*$E73</f>
        <v>1800</v>
      </c>
    </row>
    <row r="74" spans="2:17" ht="12.75" customHeight="1">
      <c r="B74" s="243" t="s">
        <v>160</v>
      </c>
      <c r="C74" s="227">
        <v>4000</v>
      </c>
      <c r="D74" s="235">
        <v>16000</v>
      </c>
      <c r="E74" s="129">
        <v>1</v>
      </c>
      <c r="F74" s="212">
        <v>0</v>
      </c>
      <c r="G74" s="212">
        <v>0</v>
      </c>
      <c r="H74" s="212">
        <f>$C74*$E74</f>
        <v>4000</v>
      </c>
      <c r="I74" s="212">
        <v>0</v>
      </c>
      <c r="J74" s="212">
        <v>0</v>
      </c>
      <c r="K74" s="212">
        <f>$C74*$E74</f>
        <v>4000</v>
      </c>
      <c r="L74" s="212">
        <v>0</v>
      </c>
      <c r="M74" s="212">
        <f>$C74*$E74</f>
        <v>4000</v>
      </c>
      <c r="N74" s="212">
        <v>0</v>
      </c>
      <c r="O74" s="212">
        <v>0</v>
      </c>
      <c r="P74" s="212">
        <f>$C74*$E74</f>
        <v>4000</v>
      </c>
      <c r="Q74" s="212">
        <v>0</v>
      </c>
    </row>
    <row r="75" spans="2:17" ht="12.75" customHeight="1">
      <c r="B75" s="243" t="s">
        <v>161</v>
      </c>
      <c r="C75" s="227">
        <v>2500</v>
      </c>
      <c r="D75" s="235">
        <v>10000</v>
      </c>
      <c r="E75" s="129">
        <v>1</v>
      </c>
      <c r="F75" s="212">
        <v>0</v>
      </c>
      <c r="G75" s="212">
        <f>$C75*$E75</f>
        <v>2500</v>
      </c>
      <c r="H75" s="212">
        <v>0</v>
      </c>
      <c r="I75" s="212">
        <f t="shared" ref="I75:J77" si="13">$C75*$E75</f>
        <v>2500</v>
      </c>
      <c r="J75" s="212">
        <f t="shared" si="13"/>
        <v>2500</v>
      </c>
      <c r="K75" s="212">
        <v>0</v>
      </c>
      <c r="L75" s="212">
        <f>$C75*$E75</f>
        <v>2500</v>
      </c>
      <c r="M75" s="212">
        <v>0</v>
      </c>
      <c r="N75" s="212">
        <f t="shared" ref="N75:O77" si="14">$C75*$E75</f>
        <v>2500</v>
      </c>
      <c r="O75" s="212">
        <f t="shared" si="14"/>
        <v>2500</v>
      </c>
      <c r="P75" s="212">
        <v>0</v>
      </c>
      <c r="Q75" s="212">
        <f>$C75*$E75</f>
        <v>2500</v>
      </c>
    </row>
    <row r="76" spans="2:17" ht="12.75" customHeight="1">
      <c r="B76" s="243" t="s">
        <v>162</v>
      </c>
      <c r="C76" s="227">
        <v>1500</v>
      </c>
      <c r="D76" s="235">
        <v>3000</v>
      </c>
      <c r="E76" s="129">
        <v>4</v>
      </c>
      <c r="F76" s="212">
        <f>$C76*$E76</f>
        <v>6000</v>
      </c>
      <c r="G76" s="212">
        <f>$C76*$E76</f>
        <v>6000</v>
      </c>
      <c r="H76" s="212">
        <f>$C76*$E76</f>
        <v>6000</v>
      </c>
      <c r="I76" s="212">
        <f t="shared" si="13"/>
        <v>6000</v>
      </c>
      <c r="J76" s="212">
        <f t="shared" si="13"/>
        <v>6000</v>
      </c>
      <c r="K76" s="212">
        <f>$C76*$E76</f>
        <v>6000</v>
      </c>
      <c r="L76" s="212">
        <f>$C76*$E76</f>
        <v>6000</v>
      </c>
      <c r="M76" s="212">
        <f>$C76*$E76</f>
        <v>6000</v>
      </c>
      <c r="N76" s="212">
        <f t="shared" si="14"/>
        <v>6000</v>
      </c>
      <c r="O76" s="212">
        <f t="shared" si="14"/>
        <v>6000</v>
      </c>
      <c r="P76" s="212">
        <f>$C76*$E76</f>
        <v>6000</v>
      </c>
      <c r="Q76" s="212">
        <f>$C76*$E76</f>
        <v>6000</v>
      </c>
    </row>
    <row r="77" spans="2:17" ht="12.75" customHeight="1">
      <c r="B77" s="243" t="s">
        <v>163</v>
      </c>
      <c r="C77" s="227">
        <v>1200</v>
      </c>
      <c r="D77" s="235">
        <v>6000</v>
      </c>
      <c r="E77" s="129">
        <v>1</v>
      </c>
      <c r="F77" s="212">
        <f>$C77*$E77</f>
        <v>1200</v>
      </c>
      <c r="G77" s="212">
        <f>$C77*$E77</f>
        <v>1200</v>
      </c>
      <c r="H77" s="212">
        <f>$C77*$E77</f>
        <v>1200</v>
      </c>
      <c r="I77" s="212">
        <f t="shared" si="13"/>
        <v>1200</v>
      </c>
      <c r="J77" s="212">
        <f t="shared" si="13"/>
        <v>1200</v>
      </c>
      <c r="K77" s="212">
        <f>$C77*$E77</f>
        <v>1200</v>
      </c>
      <c r="L77" s="212">
        <f>$C77*$E77</f>
        <v>1200</v>
      </c>
      <c r="M77" s="212">
        <f>$C77*$E77</f>
        <v>1200</v>
      </c>
      <c r="N77" s="212">
        <f t="shared" si="14"/>
        <v>1200</v>
      </c>
      <c r="O77" s="212">
        <f t="shared" si="14"/>
        <v>1200</v>
      </c>
      <c r="P77" s="212">
        <f>$C77*$E77</f>
        <v>1200</v>
      </c>
      <c r="Q77" s="212">
        <f>$C77*$E77</f>
        <v>1200</v>
      </c>
    </row>
  </sheetData>
  <pageMargins left="0.31527777777777799" right="0.31527777777777799" top="0.35416666666666702" bottom="0.35416666666666702" header="0.511811023622047" footer="0.511811023622047"/>
  <pageSetup paperSize="9" scale="70" orientation="landscape" horizontalDpi="300" verticalDpi="300" r:id="rId1"/>
  <rowBreaks count="1" manualBreakCount="1">
    <brk id="59" max="16383" man="1"/>
  </rowBreaks>
  <colBreaks count="1" manualBreakCount="1">
    <brk id="17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Данные_Буровой станок</vt:lpstr>
      <vt:lpstr>ТО</vt:lpstr>
      <vt:lpstr>Ремонты</vt:lpstr>
      <vt:lpstr>'Данные_Буровой станок'!Заголовки_для_печати</vt:lpstr>
      <vt:lpstr>Ремонты!Заголовки_для_печати</vt:lpstr>
      <vt:lpstr>ТО!Заголовки_для_печати</vt:lpstr>
      <vt:lpstr>'Данные_Буровой станок'!Область_печати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lastPrinted>2021-11-26T15:02:37Z</cp:lastPrinted>
  <dcterms:created xsi:type="dcterms:W3CDTF">2015-08-04T10:07:23Z</dcterms:created>
  <dcterms:modified xsi:type="dcterms:W3CDTF">2026-07-25T07:42:11Z</dcterms:modified>
</cp:coreProperties>
</file>