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co\OneDrive\Рабочий стол\для Петра\2026\2 полугодие\Сухой Лог запрос\проверка 23.07.26\"/>
    </mc:Choice>
  </mc:AlternateContent>
  <xr:revisionPtr revIDLastSave="0" documentId="13_ncr:1_{23F58A2B-7A50-42F5-AA9F-5EFDABD3585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9" i="1" l="1"/>
  <c r="R28" i="1"/>
  <c r="F12" i="3" l="1"/>
  <c r="E31" i="1"/>
  <c r="F11" i="3"/>
  <c r="H61" i="3"/>
  <c r="K61" i="3"/>
  <c r="N61" i="3"/>
  <c r="G20" i="2"/>
  <c r="F16" i="3"/>
  <c r="I14" i="2" l="1"/>
  <c r="H14" i="2"/>
  <c r="F8" i="3"/>
  <c r="E8" i="1" s="1"/>
  <c r="G16" i="3"/>
  <c r="G8" i="3" s="1"/>
  <c r="R30" i="1"/>
  <c r="P35" i="1"/>
  <c r="F35" i="1"/>
  <c r="G35" i="1"/>
  <c r="H35" i="1"/>
  <c r="I35" i="1"/>
  <c r="J35" i="1"/>
  <c r="K35" i="1"/>
  <c r="L35" i="1"/>
  <c r="M35" i="1"/>
  <c r="N35" i="1"/>
  <c r="O35" i="1"/>
  <c r="E35" i="1"/>
  <c r="G15" i="2"/>
  <c r="G14" i="2"/>
  <c r="G45" i="3"/>
  <c r="G41" i="3"/>
  <c r="G59" i="3"/>
  <c r="G57" i="3"/>
  <c r="Q63" i="3"/>
  <c r="P63" i="3"/>
  <c r="O63" i="3"/>
  <c r="N63" i="3"/>
  <c r="M63" i="3"/>
  <c r="L63" i="3"/>
  <c r="K63" i="3"/>
  <c r="J63" i="3"/>
  <c r="I63" i="3"/>
  <c r="H63" i="3"/>
  <c r="G63" i="3"/>
  <c r="F63" i="3"/>
  <c r="Q59" i="3"/>
  <c r="P59" i="3"/>
  <c r="O59" i="3"/>
  <c r="N59" i="3"/>
  <c r="M59" i="3"/>
  <c r="L59" i="3"/>
  <c r="K59" i="3"/>
  <c r="J59" i="3"/>
  <c r="I59" i="3"/>
  <c r="H59" i="3"/>
  <c r="F59" i="3"/>
  <c r="Q58" i="3"/>
  <c r="P58" i="3"/>
  <c r="O58" i="3"/>
  <c r="N58" i="3"/>
  <c r="M58" i="3"/>
  <c r="L58" i="3"/>
  <c r="K58" i="3"/>
  <c r="J58" i="3"/>
  <c r="I58" i="3"/>
  <c r="H58" i="3"/>
  <c r="G58" i="3"/>
  <c r="F58" i="3"/>
  <c r="Q57" i="3"/>
  <c r="P57" i="3"/>
  <c r="O57" i="3"/>
  <c r="N57" i="3"/>
  <c r="M57" i="3"/>
  <c r="L57" i="3"/>
  <c r="K57" i="3"/>
  <c r="J57" i="3"/>
  <c r="I57" i="3"/>
  <c r="H57" i="3"/>
  <c r="F57" i="3"/>
  <c r="P55" i="3"/>
  <c r="O55" i="3"/>
  <c r="M55" i="3"/>
  <c r="L55" i="3"/>
  <c r="K55" i="3"/>
  <c r="J55" i="3"/>
  <c r="I55" i="3"/>
  <c r="H55" i="3"/>
  <c r="G55" i="3"/>
  <c r="P54" i="3"/>
  <c r="O54" i="3"/>
  <c r="M54" i="3"/>
  <c r="L54" i="3"/>
  <c r="K54" i="3"/>
  <c r="J54" i="3"/>
  <c r="I54" i="3"/>
  <c r="H54" i="3"/>
  <c r="G54" i="3"/>
  <c r="P53" i="3"/>
  <c r="O53" i="3"/>
  <c r="M53" i="3"/>
  <c r="L53" i="3"/>
  <c r="K53" i="3"/>
  <c r="J53" i="3"/>
  <c r="I53" i="3"/>
  <c r="H53" i="3"/>
  <c r="G53" i="3"/>
  <c r="P52" i="3"/>
  <c r="O52" i="3"/>
  <c r="M52" i="3"/>
  <c r="L52" i="3"/>
  <c r="K52" i="3"/>
  <c r="J52" i="3"/>
  <c r="I52" i="3"/>
  <c r="H52" i="3"/>
  <c r="G52" i="3"/>
  <c r="P51" i="3"/>
  <c r="O51" i="3"/>
  <c r="M51" i="3"/>
  <c r="L51" i="3"/>
  <c r="K51" i="3"/>
  <c r="J51" i="3"/>
  <c r="I51" i="3"/>
  <c r="H51" i="3"/>
  <c r="G51" i="3"/>
  <c r="P50" i="3"/>
  <c r="O50" i="3"/>
  <c r="M50" i="3"/>
  <c r="L50" i="3"/>
  <c r="K50" i="3"/>
  <c r="J50" i="3"/>
  <c r="I50" i="3"/>
  <c r="H50" i="3"/>
  <c r="G50" i="3"/>
  <c r="P49" i="3"/>
  <c r="O49" i="3"/>
  <c r="M49" i="3"/>
  <c r="L49" i="3"/>
  <c r="K49" i="3"/>
  <c r="J49" i="3"/>
  <c r="I49" i="3"/>
  <c r="H49" i="3"/>
  <c r="G49" i="3"/>
  <c r="P48" i="3"/>
  <c r="O48" i="3"/>
  <c r="M48" i="3"/>
  <c r="L48" i="3"/>
  <c r="K48" i="3"/>
  <c r="J48" i="3"/>
  <c r="I48" i="3"/>
  <c r="H48" i="3"/>
  <c r="G48" i="3"/>
  <c r="P47" i="3"/>
  <c r="O47" i="3"/>
  <c r="M47" i="3"/>
  <c r="L47" i="3"/>
  <c r="K47" i="3"/>
  <c r="J47" i="3"/>
  <c r="I47" i="3"/>
  <c r="H47" i="3"/>
  <c r="G47" i="3"/>
  <c r="Q45" i="3"/>
  <c r="P45" i="3"/>
  <c r="O45" i="3"/>
  <c r="N45" i="3"/>
  <c r="M45" i="3"/>
  <c r="L45" i="3"/>
  <c r="K45" i="3"/>
  <c r="J45" i="3"/>
  <c r="I45" i="3"/>
  <c r="H45" i="3"/>
  <c r="F45" i="3"/>
  <c r="Q44" i="3"/>
  <c r="P44" i="3"/>
  <c r="O44" i="3"/>
  <c r="N44" i="3"/>
  <c r="M44" i="3"/>
  <c r="L44" i="3"/>
  <c r="K44" i="3"/>
  <c r="J44" i="3"/>
  <c r="I44" i="3"/>
  <c r="H44" i="3"/>
  <c r="G44" i="3"/>
  <c r="F44" i="3"/>
  <c r="O43" i="3"/>
  <c r="M43" i="3"/>
  <c r="K43" i="3"/>
  <c r="I43" i="3"/>
  <c r="G43" i="3"/>
  <c r="O42" i="3"/>
  <c r="M42" i="3"/>
  <c r="K42" i="3"/>
  <c r="I42" i="3"/>
  <c r="G42" i="3"/>
  <c r="O41" i="3"/>
  <c r="M41" i="3"/>
  <c r="K41" i="3"/>
  <c r="I41" i="3"/>
  <c r="O40" i="3"/>
  <c r="M40" i="3"/>
  <c r="K40" i="3"/>
  <c r="I40" i="3"/>
  <c r="G40" i="3"/>
  <c r="O39" i="3"/>
  <c r="M39" i="3"/>
  <c r="K39" i="3"/>
  <c r="I39" i="3"/>
  <c r="G39" i="3"/>
  <c r="O38" i="3"/>
  <c r="M38" i="3"/>
  <c r="K38" i="3"/>
  <c r="I38" i="3"/>
  <c r="G38" i="3"/>
  <c r="O37" i="3"/>
  <c r="M37" i="3"/>
  <c r="K37" i="3"/>
  <c r="I37" i="3"/>
  <c r="G37" i="3"/>
  <c r="P35" i="3"/>
  <c r="N35" i="3"/>
  <c r="M35" i="3"/>
  <c r="K35" i="3"/>
  <c r="J35" i="3"/>
  <c r="H35" i="3"/>
  <c r="G35" i="3"/>
  <c r="O33" i="3" l="1"/>
  <c r="P33" i="3"/>
  <c r="I33" i="3"/>
  <c r="G33" i="3"/>
  <c r="F33" i="3"/>
  <c r="R17" i="2" l="1"/>
  <c r="G30" i="2"/>
  <c r="F30" i="3"/>
  <c r="F31" i="3" l="1"/>
  <c r="G22" i="2" l="1"/>
  <c r="G32" i="2"/>
  <c r="F76" i="2"/>
  <c r="G24" i="2" l="1"/>
  <c r="G23" i="2"/>
  <c r="Q16" i="3"/>
  <c r="Q8" i="3" s="1"/>
  <c r="H16" i="3"/>
  <c r="M16" i="3"/>
  <c r="N16" i="3"/>
  <c r="O16" i="3"/>
  <c r="P16" i="3"/>
  <c r="I16" i="3"/>
  <c r="J16" i="3"/>
  <c r="K16" i="3"/>
  <c r="L16" i="3"/>
  <c r="H30" i="3"/>
  <c r="G30" i="3" l="1"/>
  <c r="I30" i="3"/>
  <c r="J30" i="3"/>
  <c r="K30" i="3"/>
  <c r="L30" i="3"/>
  <c r="M30" i="3"/>
  <c r="N30" i="3"/>
  <c r="O30" i="3"/>
  <c r="P30" i="3"/>
  <c r="Q30" i="3"/>
  <c r="H31" i="3"/>
  <c r="Q31" i="3"/>
  <c r="G31" i="3"/>
  <c r="F32" i="3" l="1"/>
  <c r="F29" i="3" s="1"/>
  <c r="E30" i="1" s="1"/>
  <c r="G32" i="3"/>
  <c r="G29" i="3" s="1"/>
  <c r="G10" i="3" s="1"/>
  <c r="F10" i="3" l="1"/>
  <c r="H33" i="3"/>
  <c r="G11" i="3"/>
  <c r="Q33" i="3" l="1"/>
  <c r="F31" i="1" l="1"/>
  <c r="J33" i="3"/>
  <c r="J11" i="3" s="1"/>
  <c r="E6" i="3"/>
  <c r="F6" i="3" s="1"/>
  <c r="G6" i="3" s="1"/>
  <c r="H6" i="3" s="1"/>
  <c r="F21" i="2" l="1"/>
  <c r="E76" i="2"/>
  <c r="E47" i="2"/>
  <c r="E31" i="2"/>
  <c r="E21" i="2"/>
  <c r="F47" i="2"/>
  <c r="B24" i="3" l="1"/>
  <c r="B25" i="3"/>
  <c r="B23" i="3"/>
  <c r="K33" i="3" l="1"/>
  <c r="M33" i="3"/>
  <c r="N33" i="3"/>
  <c r="G31" i="1" l="1"/>
  <c r="H31" i="1"/>
  <c r="J31" i="1"/>
  <c r="L31" i="1"/>
  <c r="M31" i="1"/>
  <c r="O31" i="1"/>
  <c r="P31" i="1"/>
  <c r="R16" i="2"/>
  <c r="R86" i="2" l="1"/>
  <c r="R98" i="2"/>
  <c r="R99" i="2"/>
  <c r="R101" i="2"/>
  <c r="R87" i="2"/>
  <c r="R78" i="2"/>
  <c r="R90" i="2"/>
  <c r="R102" i="2"/>
  <c r="R88" i="2"/>
  <c r="R79" i="2"/>
  <c r="R91" i="2"/>
  <c r="R103" i="2"/>
  <c r="R80" i="2"/>
  <c r="R92" i="2"/>
  <c r="R104" i="2"/>
  <c r="R100" i="2"/>
  <c r="R81" i="2"/>
  <c r="R93" i="2"/>
  <c r="R105" i="2"/>
  <c r="R95" i="2"/>
  <c r="R89" i="2"/>
  <c r="R82" i="2"/>
  <c r="R94" i="2"/>
  <c r="R106" i="2"/>
  <c r="R107" i="2"/>
  <c r="R83" i="2"/>
  <c r="R84" i="2"/>
  <c r="R96" i="2"/>
  <c r="R85" i="2"/>
  <c r="R97" i="2"/>
  <c r="R49" i="2"/>
  <c r="R61" i="2"/>
  <c r="R73" i="2"/>
  <c r="R50" i="2"/>
  <c r="R62" i="2"/>
  <c r="R74" i="2"/>
  <c r="R51" i="2"/>
  <c r="R63" i="2"/>
  <c r="R75" i="2"/>
  <c r="R52" i="2"/>
  <c r="R64" i="2"/>
  <c r="R59" i="2"/>
  <c r="R53" i="2"/>
  <c r="R65" i="2"/>
  <c r="R71" i="2"/>
  <c r="R54" i="2"/>
  <c r="R66" i="2"/>
  <c r="R72" i="2"/>
  <c r="R55" i="2"/>
  <c r="R67" i="2"/>
  <c r="R56" i="2"/>
  <c r="R68" i="2"/>
  <c r="R57" i="2"/>
  <c r="R69" i="2"/>
  <c r="R60" i="2"/>
  <c r="R58" i="2"/>
  <c r="R70" i="2"/>
  <c r="R48" i="2"/>
  <c r="R77" i="2"/>
  <c r="N11" i="3" l="1"/>
  <c r="Q32" i="3"/>
  <c r="Q29" i="3" s="1"/>
  <c r="P32" i="3"/>
  <c r="O32" i="3"/>
  <c r="O29" i="3" s="1"/>
  <c r="N32" i="3"/>
  <c r="M32" i="3"/>
  <c r="L32" i="3"/>
  <c r="L29" i="3" s="1"/>
  <c r="K32" i="3"/>
  <c r="J32" i="3"/>
  <c r="J29" i="3" s="1"/>
  <c r="I32" i="3"/>
  <c r="I29" i="3" s="1"/>
  <c r="H32" i="3"/>
  <c r="H29" i="3" s="1"/>
  <c r="P31" i="3"/>
  <c r="O31" i="3"/>
  <c r="N31" i="3"/>
  <c r="M31" i="3"/>
  <c r="L31" i="3"/>
  <c r="K31" i="3"/>
  <c r="J31" i="3"/>
  <c r="I31" i="3"/>
  <c r="O8" i="3"/>
  <c r="D21" i="3"/>
  <c r="D26" i="3" s="1"/>
  <c r="Q11" i="3"/>
  <c r="P11" i="3"/>
  <c r="M11" i="3"/>
  <c r="K11" i="3"/>
  <c r="I11" i="3"/>
  <c r="H11" i="3"/>
  <c r="G5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Q17" i="2"/>
  <c r="P17" i="2"/>
  <c r="O17" i="2"/>
  <c r="N17" i="2"/>
  <c r="M17" i="2"/>
  <c r="L17" i="2"/>
  <c r="K17" i="2"/>
  <c r="J17" i="2"/>
  <c r="I17" i="2"/>
  <c r="H17" i="2"/>
  <c r="G17" i="2"/>
  <c r="Q16" i="2"/>
  <c r="P16" i="2"/>
  <c r="O16" i="2"/>
  <c r="N16" i="2"/>
  <c r="M16" i="2"/>
  <c r="L16" i="2"/>
  <c r="K16" i="2"/>
  <c r="J16" i="2"/>
  <c r="I16" i="2"/>
  <c r="H16" i="2"/>
  <c r="G16" i="2"/>
  <c r="Q15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G10" i="2" l="1"/>
  <c r="E32" i="1" s="1"/>
  <c r="G13" i="2"/>
  <c r="G7" i="2" s="1"/>
  <c r="E7" i="1" s="1"/>
  <c r="N29" i="3"/>
  <c r="K29" i="3"/>
  <c r="M29" i="3"/>
  <c r="P29" i="3"/>
  <c r="H30" i="1"/>
  <c r="J86" i="2"/>
  <c r="J98" i="2"/>
  <c r="J87" i="2"/>
  <c r="J88" i="2"/>
  <c r="J78" i="2"/>
  <c r="J90" i="2"/>
  <c r="J102" i="2"/>
  <c r="J85" i="2"/>
  <c r="J89" i="2"/>
  <c r="J79" i="2"/>
  <c r="J91" i="2"/>
  <c r="J103" i="2"/>
  <c r="J80" i="2"/>
  <c r="J92" i="2"/>
  <c r="J104" i="2"/>
  <c r="J107" i="2"/>
  <c r="J81" i="2"/>
  <c r="J93" i="2"/>
  <c r="J105" i="2"/>
  <c r="J95" i="2"/>
  <c r="J97" i="2"/>
  <c r="J99" i="2"/>
  <c r="J100" i="2"/>
  <c r="J82" i="2"/>
  <c r="J94" i="2"/>
  <c r="J106" i="2"/>
  <c r="J83" i="2"/>
  <c r="J101" i="2"/>
  <c r="J84" i="2"/>
  <c r="J96" i="2"/>
  <c r="I80" i="2"/>
  <c r="I92" i="2"/>
  <c r="I104" i="2"/>
  <c r="I84" i="2"/>
  <c r="I96" i="2"/>
  <c r="I101" i="2"/>
  <c r="I105" i="2"/>
  <c r="I85" i="2"/>
  <c r="I97" i="2"/>
  <c r="I82" i="2"/>
  <c r="I95" i="2"/>
  <c r="I86" i="2"/>
  <c r="I98" i="2"/>
  <c r="I91" i="2"/>
  <c r="I93" i="2"/>
  <c r="I94" i="2"/>
  <c r="I87" i="2"/>
  <c r="I99" i="2"/>
  <c r="I107" i="2"/>
  <c r="I88" i="2"/>
  <c r="I100" i="2"/>
  <c r="I89" i="2"/>
  <c r="I79" i="2"/>
  <c r="I106" i="2"/>
  <c r="I83" i="2"/>
  <c r="I78" i="2"/>
  <c r="I90" i="2"/>
  <c r="I102" i="2"/>
  <c r="I103" i="2"/>
  <c r="I81" i="2"/>
  <c r="L86" i="2"/>
  <c r="L98" i="2"/>
  <c r="L87" i="2"/>
  <c r="L99" i="2"/>
  <c r="L78" i="2"/>
  <c r="L90" i="2"/>
  <c r="L102" i="2"/>
  <c r="L79" i="2"/>
  <c r="L91" i="2"/>
  <c r="L103" i="2"/>
  <c r="L89" i="2"/>
  <c r="L80" i="2"/>
  <c r="L92" i="2"/>
  <c r="L104" i="2"/>
  <c r="L107" i="2"/>
  <c r="L100" i="2"/>
  <c r="L81" i="2"/>
  <c r="L93" i="2"/>
  <c r="L105" i="2"/>
  <c r="L95" i="2"/>
  <c r="L101" i="2"/>
  <c r="L82" i="2"/>
  <c r="L94" i="2"/>
  <c r="L106" i="2"/>
  <c r="L88" i="2"/>
  <c r="L83" i="2"/>
  <c r="L84" i="2"/>
  <c r="L96" i="2"/>
  <c r="L85" i="2"/>
  <c r="L97" i="2"/>
  <c r="N86" i="2"/>
  <c r="N98" i="2"/>
  <c r="N87" i="2"/>
  <c r="N99" i="2"/>
  <c r="N89" i="2"/>
  <c r="N78" i="2"/>
  <c r="N90" i="2"/>
  <c r="N102" i="2"/>
  <c r="N107" i="2"/>
  <c r="N79" i="2"/>
  <c r="N91" i="2"/>
  <c r="N103" i="2"/>
  <c r="N80" i="2"/>
  <c r="N92" i="2"/>
  <c r="N104" i="2"/>
  <c r="N95" i="2"/>
  <c r="N100" i="2"/>
  <c r="N81" i="2"/>
  <c r="N93" i="2"/>
  <c r="N105" i="2"/>
  <c r="N83" i="2"/>
  <c r="N101" i="2"/>
  <c r="N82" i="2"/>
  <c r="N94" i="2"/>
  <c r="N106" i="2"/>
  <c r="N84" i="2"/>
  <c r="N96" i="2"/>
  <c r="N85" i="2"/>
  <c r="N97" i="2"/>
  <c r="N88" i="2"/>
  <c r="M80" i="2"/>
  <c r="M92" i="2"/>
  <c r="M104" i="2"/>
  <c r="M81" i="2"/>
  <c r="M93" i="2"/>
  <c r="M105" i="2"/>
  <c r="M82" i="2"/>
  <c r="M84" i="2"/>
  <c r="M96" i="2"/>
  <c r="M95" i="2"/>
  <c r="M85" i="2"/>
  <c r="M97" i="2"/>
  <c r="M106" i="2"/>
  <c r="M86" i="2"/>
  <c r="M98" i="2"/>
  <c r="M83" i="2"/>
  <c r="M87" i="2"/>
  <c r="M99" i="2"/>
  <c r="M89" i="2"/>
  <c r="M94" i="2"/>
  <c r="M88" i="2"/>
  <c r="M100" i="2"/>
  <c r="M101" i="2"/>
  <c r="M107" i="2"/>
  <c r="M78" i="2"/>
  <c r="M90" i="2"/>
  <c r="M102" i="2"/>
  <c r="M79" i="2"/>
  <c r="M91" i="2"/>
  <c r="M103" i="2"/>
  <c r="K80" i="2"/>
  <c r="K92" i="2"/>
  <c r="K104" i="2"/>
  <c r="K81" i="2"/>
  <c r="K93" i="2"/>
  <c r="K105" i="2"/>
  <c r="K83" i="2"/>
  <c r="K84" i="2"/>
  <c r="K96" i="2"/>
  <c r="K101" i="2"/>
  <c r="K82" i="2"/>
  <c r="K85" i="2"/>
  <c r="K97" i="2"/>
  <c r="K86" i="2"/>
  <c r="K98" i="2"/>
  <c r="K95" i="2"/>
  <c r="K87" i="2"/>
  <c r="K99" i="2"/>
  <c r="K89" i="2"/>
  <c r="K88" i="2"/>
  <c r="K100" i="2"/>
  <c r="K94" i="2"/>
  <c r="K78" i="2"/>
  <c r="K90" i="2"/>
  <c r="K102" i="2"/>
  <c r="K79" i="2"/>
  <c r="K91" i="2"/>
  <c r="K103" i="2"/>
  <c r="K106" i="2"/>
  <c r="K107" i="2"/>
  <c r="O77" i="2"/>
  <c r="O80" i="2"/>
  <c r="O92" i="2"/>
  <c r="O104" i="2"/>
  <c r="O81" i="2"/>
  <c r="O93" i="2"/>
  <c r="O105" i="2"/>
  <c r="O106" i="2"/>
  <c r="O84" i="2"/>
  <c r="O96" i="2"/>
  <c r="O95" i="2"/>
  <c r="O85" i="2"/>
  <c r="O97" i="2"/>
  <c r="O86" i="2"/>
  <c r="O98" i="2"/>
  <c r="O82" i="2"/>
  <c r="O94" i="2"/>
  <c r="O87" i="2"/>
  <c r="O99" i="2"/>
  <c r="O89" i="2"/>
  <c r="O101" i="2"/>
  <c r="O88" i="2"/>
  <c r="O100" i="2"/>
  <c r="O83" i="2"/>
  <c r="O78" i="2"/>
  <c r="O90" i="2"/>
  <c r="O102" i="2"/>
  <c r="O79" i="2"/>
  <c r="O91" i="2"/>
  <c r="O103" i="2"/>
  <c r="O107" i="2"/>
  <c r="P86" i="2"/>
  <c r="P98" i="2"/>
  <c r="P87" i="2"/>
  <c r="P99" i="2"/>
  <c r="P100" i="2"/>
  <c r="P78" i="2"/>
  <c r="P90" i="2"/>
  <c r="P102" i="2"/>
  <c r="P95" i="2"/>
  <c r="P79" i="2"/>
  <c r="P91" i="2"/>
  <c r="P103" i="2"/>
  <c r="P88" i="2"/>
  <c r="P89" i="2"/>
  <c r="P80" i="2"/>
  <c r="P92" i="2"/>
  <c r="P104" i="2"/>
  <c r="P101" i="2"/>
  <c r="P81" i="2"/>
  <c r="P93" i="2"/>
  <c r="P105" i="2"/>
  <c r="P83" i="2"/>
  <c r="P107" i="2"/>
  <c r="P82" i="2"/>
  <c r="P94" i="2"/>
  <c r="P106" i="2"/>
  <c r="P84" i="2"/>
  <c r="P96" i="2"/>
  <c r="P85" i="2"/>
  <c r="P97" i="2"/>
  <c r="Q80" i="2"/>
  <c r="Q92" i="2"/>
  <c r="Q104" i="2"/>
  <c r="Q81" i="2"/>
  <c r="Q93" i="2"/>
  <c r="Q105" i="2"/>
  <c r="Q82" i="2"/>
  <c r="Q84" i="2"/>
  <c r="Q96" i="2"/>
  <c r="Q95" i="2"/>
  <c r="Q85" i="2"/>
  <c r="Q97" i="2"/>
  <c r="Q86" i="2"/>
  <c r="Q98" i="2"/>
  <c r="Q89" i="2"/>
  <c r="Q107" i="2"/>
  <c r="Q87" i="2"/>
  <c r="Q99" i="2"/>
  <c r="Q94" i="2"/>
  <c r="Q88" i="2"/>
  <c r="Q100" i="2"/>
  <c r="Q83" i="2"/>
  <c r="Q101" i="2"/>
  <c r="Q78" i="2"/>
  <c r="Q90" i="2"/>
  <c r="Q102" i="2"/>
  <c r="Q79" i="2"/>
  <c r="Q91" i="2"/>
  <c r="Q103" i="2"/>
  <c r="Q106" i="2"/>
  <c r="G80" i="2"/>
  <c r="G92" i="2"/>
  <c r="G104" i="2"/>
  <c r="G81" i="2"/>
  <c r="G93" i="2"/>
  <c r="G82" i="2"/>
  <c r="G83" i="2"/>
  <c r="G84" i="2"/>
  <c r="G96" i="2"/>
  <c r="G77" i="2"/>
  <c r="G89" i="2"/>
  <c r="G95" i="2"/>
  <c r="G85" i="2"/>
  <c r="G97" i="2"/>
  <c r="G86" i="2"/>
  <c r="G98" i="2"/>
  <c r="G106" i="2"/>
  <c r="G87" i="2"/>
  <c r="G99" i="2"/>
  <c r="G91" i="2"/>
  <c r="G94" i="2"/>
  <c r="G88" i="2"/>
  <c r="G100" i="2"/>
  <c r="G101" i="2"/>
  <c r="G79" i="2"/>
  <c r="G105" i="2"/>
  <c r="G107" i="2"/>
  <c r="G78" i="2"/>
  <c r="G90" i="2"/>
  <c r="G102" i="2"/>
  <c r="G103" i="2"/>
  <c r="H86" i="2"/>
  <c r="H98" i="2"/>
  <c r="H78" i="2"/>
  <c r="H90" i="2"/>
  <c r="H102" i="2"/>
  <c r="H97" i="2"/>
  <c r="H100" i="2"/>
  <c r="H79" i="2"/>
  <c r="H91" i="2"/>
  <c r="H103" i="2"/>
  <c r="H99" i="2"/>
  <c r="H80" i="2"/>
  <c r="H92" i="2"/>
  <c r="H104" i="2"/>
  <c r="H107" i="2"/>
  <c r="H101" i="2"/>
  <c r="H81" i="2"/>
  <c r="H93" i="2"/>
  <c r="H105" i="2"/>
  <c r="H83" i="2"/>
  <c r="H82" i="2"/>
  <c r="H94" i="2"/>
  <c r="H106" i="2"/>
  <c r="H95" i="2"/>
  <c r="H87" i="2"/>
  <c r="H84" i="2"/>
  <c r="H96" i="2"/>
  <c r="H85" i="2"/>
  <c r="H88" i="2"/>
  <c r="H89" i="2"/>
  <c r="I72" i="2"/>
  <c r="I73" i="2"/>
  <c r="I74" i="2"/>
  <c r="I75" i="2"/>
  <c r="M72" i="2"/>
  <c r="M75" i="2"/>
  <c r="M73" i="2"/>
  <c r="M74" i="2"/>
  <c r="K72" i="2"/>
  <c r="K73" i="2"/>
  <c r="K74" i="2"/>
  <c r="K75" i="2"/>
  <c r="N75" i="2"/>
  <c r="N72" i="2"/>
  <c r="N73" i="2"/>
  <c r="N74" i="2"/>
  <c r="O75" i="2"/>
  <c r="O74" i="2"/>
  <c r="O72" i="2"/>
  <c r="O73" i="2"/>
  <c r="H72" i="2"/>
  <c r="H73" i="2"/>
  <c r="H74" i="2"/>
  <c r="H75" i="2"/>
  <c r="J72" i="2"/>
  <c r="J73" i="2"/>
  <c r="J74" i="2"/>
  <c r="J75" i="2"/>
  <c r="L72" i="2"/>
  <c r="L73" i="2"/>
  <c r="L75" i="2"/>
  <c r="L74" i="2"/>
  <c r="Q74" i="2"/>
  <c r="Q75" i="2"/>
  <c r="Q73" i="2"/>
  <c r="Q72" i="2"/>
  <c r="P74" i="2"/>
  <c r="P75" i="2"/>
  <c r="P73" i="2"/>
  <c r="P72" i="2"/>
  <c r="G58" i="2"/>
  <c r="G70" i="2"/>
  <c r="G59" i="2"/>
  <c r="G71" i="2"/>
  <c r="G60" i="2"/>
  <c r="G72" i="2"/>
  <c r="G49" i="2"/>
  <c r="G61" i="2"/>
  <c r="G73" i="2"/>
  <c r="G50" i="2"/>
  <c r="G62" i="2"/>
  <c r="G74" i="2"/>
  <c r="G51" i="2"/>
  <c r="G63" i="2"/>
  <c r="G75" i="2"/>
  <c r="G68" i="2"/>
  <c r="G52" i="2"/>
  <c r="G64" i="2"/>
  <c r="G56" i="2"/>
  <c r="G53" i="2"/>
  <c r="G65" i="2"/>
  <c r="G69" i="2"/>
  <c r="G54" i="2"/>
  <c r="G66" i="2"/>
  <c r="G55" i="2"/>
  <c r="G67" i="2"/>
  <c r="G57" i="2"/>
  <c r="I48" i="2"/>
  <c r="I60" i="2"/>
  <c r="I62" i="2"/>
  <c r="I49" i="2"/>
  <c r="I61" i="2"/>
  <c r="I63" i="2"/>
  <c r="I52" i="2"/>
  <c r="I64" i="2"/>
  <c r="I53" i="2"/>
  <c r="I65" i="2"/>
  <c r="I58" i="2"/>
  <c r="I50" i="2"/>
  <c r="I51" i="2"/>
  <c r="I54" i="2"/>
  <c r="I66" i="2"/>
  <c r="I67" i="2"/>
  <c r="I70" i="2"/>
  <c r="I59" i="2"/>
  <c r="I55" i="2"/>
  <c r="I56" i="2"/>
  <c r="I68" i="2"/>
  <c r="I57" i="2"/>
  <c r="I69" i="2"/>
  <c r="I71" i="2"/>
  <c r="H63" i="2"/>
  <c r="H49" i="2"/>
  <c r="H61" i="2"/>
  <c r="H50" i="2"/>
  <c r="H62" i="2"/>
  <c r="H53" i="2"/>
  <c r="H65" i="2"/>
  <c r="H54" i="2"/>
  <c r="H66" i="2"/>
  <c r="H71" i="2"/>
  <c r="H60" i="2"/>
  <c r="H64" i="2"/>
  <c r="H55" i="2"/>
  <c r="H67" i="2"/>
  <c r="H56" i="2"/>
  <c r="H58" i="2"/>
  <c r="H52" i="2"/>
  <c r="H68" i="2"/>
  <c r="H51" i="2"/>
  <c r="H57" i="2"/>
  <c r="H69" i="2"/>
  <c r="H70" i="2"/>
  <c r="H59" i="2"/>
  <c r="L48" i="2"/>
  <c r="L57" i="2"/>
  <c r="L69" i="2"/>
  <c r="L58" i="2"/>
  <c r="L70" i="2"/>
  <c r="L60" i="2"/>
  <c r="L49" i="2"/>
  <c r="L61" i="2"/>
  <c r="L50" i="2"/>
  <c r="L62" i="2"/>
  <c r="L67" i="2"/>
  <c r="L59" i="2"/>
  <c r="L51" i="2"/>
  <c r="L63" i="2"/>
  <c r="L64" i="2"/>
  <c r="L55" i="2"/>
  <c r="L71" i="2"/>
  <c r="L52" i="2"/>
  <c r="L53" i="2"/>
  <c r="L65" i="2"/>
  <c r="L54" i="2"/>
  <c r="L66" i="2"/>
  <c r="L56" i="2"/>
  <c r="L68" i="2"/>
  <c r="N48" i="2"/>
  <c r="N55" i="2"/>
  <c r="N67" i="2"/>
  <c r="N56" i="2"/>
  <c r="N68" i="2"/>
  <c r="N58" i="2"/>
  <c r="N70" i="2"/>
  <c r="N59" i="2"/>
  <c r="N71" i="2"/>
  <c r="N60" i="2"/>
  <c r="N65" i="2"/>
  <c r="N66" i="2"/>
  <c r="N57" i="2"/>
  <c r="N49" i="2"/>
  <c r="N61" i="2"/>
  <c r="N53" i="2"/>
  <c r="N69" i="2"/>
  <c r="N50" i="2"/>
  <c r="N62" i="2"/>
  <c r="N51" i="2"/>
  <c r="N63" i="2"/>
  <c r="N52" i="2"/>
  <c r="N64" i="2"/>
  <c r="N54" i="2"/>
  <c r="K48" i="2"/>
  <c r="K58" i="2"/>
  <c r="K70" i="2"/>
  <c r="K59" i="2"/>
  <c r="K71" i="2"/>
  <c r="K49" i="2"/>
  <c r="K61" i="2"/>
  <c r="K50" i="2"/>
  <c r="K62" i="2"/>
  <c r="K51" i="2"/>
  <c r="K63" i="2"/>
  <c r="K68" i="2"/>
  <c r="K52" i="2"/>
  <c r="K64" i="2"/>
  <c r="K60" i="2"/>
  <c r="K53" i="2"/>
  <c r="K65" i="2"/>
  <c r="K57" i="2"/>
  <c r="K54" i="2"/>
  <c r="K66" i="2"/>
  <c r="K55" i="2"/>
  <c r="K67" i="2"/>
  <c r="K56" i="2"/>
  <c r="K69" i="2"/>
  <c r="P48" i="2"/>
  <c r="P53" i="2"/>
  <c r="P65" i="2"/>
  <c r="P54" i="2"/>
  <c r="P66" i="2"/>
  <c r="P56" i="2"/>
  <c r="P68" i="2"/>
  <c r="P57" i="2"/>
  <c r="P69" i="2"/>
  <c r="P58" i="2"/>
  <c r="P70" i="2"/>
  <c r="P51" i="2"/>
  <c r="P63" i="2"/>
  <c r="P64" i="2"/>
  <c r="P55" i="2"/>
  <c r="P59" i="2"/>
  <c r="P71" i="2"/>
  <c r="P60" i="2"/>
  <c r="P67" i="2"/>
  <c r="P49" i="2"/>
  <c r="P61" i="2"/>
  <c r="P50" i="2"/>
  <c r="P62" i="2"/>
  <c r="P52" i="2"/>
  <c r="J48" i="2"/>
  <c r="J59" i="2"/>
  <c r="J71" i="2"/>
  <c r="J60" i="2"/>
  <c r="J61" i="2"/>
  <c r="J50" i="2"/>
  <c r="J62" i="2"/>
  <c r="J51" i="2"/>
  <c r="J63" i="2"/>
  <c r="J52" i="2"/>
  <c r="J64" i="2"/>
  <c r="J70" i="2"/>
  <c r="J53" i="2"/>
  <c r="J65" i="2"/>
  <c r="J56" i="2"/>
  <c r="J57" i="2"/>
  <c r="J49" i="2"/>
  <c r="J54" i="2"/>
  <c r="J66" i="2"/>
  <c r="J55" i="2"/>
  <c r="J67" i="2"/>
  <c r="J68" i="2"/>
  <c r="J69" i="2"/>
  <c r="J58" i="2"/>
  <c r="Q48" i="2"/>
  <c r="Q52" i="2"/>
  <c r="Q64" i="2"/>
  <c r="Q53" i="2"/>
  <c r="Q65" i="2"/>
  <c r="Q55" i="2"/>
  <c r="Q67" i="2"/>
  <c r="Q56" i="2"/>
  <c r="Q68" i="2"/>
  <c r="Q57" i="2"/>
  <c r="Q69" i="2"/>
  <c r="Q54" i="2"/>
  <c r="Q58" i="2"/>
  <c r="Q70" i="2"/>
  <c r="Q50" i="2"/>
  <c r="Q51" i="2"/>
  <c r="Q66" i="2"/>
  <c r="Q59" i="2"/>
  <c r="Q71" i="2"/>
  <c r="Q62" i="2"/>
  <c r="Q60" i="2"/>
  <c r="Q49" i="2"/>
  <c r="Q61" i="2"/>
  <c r="Q63" i="2"/>
  <c r="M48" i="2"/>
  <c r="M56" i="2"/>
  <c r="M68" i="2"/>
  <c r="M58" i="2"/>
  <c r="M57" i="2"/>
  <c r="M69" i="2"/>
  <c r="M70" i="2"/>
  <c r="M59" i="2"/>
  <c r="M71" i="2"/>
  <c r="M60" i="2"/>
  <c r="M49" i="2"/>
  <c r="M61" i="2"/>
  <c r="M66" i="2"/>
  <c r="M50" i="2"/>
  <c r="M62" i="2"/>
  <c r="M51" i="2"/>
  <c r="M63" i="2"/>
  <c r="M52" i="2"/>
  <c r="M64" i="2"/>
  <c r="M53" i="2"/>
  <c r="M65" i="2"/>
  <c r="M54" i="2"/>
  <c r="M55" i="2"/>
  <c r="M67" i="2"/>
  <c r="O48" i="2"/>
  <c r="O54" i="2"/>
  <c r="O66" i="2"/>
  <c r="O55" i="2"/>
  <c r="O67" i="2"/>
  <c r="O57" i="2"/>
  <c r="O69" i="2"/>
  <c r="O58" i="2"/>
  <c r="O70" i="2"/>
  <c r="O59" i="2"/>
  <c r="O71" i="2"/>
  <c r="O52" i="2"/>
  <c r="O56" i="2"/>
  <c r="O60" i="2"/>
  <c r="O51" i="2"/>
  <c r="O65" i="2"/>
  <c r="O68" i="2"/>
  <c r="O49" i="2"/>
  <c r="O61" i="2"/>
  <c r="O50" i="2"/>
  <c r="O62" i="2"/>
  <c r="O63" i="2"/>
  <c r="O64" i="2"/>
  <c r="O53" i="2"/>
  <c r="G48" i="2"/>
  <c r="H48" i="2"/>
  <c r="G25" i="2"/>
  <c r="G26" i="2"/>
  <c r="G29" i="2"/>
  <c r="G27" i="2"/>
  <c r="G28" i="2"/>
  <c r="Q36" i="2"/>
  <c r="Q37" i="2"/>
  <c r="Q38" i="2"/>
  <c r="Q45" i="2"/>
  <c r="Q46" i="2"/>
  <c r="Q39" i="2"/>
  <c r="Q44" i="2"/>
  <c r="Q33" i="2"/>
  <c r="Q40" i="2"/>
  <c r="Q41" i="2"/>
  <c r="Q42" i="2"/>
  <c r="Q43" i="2"/>
  <c r="Q34" i="2"/>
  <c r="Q35" i="2"/>
  <c r="P14" i="2"/>
  <c r="P22" i="2" s="1"/>
  <c r="L33" i="3"/>
  <c r="L11" i="3" s="1"/>
  <c r="K8" i="3"/>
  <c r="D25" i="3"/>
  <c r="D24" i="3"/>
  <c r="D23" i="3"/>
  <c r="E33" i="1" s="1"/>
  <c r="P8" i="3"/>
  <c r="I8" i="3"/>
  <c r="H8" i="3"/>
  <c r="L8" i="3"/>
  <c r="M8" i="3"/>
  <c r="N8" i="1"/>
  <c r="N31" i="1"/>
  <c r="Q32" i="2"/>
  <c r="L15" i="2"/>
  <c r="O15" i="2"/>
  <c r="F31" i="2"/>
  <c r="R15" i="2"/>
  <c r="L14" i="2"/>
  <c r="R14" i="2"/>
  <c r="N14" i="2"/>
  <c r="N22" i="2" s="1"/>
  <c r="O14" i="2"/>
  <c r="P77" i="2"/>
  <c r="I15" i="2"/>
  <c r="I22" i="2"/>
  <c r="J15" i="2"/>
  <c r="H22" i="2"/>
  <c r="K15" i="2"/>
  <c r="J8" i="3"/>
  <c r="N8" i="3"/>
  <c r="I77" i="2"/>
  <c r="Q77" i="2"/>
  <c r="J77" i="2"/>
  <c r="L77" i="2"/>
  <c r="K77" i="2"/>
  <c r="H6" i="2"/>
  <c r="M14" i="2"/>
  <c r="K14" i="2"/>
  <c r="J14" i="2"/>
  <c r="J22" i="2" s="1"/>
  <c r="Q14" i="2"/>
  <c r="M15" i="2"/>
  <c r="M77" i="2"/>
  <c r="N15" i="2"/>
  <c r="N77" i="2"/>
  <c r="H15" i="2"/>
  <c r="P15" i="2"/>
  <c r="H77" i="2"/>
  <c r="E9" i="1" l="1"/>
  <c r="E6" i="1" s="1"/>
  <c r="R23" i="2"/>
  <c r="R22" i="2"/>
  <c r="F9" i="3"/>
  <c r="Q12" i="3"/>
  <c r="H12" i="3"/>
  <c r="I12" i="3"/>
  <c r="J12" i="3"/>
  <c r="K12" i="3"/>
  <c r="L12" i="3"/>
  <c r="M12" i="3"/>
  <c r="N12" i="3"/>
  <c r="O12" i="3"/>
  <c r="P12" i="3"/>
  <c r="G12" i="3"/>
  <c r="G9" i="3" s="1"/>
  <c r="R13" i="2"/>
  <c r="R7" i="2" s="1"/>
  <c r="P7" i="1" s="1"/>
  <c r="I31" i="1"/>
  <c r="L22" i="2"/>
  <c r="L13" i="2"/>
  <c r="L7" i="2" s="1"/>
  <c r="J7" i="1" s="1"/>
  <c r="G33" i="2"/>
  <c r="R39" i="2"/>
  <c r="R40" i="2"/>
  <c r="R33" i="2"/>
  <c r="R35" i="2"/>
  <c r="R41" i="2"/>
  <c r="R46" i="2"/>
  <c r="R42" i="2"/>
  <c r="R45" i="2"/>
  <c r="R43" i="2"/>
  <c r="R44" i="2"/>
  <c r="R34" i="2"/>
  <c r="R36" i="2"/>
  <c r="R37" i="2"/>
  <c r="R38" i="2"/>
  <c r="O44" i="2"/>
  <c r="O33" i="2"/>
  <c r="O45" i="2"/>
  <c r="O34" i="2"/>
  <c r="O46" i="2"/>
  <c r="O43" i="2"/>
  <c r="O35" i="2"/>
  <c r="O39" i="2"/>
  <c r="O41" i="2"/>
  <c r="O42" i="2"/>
  <c r="O36" i="2"/>
  <c r="O37" i="2"/>
  <c r="O38" i="2"/>
  <c r="O40" i="2"/>
  <c r="L38" i="2"/>
  <c r="L39" i="2"/>
  <c r="L40" i="2"/>
  <c r="L41" i="2"/>
  <c r="L34" i="2"/>
  <c r="L36" i="2"/>
  <c r="L37" i="2"/>
  <c r="L42" i="2"/>
  <c r="L43" i="2"/>
  <c r="L44" i="2"/>
  <c r="L33" i="2"/>
  <c r="L45" i="2"/>
  <c r="L46" i="2"/>
  <c r="L35" i="2"/>
  <c r="I37" i="2"/>
  <c r="I38" i="2"/>
  <c r="I39" i="2"/>
  <c r="I36" i="2"/>
  <c r="I40" i="2"/>
  <c r="I41" i="2"/>
  <c r="I45" i="2"/>
  <c r="I46" i="2"/>
  <c r="I35" i="2"/>
  <c r="I42" i="2"/>
  <c r="I43" i="2"/>
  <c r="I44" i="2"/>
  <c r="I33" i="2"/>
  <c r="I34" i="2"/>
  <c r="G42" i="2"/>
  <c r="G46" i="2"/>
  <c r="G43" i="2"/>
  <c r="G44" i="2"/>
  <c r="G45" i="2"/>
  <c r="G34" i="2"/>
  <c r="G35" i="2"/>
  <c r="G37" i="2"/>
  <c r="G39" i="2"/>
  <c r="G40" i="2"/>
  <c r="G36" i="2"/>
  <c r="G38" i="2"/>
  <c r="G41" i="2"/>
  <c r="P33" i="2"/>
  <c r="P34" i="2"/>
  <c r="P46" i="2"/>
  <c r="P35" i="2"/>
  <c r="P36" i="2"/>
  <c r="P45" i="2"/>
  <c r="P37" i="2"/>
  <c r="P42" i="2"/>
  <c r="P38" i="2"/>
  <c r="P41" i="2"/>
  <c r="P43" i="2"/>
  <c r="P39" i="2"/>
  <c r="P40" i="2"/>
  <c r="P44" i="2"/>
  <c r="H35" i="2"/>
  <c r="H36" i="2"/>
  <c r="H32" i="2"/>
  <c r="H37" i="2"/>
  <c r="H38" i="2"/>
  <c r="H39" i="2"/>
  <c r="H42" i="2"/>
  <c r="H45" i="2"/>
  <c r="H34" i="2"/>
  <c r="H40" i="2"/>
  <c r="H41" i="2"/>
  <c r="H43" i="2"/>
  <c r="H44" i="2"/>
  <c r="H33" i="2"/>
  <c r="H46" i="2"/>
  <c r="N42" i="2"/>
  <c r="N43" i="2"/>
  <c r="N44" i="2"/>
  <c r="N33" i="2"/>
  <c r="N45" i="2"/>
  <c r="N46" i="2"/>
  <c r="N38" i="2"/>
  <c r="N34" i="2"/>
  <c r="N35" i="2"/>
  <c r="N36" i="2"/>
  <c r="N37" i="2"/>
  <c r="N39" i="2"/>
  <c r="N40" i="2"/>
  <c r="N41" i="2"/>
  <c r="K32" i="2"/>
  <c r="K36" i="2"/>
  <c r="K37" i="2"/>
  <c r="K38" i="2"/>
  <c r="K39" i="2"/>
  <c r="K40" i="2"/>
  <c r="K43" i="2"/>
  <c r="K33" i="2"/>
  <c r="K46" i="2"/>
  <c r="K41" i="2"/>
  <c r="K42" i="2"/>
  <c r="K44" i="2"/>
  <c r="K45" i="2"/>
  <c r="K34" i="2"/>
  <c r="K35" i="2"/>
  <c r="J38" i="2"/>
  <c r="J39" i="2"/>
  <c r="J40" i="2"/>
  <c r="J36" i="2"/>
  <c r="J41" i="2"/>
  <c r="J42" i="2"/>
  <c r="J44" i="2"/>
  <c r="J45" i="2"/>
  <c r="J34" i="2"/>
  <c r="J35" i="2"/>
  <c r="J43" i="2"/>
  <c r="J46" i="2"/>
  <c r="J33" i="2"/>
  <c r="J37" i="2"/>
  <c r="M40" i="2"/>
  <c r="M41" i="2"/>
  <c r="M42" i="2"/>
  <c r="M43" i="2"/>
  <c r="M35" i="2"/>
  <c r="M37" i="2"/>
  <c r="M39" i="2"/>
  <c r="M44" i="2"/>
  <c r="M33" i="2"/>
  <c r="M45" i="2"/>
  <c r="M34" i="2"/>
  <c r="M46" i="2"/>
  <c r="M36" i="2"/>
  <c r="M38" i="2"/>
  <c r="I13" i="2"/>
  <c r="I7" i="2" s="1"/>
  <c r="G7" i="1" s="1"/>
  <c r="N10" i="2"/>
  <c r="L32" i="1" s="1"/>
  <c r="J24" i="2"/>
  <c r="J25" i="2"/>
  <c r="J28" i="2"/>
  <c r="J26" i="2"/>
  <c r="J27" i="2"/>
  <c r="J29" i="2"/>
  <c r="J30" i="2"/>
  <c r="J23" i="2"/>
  <c r="L23" i="2"/>
  <c r="L26" i="2"/>
  <c r="L24" i="2"/>
  <c r="L25" i="2"/>
  <c r="L27" i="2"/>
  <c r="L28" i="2"/>
  <c r="L29" i="2"/>
  <c r="L30" i="2"/>
  <c r="O28" i="2"/>
  <c r="O29" i="2"/>
  <c r="O30" i="2"/>
  <c r="O23" i="2"/>
  <c r="O24" i="2"/>
  <c r="O25" i="2"/>
  <c r="O26" i="2"/>
  <c r="O27" i="2"/>
  <c r="K26" i="2"/>
  <c r="K27" i="2"/>
  <c r="K30" i="2"/>
  <c r="K28" i="2"/>
  <c r="K29" i="2"/>
  <c r="K23" i="2"/>
  <c r="K25" i="2"/>
  <c r="K24" i="2"/>
  <c r="I28" i="2"/>
  <c r="I29" i="2"/>
  <c r="I24" i="2"/>
  <c r="I30" i="2"/>
  <c r="I23" i="2"/>
  <c r="I25" i="2"/>
  <c r="I26" i="2"/>
  <c r="I27" i="2"/>
  <c r="M24" i="2"/>
  <c r="M23" i="2"/>
  <c r="M25" i="2"/>
  <c r="M26" i="2"/>
  <c r="M27" i="2"/>
  <c r="M28" i="2"/>
  <c r="M29" i="2"/>
  <c r="M30" i="2"/>
  <c r="N30" i="2"/>
  <c r="N23" i="2"/>
  <c r="N24" i="2"/>
  <c r="N25" i="2"/>
  <c r="N26" i="2"/>
  <c r="N27" i="2"/>
  <c r="N28" i="2"/>
  <c r="N29" i="2"/>
  <c r="R24" i="2"/>
  <c r="R25" i="2"/>
  <c r="R26" i="2"/>
  <c r="R27" i="2"/>
  <c r="R28" i="2"/>
  <c r="R29" i="2"/>
  <c r="R30" i="2"/>
  <c r="H30" i="2"/>
  <c r="H23" i="2"/>
  <c r="H24" i="2"/>
  <c r="H25" i="2"/>
  <c r="H26" i="2"/>
  <c r="H27" i="2"/>
  <c r="H28" i="2"/>
  <c r="H29" i="2"/>
  <c r="Q24" i="2"/>
  <c r="Q25" i="2"/>
  <c r="Q28" i="2"/>
  <c r="Q26" i="2"/>
  <c r="Q27" i="2"/>
  <c r="Q29" i="2"/>
  <c r="Q30" i="2"/>
  <c r="Q23" i="2"/>
  <c r="P26" i="2"/>
  <c r="P27" i="2"/>
  <c r="P30" i="2"/>
  <c r="P28" i="2"/>
  <c r="P29" i="2"/>
  <c r="P23" i="2"/>
  <c r="P24" i="2"/>
  <c r="P25" i="2"/>
  <c r="L10" i="2"/>
  <c r="J32" i="1" s="1"/>
  <c r="L32" i="2"/>
  <c r="I32" i="2"/>
  <c r="I10" i="3"/>
  <c r="P8" i="1"/>
  <c r="K8" i="1"/>
  <c r="J8" i="1"/>
  <c r="O11" i="3"/>
  <c r="H8" i="1"/>
  <c r="L8" i="1"/>
  <c r="I8" i="1"/>
  <c r="G8" i="1"/>
  <c r="O8" i="1"/>
  <c r="K31" i="1"/>
  <c r="Q10" i="3"/>
  <c r="P30" i="1"/>
  <c r="K10" i="3"/>
  <c r="J30" i="1"/>
  <c r="P10" i="3"/>
  <c r="O30" i="1"/>
  <c r="L10" i="3"/>
  <c r="K30" i="1"/>
  <c r="H10" i="3"/>
  <c r="G30" i="1"/>
  <c r="J10" i="3"/>
  <c r="I30" i="1"/>
  <c r="O10" i="3"/>
  <c r="N30" i="1"/>
  <c r="F30" i="1"/>
  <c r="M10" i="3"/>
  <c r="L30" i="1"/>
  <c r="N10" i="3"/>
  <c r="M30" i="1"/>
  <c r="H13" i="2"/>
  <c r="H7" i="2" s="1"/>
  <c r="F7" i="1" s="1"/>
  <c r="O13" i="2"/>
  <c r="O7" i="2" s="1"/>
  <c r="M7" i="1" s="1"/>
  <c r="O22" i="2"/>
  <c r="J32" i="2"/>
  <c r="O32" i="2"/>
  <c r="R10" i="2"/>
  <c r="P32" i="1" s="1"/>
  <c r="O10" i="2"/>
  <c r="M32" i="1" s="1"/>
  <c r="R32" i="2"/>
  <c r="I10" i="2"/>
  <c r="G32" i="1" s="1"/>
  <c r="H10" i="2"/>
  <c r="F32" i="1" s="1"/>
  <c r="M8" i="1"/>
  <c r="F8" i="1"/>
  <c r="M22" i="2"/>
  <c r="M13" i="2"/>
  <c r="M7" i="2" s="1"/>
  <c r="K7" i="1" s="1"/>
  <c r="M10" i="2"/>
  <c r="K32" i="1" s="1"/>
  <c r="Q22" i="2"/>
  <c r="Q10" i="2"/>
  <c r="O32" i="1" s="1"/>
  <c r="Q13" i="2"/>
  <c r="Q7" i="2" s="1"/>
  <c r="O7" i="1" s="1"/>
  <c r="H5" i="3"/>
  <c r="N32" i="2"/>
  <c r="N13" i="2"/>
  <c r="N7" i="2" s="1"/>
  <c r="L7" i="1" s="1"/>
  <c r="M32" i="2"/>
  <c r="J13" i="2"/>
  <c r="J7" i="2" s="1"/>
  <c r="H7" i="1" s="1"/>
  <c r="J10" i="2"/>
  <c r="H32" i="1" s="1"/>
  <c r="P32" i="2"/>
  <c r="P10" i="2"/>
  <c r="N32" i="1" s="1"/>
  <c r="K10" i="2"/>
  <c r="I32" i="1" s="1"/>
  <c r="K13" i="2"/>
  <c r="K7" i="2" s="1"/>
  <c r="I7" i="1" s="1"/>
  <c r="K22" i="2"/>
  <c r="P13" i="2"/>
  <c r="P7" i="2" s="1"/>
  <c r="N7" i="1" s="1"/>
  <c r="N9" i="1" s="1"/>
  <c r="N6" i="1" s="1"/>
  <c r="I6" i="2"/>
  <c r="I5" i="2"/>
  <c r="R31" i="1" l="1"/>
  <c r="R8" i="1"/>
  <c r="R7" i="1"/>
  <c r="G9" i="2"/>
  <c r="E29" i="1" s="1"/>
  <c r="E28" i="1" s="1"/>
  <c r="R32" i="1"/>
  <c r="O3" i="3"/>
  <c r="L20" i="2"/>
  <c r="L9" i="2" s="1"/>
  <c r="L8" i="2" s="1"/>
  <c r="O20" i="2"/>
  <c r="O9" i="2" s="1"/>
  <c r="M29" i="1" s="1"/>
  <c r="F9" i="1"/>
  <c r="G9" i="1"/>
  <c r="G6" i="1" s="1"/>
  <c r="P9" i="1"/>
  <c r="P6" i="1" s="1"/>
  <c r="O9" i="1"/>
  <c r="O6" i="1" s="1"/>
  <c r="L9" i="1"/>
  <c r="L6" i="1" s="1"/>
  <c r="H9" i="1"/>
  <c r="H6" i="1" s="1"/>
  <c r="M9" i="1"/>
  <c r="M6" i="1" s="1"/>
  <c r="J9" i="1"/>
  <c r="J6" i="1" s="1"/>
  <c r="K9" i="1"/>
  <c r="K6" i="1" s="1"/>
  <c r="I9" i="1"/>
  <c r="I6" i="1" s="1"/>
  <c r="P9" i="3"/>
  <c r="O33" i="1"/>
  <c r="L9" i="3"/>
  <c r="K33" i="1"/>
  <c r="M9" i="3"/>
  <c r="L33" i="1"/>
  <c r="N9" i="3"/>
  <c r="M33" i="1"/>
  <c r="O9" i="3"/>
  <c r="N33" i="1"/>
  <c r="K9" i="3"/>
  <c r="J33" i="1"/>
  <c r="F33" i="1"/>
  <c r="I9" i="3"/>
  <c r="H33" i="1"/>
  <c r="J9" i="3"/>
  <c r="I33" i="1"/>
  <c r="Q9" i="3"/>
  <c r="P33" i="1"/>
  <c r="H9" i="3"/>
  <c r="G33" i="1"/>
  <c r="I20" i="2"/>
  <c r="I9" i="2" s="1"/>
  <c r="R20" i="2"/>
  <c r="R9" i="2" s="1"/>
  <c r="P20" i="2"/>
  <c r="P9" i="2" s="1"/>
  <c r="N20" i="2"/>
  <c r="N9" i="2" s="1"/>
  <c r="Q20" i="2"/>
  <c r="Q9" i="2" s="1"/>
  <c r="K20" i="2"/>
  <c r="K9" i="2" s="1"/>
  <c r="I5" i="3"/>
  <c r="I6" i="3"/>
  <c r="J5" i="2"/>
  <c r="J6" i="2"/>
  <c r="M20" i="2"/>
  <c r="M9" i="2" s="1"/>
  <c r="J20" i="2"/>
  <c r="J9" i="2" s="1"/>
  <c r="H20" i="2"/>
  <c r="H9" i="2" s="1"/>
  <c r="R33" i="1" l="1"/>
  <c r="F6" i="1"/>
  <c r="R9" i="1"/>
  <c r="P3" i="3"/>
  <c r="I3" i="3"/>
  <c r="H3" i="3"/>
  <c r="L3" i="3"/>
  <c r="M3" i="3"/>
  <c r="J3" i="3"/>
  <c r="K3" i="3"/>
  <c r="Q3" i="3"/>
  <c r="N3" i="3"/>
  <c r="G8" i="2"/>
  <c r="J29" i="1"/>
  <c r="J28" i="1" s="1"/>
  <c r="O8" i="2"/>
  <c r="M28" i="1"/>
  <c r="R8" i="2"/>
  <c r="P29" i="1"/>
  <c r="P28" i="1" s="1"/>
  <c r="H8" i="2"/>
  <c r="F29" i="1"/>
  <c r="F28" i="1" s="1"/>
  <c r="I8" i="2"/>
  <c r="G29" i="1"/>
  <c r="G28" i="1" s="1"/>
  <c r="P8" i="2"/>
  <c r="N29" i="1"/>
  <c r="N28" i="1" s="1"/>
  <c r="J8" i="2"/>
  <c r="H29" i="1"/>
  <c r="H28" i="1" s="1"/>
  <c r="M8" i="2"/>
  <c r="K29" i="1"/>
  <c r="K28" i="1" s="1"/>
  <c r="N8" i="2"/>
  <c r="L29" i="1"/>
  <c r="L28" i="1" s="1"/>
  <c r="Q8" i="2"/>
  <c r="O29" i="1"/>
  <c r="O28" i="1" s="1"/>
  <c r="K8" i="2"/>
  <c r="I29" i="1"/>
  <c r="I28" i="1" s="1"/>
  <c r="K6" i="2"/>
  <c r="K5" i="2"/>
  <c r="J6" i="3"/>
  <c r="J5" i="3"/>
  <c r="G3" i="3" l="1"/>
  <c r="F3" i="3"/>
  <c r="L6" i="2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<sst xmlns="http://schemas.openxmlformats.org/spreadsheetml/2006/main" count="408" uniqueCount="191">
  <si>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</si>
  <si>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</si>
  <si>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</si>
  <si>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</si>
  <si>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</si>
  <si>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</si>
  <si>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</si>
  <si>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</si>
  <si>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</si>
  <si>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</si>
  <si>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</si>
  <si>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</si>
  <si>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</si>
  <si>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</si>
  <si>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</si>
  <si>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</si>
  <si>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</si>
  <si>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</si>
  <si>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</si>
  <si>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</si>
  <si>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</si>
  <si>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</si>
  <si>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</si>
  <si>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</si>
  <si>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</si>
  <si>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</si>
  <si>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</si>
  <si>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</si>
  <si>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</si>
  <si>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</si>
  <si>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</si>
  <si>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</si>
  <si>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</si>
  <si>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</si>
  <si>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</si>
  <si>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</si>
  <si>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</si>
  <si>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</si>
  <si>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</si>
  <si>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</si>
  <si>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</si>
  <si>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</si>
  <si>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</si>
  <si>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</si>
  <si>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</si>
  <si>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</si>
  <si>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</si>
  <si>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</si>
  <si>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</si>
  <si>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</si>
  <si>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</si>
  <si>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</si>
  <si>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Каталожный номер</t>
  </si>
  <si>
    <t>стоимость за ед., $</t>
  </si>
  <si>
    <t>Кол-во</t>
  </si>
  <si>
    <t>$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</si>
  <si>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</si>
  <si>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</si>
  <si>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</si>
  <si>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</si>
  <si>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</si>
  <si>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</si>
  <si>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</si>
  <si>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</si>
  <si>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</si>
  <si>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</si>
  <si>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</si>
  <si>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</si>
  <si>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</si>
  <si>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</si>
  <si>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</si>
  <si>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</si>
  <si>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</si>
  <si>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</si>
  <si>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</si>
  <si>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</si>
  <si>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</si>
  <si>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</si>
  <si>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</si>
  <si>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</si>
  <si>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</si>
  <si>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</si>
  <si>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</si>
  <si>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</si>
  <si>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</si>
  <si>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</si>
  <si>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</si>
  <si>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</si>
  <si>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</si>
  <si>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</si>
  <si>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</si>
  <si>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Силовой модуль</t>
  </si>
  <si>
    <t>Гидравлика</t>
  </si>
  <si>
    <t>Мачта и система подачи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</si>
  <si>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</si>
  <si>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</si>
  <si>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</si>
  <si>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</si>
  <si>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</si>
  <si>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</si>
  <si>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</si>
  <si>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</si>
  <si>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</si>
  <si>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</si>
  <si>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</si>
  <si>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</si>
  <si>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ремонт-1</t>
  </si>
  <si>
    <t>ремонт-2</t>
  </si>
  <si>
    <t>ремонт-3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</si>
  <si>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</si>
  <si>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</si>
  <si>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</si>
  <si>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</si>
  <si>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</si>
  <si>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</si>
  <si>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фильтр масла ДВС</t>
  </si>
  <si>
    <t>фильтр сепаратор топлива</t>
  </si>
  <si>
    <t>топливный фильтр</t>
  </si>
  <si>
    <t>внешний воздушный фильтр ДВС</t>
  </si>
  <si>
    <t>воздушный фильтр предварительный ДВС</t>
  </si>
  <si>
    <t xml:space="preserve">фильтрующий элемент пилотной линии </t>
  </si>
  <si>
    <t>внешний воздушный фильтр компрессорной установки</t>
  </si>
  <si>
    <t>423-8521</t>
  </si>
  <si>
    <t>1R-0755</t>
  </si>
  <si>
    <t>730401000343</t>
  </si>
  <si>
    <t>100.01.00001</t>
  </si>
  <si>
    <t>масло ДВС</t>
  </si>
  <si>
    <t>масляный фильтр компрессора</t>
  </si>
  <si>
    <t>фильтр воздушный внутренний ДВС</t>
  </si>
  <si>
    <t>фильтр воздушный внутренний (компрессорная установка)</t>
  </si>
  <si>
    <t>пластина скольжения вращателя</t>
  </si>
  <si>
    <t>пластина скольжения боковая</t>
  </si>
  <si>
    <t>фильтр салона внешний</t>
  </si>
  <si>
    <t>возвратный фильтр гидравлики</t>
  </si>
  <si>
    <t>ремень привода кондиционера</t>
  </si>
  <si>
    <t>ремень генератора</t>
  </si>
  <si>
    <t xml:space="preserve">фильтр высокого давления </t>
  </si>
  <si>
    <t>фильтр сепаратор ресивера (компрессор)</t>
  </si>
  <si>
    <t>фильтр бункера пылеуловителя</t>
  </si>
  <si>
    <t>вкладыш опоры штанги</t>
  </si>
  <si>
    <t xml:space="preserve"> 801I96020600</t>
  </si>
  <si>
    <t>730403000380</t>
  </si>
  <si>
    <t xml:space="preserve">305080000046.S2 </t>
  </si>
  <si>
    <t>305080000045.S2</t>
  </si>
  <si>
    <t>возвратный фильтр гидравлики (RETURN OIL FILTER)</t>
  </si>
  <si>
    <t xml:space="preserve"> фиксатор буровой штанги</t>
  </si>
  <si>
    <t>вкладыш гидравлического ключа</t>
  </si>
  <si>
    <t>абразивный рукав</t>
  </si>
  <si>
    <t>масло гидравлическое</t>
  </si>
  <si>
    <t>охлаждающая жидкость</t>
  </si>
  <si>
    <t>масло трансмиссионное</t>
  </si>
  <si>
    <t>масло компрессора</t>
  </si>
  <si>
    <t>100.01.00005</t>
  </si>
  <si>
    <t>100.01.00007</t>
  </si>
  <si>
    <t>100.01.00002</t>
  </si>
  <si>
    <t>100.01.00006</t>
  </si>
  <si>
    <t>Гусеничная лента</t>
  </si>
  <si>
    <t>Ведущая звездочка</t>
  </si>
  <si>
    <t>Болт</t>
  </si>
  <si>
    <t>Бортовой редуктор</t>
  </si>
  <si>
    <t>Направляющее колесо</t>
  </si>
  <si>
    <t>Натяжное устройство</t>
  </si>
  <si>
    <t>Шайба</t>
  </si>
  <si>
    <t>Опорный ролик</t>
  </si>
  <si>
    <t>Sunward SWDRT250SM</t>
  </si>
  <si>
    <t>CAT C27</t>
  </si>
  <si>
    <t>597/2100 л.с</t>
  </si>
  <si>
    <t>11,8 kNm</t>
  </si>
  <si>
    <t>0~160</t>
  </si>
  <si>
    <t xml:space="preserve">53 м3/мин </t>
  </si>
  <si>
    <t>не предусмотрено</t>
  </si>
  <si>
    <t>200/250</t>
  </si>
  <si>
    <t>90 (при частоте вращения 120 об/смин, мощность составит 140квт)</t>
  </si>
  <si>
    <t>гидромотор вращателя</t>
  </si>
  <si>
    <t>прокладка гидромотора вращателя</t>
  </si>
  <si>
    <t>винтовой блок</t>
  </si>
  <si>
    <t>капитальный ремонт двс</t>
  </si>
  <si>
    <t>Редуктор привода насосов</t>
  </si>
  <si>
    <t>Насос</t>
  </si>
  <si>
    <t>Гидроцилиндр горизонтирования</t>
  </si>
  <si>
    <t>Гидроцилиндра подачи</t>
  </si>
  <si>
    <t>Зажимной гидроцилиндр</t>
  </si>
  <si>
    <t>Гидроцилиндр подъема мачты</t>
  </si>
  <si>
    <t>Ремонт металлоконструкций мачты</t>
  </si>
  <si>
    <t>Ремонт металлоконструкций(сварка)</t>
  </si>
  <si>
    <t>кг./м.п.</t>
  </si>
  <si>
    <t>2,2 кг./м.п.</t>
  </si>
  <si>
    <t>см. ТКП</t>
  </si>
  <si>
    <t>адаптер вращателя</t>
  </si>
  <si>
    <t>адаптер долото</t>
  </si>
  <si>
    <t>центрирующая втулка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</si>
</sst>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41" formatCode="_-* #,##0_-;\-* #,##0_-;_-* &quot;-&quot;_-;_-@_-"/>
    <numFmt numFmtId="43" formatCode="_-* #,##0.00_-;\-* #,##0.00_-;_-* &quot;-&quot;??_-;_-@_-"/>
    <numFmt numFmtId="164" formatCode="_-* #,##0.00_р_._-;\-* #,##0.00_р_._-;_-* &quot;-&quot;??_р_._-;_-@_-"/>
    <numFmt numFmtId="165" formatCode="_-* #,##0_р_._-;\-* #,##0_р_._-;_-* &quot;-&quot;??_р_._-;_-@_-"/>
    <numFmt numFmtId="166" formatCode="_-[$€-2]\ * #,##0_-;\-[$€-2]\ * #,##0_-;_-[$€-2]\ * &quot;-&quot;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[$$-409]#,##0"/>
    <numFmt numFmtId="251" formatCode="_-* #,##0_-;\-* #,##0_-;_-* &quot;-&quot;??_-;_-@_-"/>
    <numFmt numFmtId="252" formatCode="0.00_ ;[Red]\-0.00\ "/>
    <numFmt numFmtId="253" formatCode="_-* #,##0.00_-;\-* #,##0.00_-;_-* &quot;-&quot;_-;_-@_-"/>
    <numFmt numFmtId="254" formatCode="_-* #,##0.00\ _₽_-;\-* #,##0.00\ _₽_-;_-* &quot;-&quot;??\ _₽_-;_-@_-"/>
  </numFmts>
  <fonts count="17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878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4" fontId="57" fillId="0" borderId="0" applyFont="0" applyFill="0" applyBorder="0" applyAlignment="0" applyProtection="0"/>
    <xf numFmtId="164" fontId="58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6" fontId="118" fillId="0" borderId="0"/>
    <xf numFmtId="226" fontId="118" fillId="0" borderId="0"/>
    <xf numFmtId="0" fontId="4" fillId="0" borderId="0"/>
    <xf numFmtId="170" fontId="119" fillId="0" borderId="0"/>
    <xf numFmtId="0" fontId="120" fillId="0" borderId="0"/>
    <xf numFmtId="0" fontId="4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4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4" fillId="0" borderId="0"/>
    <xf numFmtId="226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4" fillId="0" borderId="0"/>
    <xf numFmtId="226" fontId="4" fillId="0" borderId="0"/>
    <xf numFmtId="0" fontId="148" fillId="0" borderId="0" applyNumberFormat="0" applyFill="0" applyBorder="0" applyAlignment="0" applyProtection="0"/>
    <xf numFmtId="226" fontId="4" fillId="0" borderId="0"/>
    <xf numFmtId="226" fontId="4" fillId="0" borderId="0"/>
    <xf numFmtId="226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6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4" fillId="0" borderId="0"/>
    <xf numFmtId="226" fontId="4" fillId="0" borderId="0"/>
    <xf numFmtId="0" fontId="161" fillId="0" borderId="0"/>
    <xf numFmtId="0" fontId="162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6" fontId="4" fillId="0" borderId="0"/>
    <xf numFmtId="226" fontId="4" fillId="0" borderId="0"/>
    <xf numFmtId="0" fontId="17" fillId="0" borderId="0"/>
    <xf numFmtId="226" fontId="4" fillId="0" borderId="0"/>
    <xf numFmtId="0" fontId="4" fillId="0" borderId="0"/>
    <xf numFmtId="0" fontId="7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0" fontId="162" fillId="0" borderId="0"/>
    <xf numFmtId="226" fontId="4" fillId="0" borderId="0"/>
    <xf numFmtId="0" fontId="4" fillId="0" borderId="0"/>
    <xf numFmtId="0" fontId="64" fillId="0" borderId="0"/>
    <xf numFmtId="226" fontId="4" fillId="0" borderId="0"/>
    <xf numFmtId="226" fontId="4" fillId="0" borderId="0"/>
    <xf numFmtId="0" fontId="4" fillId="0" borderId="0"/>
    <xf numFmtId="0" fontId="7" fillId="0" borderId="0"/>
    <xf numFmtId="0" fontId="3" fillId="0" borderId="0"/>
    <xf numFmtId="169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226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170" fontId="160" fillId="0" borderId="0"/>
    <xf numFmtId="0" fontId="7" fillId="0" borderId="0"/>
    <xf numFmtId="0" fontId="7" fillId="0" borderId="0"/>
    <xf numFmtId="226" fontId="4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226" fontId="4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4" fillId="0" borderId="0"/>
    <xf numFmtId="169" fontId="121" fillId="0" borderId="0"/>
    <xf numFmtId="169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69" fontId="4" fillId="0" borderId="0"/>
    <xf numFmtId="0" fontId="164" fillId="0" borderId="0"/>
    <xf numFmtId="0" fontId="4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6" fontId="4" fillId="0" borderId="0"/>
    <xf numFmtId="0" fontId="4" fillId="0" borderId="0"/>
    <xf numFmtId="169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47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16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" fillId="0" borderId="0"/>
    <xf numFmtId="0" fontId="7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0" fontId="7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226" fontId="4" fillId="0" borderId="0"/>
    <xf numFmtId="0" fontId="31" fillId="0" borderId="0"/>
    <xf numFmtId="226" fontId="4" fillId="0" borderId="0"/>
    <xf numFmtId="0" fontId="4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69" fontId="4" fillId="0" borderId="0"/>
    <xf numFmtId="0" fontId="3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69" fontId="4" fillId="0" borderId="0"/>
    <xf numFmtId="169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69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169" fontId="4" fillId="0" borderId="0"/>
    <xf numFmtId="169" fontId="4" fillId="0" borderId="0"/>
    <xf numFmtId="169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4" fillId="0" borderId="0"/>
    <xf numFmtId="226" fontId="4" fillId="0" borderId="0"/>
    <xf numFmtId="9" fontId="7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6" fontId="4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4" fillId="0" borderId="0">
      <alignment vertical="justify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4" fontId="31" fillId="0" borderId="0" applyFont="0" applyFill="0" applyBorder="0" applyAlignment="0" applyProtection="0"/>
    <xf numFmtId="226" fontId="4" fillId="0" borderId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0" fontId="7" fillId="0" borderId="0"/>
    <xf numFmtId="164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20" fillId="0" borderId="0"/>
  </cellStyleXfs>
  <cellXfs count="261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5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67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7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67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250" fontId="7" fillId="82" borderId="58" xfId="3" applyNumberFormat="1" applyFont="1" applyFill="1" applyBorder="1" applyAlignment="1">
      <alignment horizontal="center" vertical="center" wrapText="1"/>
    </xf>
    <xf numFmtId="167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250" fontId="7" fillId="0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250" fontId="7" fillId="82" borderId="41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0" fontId="7" fillId="0" borderId="40" xfId="1" applyFont="1" applyFill="1" applyBorder="1" applyAlignment="1">
      <alignment vertical="center"/>
    </xf>
    <xf numFmtId="0" fontId="8" fillId="82" borderId="40" xfId="1" applyFont="1" applyFill="1" applyBorder="1" applyAlignment="1">
      <alignment horizontal="center" vertical="center" wrapText="1"/>
    </xf>
    <xf numFmtId="167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67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67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3" fontId="7" fillId="0" borderId="62" xfId="1" applyNumberFormat="1" applyFont="1" applyFill="1" applyBorder="1" applyAlignment="1">
      <alignment horizontal="center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167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4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7" fillId="0" borderId="62" xfId="1" applyFont="1" applyFill="1" applyBorder="1" applyAlignment="1">
      <alignment vertical="center"/>
    </xf>
    <xf numFmtId="0" fontId="7" fillId="0" borderId="53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right" vertical="center" wrapText="1"/>
    </xf>
    <xf numFmtId="0" fontId="170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vertical="center"/>
    </xf>
    <xf numFmtId="1" fontId="9" fillId="0" borderId="55" xfId="3" applyNumberFormat="1" applyFont="1" applyFill="1" applyBorder="1" applyAlignment="1">
      <alignment horizontal="right" vertical="center" wrapText="1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67" fontId="7" fillId="0" borderId="62" xfId="1" applyNumberFormat="1" applyFont="1" applyFill="1" applyBorder="1" applyAlignment="1">
      <alignment horizontal="center" vertical="center"/>
    </xf>
    <xf numFmtId="1" fontId="8" fillId="0" borderId="40" xfId="3" applyNumberFormat="1" applyFont="1" applyFill="1" applyBorder="1" applyAlignment="1">
      <alignment horizontal="center" vertical="center" wrapText="1"/>
    </xf>
    <xf numFmtId="0" fontId="7" fillId="0" borderId="61" xfId="1" applyFont="1" applyFill="1" applyBorder="1" applyAlignment="1">
      <alignment horizontal="right" vertical="center" wrapText="1"/>
    </xf>
    <xf numFmtId="3" fontId="8" fillId="0" borderId="53" xfId="1" applyNumberFormat="1" applyFont="1" applyFill="1" applyBorder="1" applyAlignment="1">
      <alignment horizontal="center" vertical="center" wrapText="1"/>
    </xf>
    <xf numFmtId="167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Fill="1" applyBorder="1"/>
    <xf numFmtId="0" fontId="2" fillId="0" borderId="40" xfId="0" applyFont="1" applyFill="1" applyBorder="1" applyAlignment="1">
      <alignment horizontal="center"/>
    </xf>
    <xf numFmtId="3" fontId="2" fillId="0" borderId="40" xfId="0" applyNumberFormat="1" applyFont="1" applyFill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Fill="1" applyBorder="1"/>
    <xf numFmtId="3" fontId="2" fillId="0" borderId="56" xfId="0" applyNumberFormat="1" applyFont="1" applyFill="1" applyBorder="1"/>
    <xf numFmtId="0" fontId="2" fillId="0" borderId="70" xfId="0" applyFont="1" applyBorder="1" applyAlignment="1"/>
    <xf numFmtId="0" fontId="2" fillId="0" borderId="0" xfId="0" applyFont="1" applyBorder="1" applyAlignment="1"/>
    <xf numFmtId="3" fontId="2" fillId="0" borderId="0" xfId="0" applyNumberFormat="1" applyFont="1"/>
    <xf numFmtId="170" fontId="2" fillId="0" borderId="0" xfId="0" applyNumberFormat="1" applyFont="1" applyAlignment="1">
      <alignment horizontal="center"/>
    </xf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0" borderId="51" xfId="0" applyFont="1" applyFill="1" applyBorder="1" applyAlignment="1">
      <alignment horizontal="left" wrapText="1" indent="2"/>
    </xf>
    <xf numFmtId="0" fontId="2" fillId="0" borderId="51" xfId="0" applyFont="1" applyFill="1" applyBorder="1" applyAlignment="1">
      <alignment horizontal="left" indent="2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68" xfId="0" applyFont="1" applyFill="1" applyBorder="1"/>
    <xf numFmtId="0" fontId="2" fillId="82" borderId="41" xfId="0" applyFont="1" applyFill="1" applyBorder="1" applyAlignment="1">
      <alignment horizontal="center"/>
    </xf>
    <xf numFmtId="3" fontId="169" fillId="0" borderId="40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right" indent="2"/>
    </xf>
    <xf numFmtId="251" fontId="2" fillId="0" borderId="40" xfId="0" applyNumberFormat="1" applyFont="1" applyBorder="1"/>
    <xf numFmtId="3" fontId="7" fillId="0" borderId="56" xfId="4" applyNumberFormat="1" applyFont="1" applyFill="1" applyBorder="1" applyAlignment="1">
      <alignment horizontal="center" vertical="center"/>
    </xf>
    <xf numFmtId="3" fontId="7" fillId="0" borderId="56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left" vertical="center" wrapText="1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2" xfId="1" applyFont="1" applyFill="1" applyBorder="1" applyAlignment="1">
      <alignment horizontal="center" vertical="center" wrapText="1"/>
    </xf>
    <xf numFmtId="0" fontId="8" fillId="0" borderId="73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8" fillId="0" borderId="75" xfId="1" applyFont="1" applyFill="1" applyBorder="1" applyAlignment="1">
      <alignment horizontal="center" vertical="center" wrapText="1"/>
    </xf>
    <xf numFmtId="250" fontId="7" fillId="0" borderId="76" xfId="1" applyNumberFormat="1" applyFont="1" applyFill="1" applyBorder="1" applyAlignment="1">
      <alignment horizontal="center" vertical="center" wrapText="1"/>
    </xf>
    <xf numFmtId="250" fontId="7" fillId="0" borderId="77" xfId="1" applyNumberFormat="1" applyFont="1" applyFill="1" applyBorder="1" applyAlignment="1">
      <alignment horizontal="center" vertical="center" wrapText="1"/>
    </xf>
    <xf numFmtId="0" fontId="8" fillId="0" borderId="59" xfId="1" applyFont="1" applyFill="1" applyBorder="1" applyAlignment="1">
      <alignment vertical="center" wrapText="1"/>
    </xf>
    <xf numFmtId="0" fontId="8" fillId="0" borderId="12" xfId="1" applyFont="1" applyFill="1" applyBorder="1" applyAlignment="1">
      <alignment vertical="center" wrapText="1"/>
    </xf>
    <xf numFmtId="0" fontId="8" fillId="0" borderId="45" xfId="1" applyFont="1" applyFill="1" applyBorder="1" applyAlignment="1">
      <alignment vertical="center" wrapText="1"/>
    </xf>
    <xf numFmtId="3" fontId="7" fillId="0" borderId="48" xfId="1" applyNumberFormat="1" applyFont="1" applyFill="1" applyBorder="1" applyAlignment="1">
      <alignment horizontal="center" vertical="center" wrapText="1"/>
    </xf>
    <xf numFmtId="3" fontId="7" fillId="0" borderId="47" xfId="1" applyNumberFormat="1" applyFont="1" applyFill="1" applyBorder="1" applyAlignment="1">
      <alignment horizontal="right" vertical="center" wrapText="1"/>
    </xf>
    <xf numFmtId="0" fontId="169" fillId="0" borderId="73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41" fontId="2" fillId="82" borderId="50" xfId="0" applyNumberFormat="1" applyFont="1" applyFill="1" applyBorder="1"/>
    <xf numFmtId="41" fontId="2" fillId="82" borderId="41" xfId="0" applyNumberFormat="1" applyFont="1" applyFill="1" applyBorder="1"/>
    <xf numFmtId="4" fontId="2" fillId="0" borderId="0" xfId="0" applyNumberFormat="1" applyFont="1" applyAlignment="1">
      <alignment horizontal="center"/>
    </xf>
    <xf numFmtId="4" fontId="8" fillId="0" borderId="40" xfId="1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3" fontId="169" fillId="0" borderId="44" xfId="0" applyNumberFormat="1" applyFont="1" applyFill="1" applyBorder="1" applyAlignment="1">
      <alignment horizontal="center"/>
    </xf>
    <xf numFmtId="0" fontId="169" fillId="0" borderId="7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82" borderId="52" xfId="0" applyNumberFormat="1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1" fontId="2" fillId="82" borderId="52" xfId="0" applyNumberFormat="1" applyFont="1" applyFill="1" applyBorder="1" applyAlignment="1">
      <alignment horizontal="center"/>
    </xf>
    <xf numFmtId="0" fontId="2" fillId="82" borderId="52" xfId="0" applyFont="1" applyFill="1" applyBorder="1" applyAlignment="1">
      <alignment horizontal="center"/>
    </xf>
    <xf numFmtId="3" fontId="7" fillId="82" borderId="53" xfId="1" applyNumberFormat="1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70" fontId="7" fillId="82" borderId="40" xfId="1" applyNumberFormat="1" applyFont="1" applyFill="1" applyBorder="1" applyAlignment="1">
      <alignment horizontal="center" vertical="center" wrapText="1"/>
    </xf>
    <xf numFmtId="170" fontId="2" fillId="0" borderId="0" xfId="0" applyNumberFormat="1" applyFont="1"/>
    <xf numFmtId="0" fontId="1" fillId="0" borderId="51" xfId="0" applyFont="1" applyFill="1" applyBorder="1" applyAlignment="1">
      <alignment horizontal="left" indent="2"/>
    </xf>
    <xf numFmtId="0" fontId="1" fillId="0" borderId="51" xfId="0" applyFont="1" applyFill="1" applyBorder="1" applyAlignment="1">
      <alignment horizontal="right" indent="2"/>
    </xf>
    <xf numFmtId="1" fontId="2" fillId="82" borderId="53" xfId="0" applyNumberFormat="1" applyFont="1" applyFill="1" applyBorder="1" applyAlignment="1">
      <alignment horizontal="center"/>
    </xf>
    <xf numFmtId="170" fontId="7" fillId="82" borderId="41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7" fillId="82" borderId="62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166" fontId="7" fillId="0" borderId="40" xfId="3" applyNumberFormat="1" applyFont="1" applyFill="1" applyBorder="1" applyAlignment="1">
      <alignment horizontal="center" vertical="center"/>
    </xf>
    <xf numFmtId="166" fontId="7" fillId="0" borderId="56" xfId="3" applyNumberFormat="1" applyFont="1" applyFill="1" applyBorder="1" applyAlignment="1">
      <alignment horizontal="center" vertical="center"/>
    </xf>
    <xf numFmtId="166" fontId="7" fillId="0" borderId="0" xfId="3" applyNumberFormat="1" applyFont="1" applyFill="1" applyBorder="1" applyAlignment="1">
      <alignment horizontal="center" vertical="center"/>
    </xf>
    <xf numFmtId="0" fontId="7" fillId="0" borderId="66" xfId="1" applyFont="1" applyFill="1" applyBorder="1" applyAlignment="1">
      <alignment horizontal="center" vertical="center" wrapText="1"/>
    </xf>
    <xf numFmtId="0" fontId="7" fillId="0" borderId="66" xfId="1" applyFont="1" applyFill="1" applyBorder="1" applyAlignment="1">
      <alignment vertical="center"/>
    </xf>
    <xf numFmtId="0" fontId="1" fillId="82" borderId="40" xfId="0" applyFont="1" applyFill="1" applyBorder="1" applyAlignment="1">
      <alignment horizontal="center" vertical="center" wrapText="1"/>
    </xf>
    <xf numFmtId="0" fontId="1" fillId="82" borderId="56" xfId="0" applyFont="1" applyFill="1" applyBorder="1" applyAlignment="1">
      <alignment horizontal="center" vertical="center" wrapText="1"/>
    </xf>
    <xf numFmtId="0" fontId="1" fillId="82" borderId="80" xfId="0" applyFont="1" applyFill="1" applyBorder="1" applyAlignment="1">
      <alignment horizontal="center" vertical="center"/>
    </xf>
    <xf numFmtId="41" fontId="2" fillId="0" borderId="0" xfId="0" applyNumberFormat="1" applyFont="1"/>
    <xf numFmtId="250" fontId="7" fillId="82" borderId="58" xfId="1" applyNumberFormat="1" applyFont="1" applyFill="1" applyBorder="1" applyAlignment="1">
      <alignment horizontal="center" vertical="center" wrapText="1"/>
    </xf>
    <xf numFmtId="252" fontId="7" fillId="0" borderId="0" xfId="1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1" fillId="0" borderId="0" xfId="0" applyFont="1"/>
    <xf numFmtId="0" fontId="169" fillId="0" borderId="60" xfId="0" applyFont="1" applyBorder="1" applyAlignment="1">
      <alignment horizontal="center"/>
    </xf>
    <xf numFmtId="0" fontId="1" fillId="0" borderId="64" xfId="0" applyFont="1" applyBorder="1"/>
    <xf numFmtId="0" fontId="1" fillId="0" borderId="62" xfId="0" applyFont="1" applyBorder="1"/>
    <xf numFmtId="0" fontId="1" fillId="0" borderId="63" xfId="0" applyFont="1" applyBorder="1"/>
    <xf numFmtId="0" fontId="1" fillId="0" borderId="51" xfId="0" applyFont="1" applyBorder="1" applyAlignment="1">
      <alignment horizontal="center"/>
    </xf>
    <xf numFmtId="3" fontId="1" fillId="82" borderId="40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4" fontId="1" fillId="82" borderId="40" xfId="0" applyNumberFormat="1" applyFont="1" applyFill="1" applyBorder="1" applyAlignment="1">
      <alignment horizontal="center" vertical="center"/>
    </xf>
    <xf numFmtId="4" fontId="1" fillId="82" borderId="53" xfId="0" applyNumberFormat="1" applyFont="1" applyFill="1" applyBorder="1" applyAlignment="1">
      <alignment horizontal="center" vertical="center"/>
    </xf>
    <xf numFmtId="0" fontId="169" fillId="0" borderId="51" xfId="0" applyFont="1" applyBorder="1" applyAlignment="1">
      <alignment horizontal="center"/>
    </xf>
    <xf numFmtId="0" fontId="1" fillId="0" borderId="41" xfId="0" applyFont="1" applyBorder="1"/>
    <xf numFmtId="0" fontId="1" fillId="0" borderId="40" xfId="0" applyFont="1" applyBorder="1"/>
    <xf numFmtId="0" fontId="1" fillId="0" borderId="40" xfId="0" applyFont="1" applyBorder="1" applyAlignment="1">
      <alignment horizontal="center"/>
    </xf>
    <xf numFmtId="0" fontId="1" fillId="0" borderId="53" xfId="0" applyFont="1" applyBorder="1"/>
    <xf numFmtId="0" fontId="1" fillId="0" borderId="51" xfId="0" applyFont="1" applyBorder="1" applyAlignment="1">
      <alignment horizontal="center" vertical="center"/>
    </xf>
    <xf numFmtId="3" fontId="1" fillId="82" borderId="40" xfId="0" applyNumberFormat="1" applyFont="1" applyFill="1" applyBorder="1" applyAlignment="1">
      <alignment horizontal="center" vertical="center"/>
    </xf>
    <xf numFmtId="0" fontId="1" fillId="82" borderId="40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4" fontId="1" fillId="82" borderId="40" xfId="0" applyNumberFormat="1" applyFont="1" applyFill="1" applyBorder="1"/>
    <xf numFmtId="4" fontId="1" fillId="82" borderId="53" xfId="0" applyNumberFormat="1" applyFont="1" applyFill="1" applyBorder="1"/>
    <xf numFmtId="0" fontId="169" fillId="0" borderId="52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3" fontId="1" fillId="82" borderId="56" xfId="0" applyNumberFormat="1" applyFont="1" applyFill="1" applyBorder="1" applyAlignment="1">
      <alignment horizontal="center"/>
    </xf>
    <xf numFmtId="0" fontId="1" fillId="82" borderId="56" xfId="0" applyFont="1" applyFill="1" applyBorder="1" applyAlignment="1">
      <alignment horizontal="center"/>
    </xf>
    <xf numFmtId="3" fontId="1" fillId="82" borderId="56" xfId="0" applyNumberFormat="1" applyFont="1" applyFill="1" applyBorder="1"/>
    <xf numFmtId="3" fontId="1" fillId="82" borderId="57" xfId="0" applyNumberFormat="1" applyFont="1" applyFill="1" applyBorder="1"/>
    <xf numFmtId="3" fontId="7" fillId="0" borderId="0" xfId="1" applyNumberFormat="1" applyFont="1" applyFill="1" applyAlignment="1">
      <alignment vertical="center"/>
    </xf>
    <xf numFmtId="1" fontId="2" fillId="0" borderId="0" xfId="0" applyNumberFormat="1" applyFont="1"/>
    <xf numFmtId="253" fontId="2" fillId="0" borderId="0" xfId="0" applyNumberFormat="1" applyFont="1"/>
    <xf numFmtId="254" fontId="2" fillId="0" borderId="0" xfId="0" applyNumberFormat="1" applyFont="1" applyFill="1"/>
    <xf numFmtId="1" fontId="2" fillId="0" borderId="0" xfId="0" applyNumberFormat="1" applyFont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zoomScale="85" zoomScaleNormal="85" zoomScaleSheetLayoutView="85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T31" sqref="T31"/>
    </sheetView>
  </sheetViews>
  <sheetFormatPr defaultColWidth="9.109375" defaultRowHeight="13.2"/>
  <cols>
    <col min="1" max="1" width="6" style="3" customWidth="1"/>
    <col min="2" max="2" width="42.6640625" style="8" customWidth="1"/>
    <col min="3" max="3" width="12.109375" style="6" customWidth="1"/>
    <col min="4" max="4" width="11.5546875" style="6" customWidth="1"/>
    <col min="5" max="5" width="8.6640625" style="7" customWidth="1"/>
    <col min="6" max="16" width="8.33203125" style="7" customWidth="1"/>
    <col min="17" max="17" width="44" style="3" customWidth="1"/>
    <col min="18" max="18" width="14" style="3" bestFit="1" customWidth="1"/>
    <col min="19" max="16384" width="9.109375" style="3"/>
  </cols>
  <sheetData>
    <row r="2" spans="1:18" ht="18" customHeight="1">
      <c r="B2" s="155" t="s">
        <v>29</v>
      </c>
    </row>
    <row r="3" spans="1:18" s="1" customFormat="1" ht="27" customHeight="1" thickBot="1">
      <c r="B3" s="153" t="s">
        <v>10</v>
      </c>
      <c r="C3" s="2" t="s">
        <v>164</v>
      </c>
      <c r="D3" s="210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154" t="s">
        <v>0</v>
      </c>
    </row>
    <row r="4" spans="1:18" s="5" customFormat="1" ht="26.4">
      <c r="A4" s="96">
        <v>1</v>
      </c>
      <c r="B4" s="68" t="s">
        <v>1</v>
      </c>
      <c r="C4" s="156" t="s">
        <v>2</v>
      </c>
      <c r="D4" s="156">
        <v>0</v>
      </c>
      <c r="E4" s="156">
        <f>D4+1</f>
        <v>1</v>
      </c>
      <c r="F4" s="156">
        <f>E4+1</f>
        <v>2</v>
      </c>
      <c r="G4" s="156">
        <f t="shared" ref="G4:N4" si="0">F4+1</f>
        <v>3</v>
      </c>
      <c r="H4" s="156">
        <f t="shared" si="0"/>
        <v>4</v>
      </c>
      <c r="I4" s="156">
        <f t="shared" si="0"/>
        <v>5</v>
      </c>
      <c r="J4" s="156">
        <f t="shared" si="0"/>
        <v>6</v>
      </c>
      <c r="K4" s="156">
        <f t="shared" si="0"/>
        <v>7</v>
      </c>
      <c r="L4" s="156">
        <f t="shared" si="0"/>
        <v>8</v>
      </c>
      <c r="M4" s="156">
        <f t="shared" si="0"/>
        <v>9</v>
      </c>
      <c r="N4" s="156">
        <f t="shared" si="0"/>
        <v>10</v>
      </c>
      <c r="O4" s="156">
        <f>N4+1</f>
        <v>11</v>
      </c>
      <c r="P4" s="156">
        <f>O4+1</f>
        <v>12</v>
      </c>
      <c r="Q4" s="71" t="s">
        <v>68</v>
      </c>
      <c r="R4" s="4"/>
    </row>
    <row r="5" spans="1:18" s="5" customFormat="1">
      <c r="A5" s="96">
        <f>A4+1</f>
        <v>2</v>
      </c>
      <c r="B5" s="85" t="s">
        <v>11</v>
      </c>
      <c r="C5" s="16" t="s">
        <v>12</v>
      </c>
      <c r="D5" s="66" t="s">
        <v>171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3"/>
      <c r="R5" s="4"/>
    </row>
    <row r="6" spans="1:18" ht="18" customHeight="1">
      <c r="A6" s="96">
        <f t="shared" ref="A6:A61" si="1">A5+1</f>
        <v>3</v>
      </c>
      <c r="B6" s="85" t="s">
        <v>5</v>
      </c>
      <c r="C6" s="16" t="s">
        <v>23</v>
      </c>
      <c r="D6" s="16"/>
      <c r="E6" s="191">
        <f>(8760-E7-E8-E9)/8760</f>
        <v>0.89479459982242504</v>
      </c>
      <c r="F6" s="191">
        <f>(8760-F7-F8-F9)/8760</f>
        <v>0.86538376775748349</v>
      </c>
      <c r="G6" s="191">
        <f t="shared" ref="G6:P6" si="2">(8760-G7-G8-G9)/8760</f>
        <v>0.84540659880771174</v>
      </c>
      <c r="H6" s="191">
        <f t="shared" si="2"/>
        <v>0.8748174308726534</v>
      </c>
      <c r="I6" s="191">
        <f t="shared" si="2"/>
        <v>0.86538376775748349</v>
      </c>
      <c r="J6" s="191">
        <f t="shared" si="2"/>
        <v>0.84318691336884821</v>
      </c>
      <c r="K6" s="191">
        <f t="shared" si="2"/>
        <v>0.86205423959918825</v>
      </c>
      <c r="L6" s="191">
        <f t="shared" si="2"/>
        <v>0.86538376775748349</v>
      </c>
      <c r="M6" s="191">
        <f t="shared" si="2"/>
        <v>0.8498459696854388</v>
      </c>
      <c r="N6" s="191">
        <f t="shared" si="2"/>
        <v>0.85428534056316585</v>
      </c>
      <c r="O6" s="191">
        <f t="shared" si="2"/>
        <v>0.85428534056316585</v>
      </c>
      <c r="P6" s="191">
        <f t="shared" si="2"/>
        <v>0.85428534056316585</v>
      </c>
      <c r="Q6" s="73" t="s">
        <v>71</v>
      </c>
    </row>
    <row r="7" spans="1:18" ht="16.5" customHeight="1">
      <c r="A7" s="96">
        <f t="shared" si="1"/>
        <v>4</v>
      </c>
      <c r="B7" s="86" t="s">
        <v>69</v>
      </c>
      <c r="C7" s="9" t="s">
        <v>35</v>
      </c>
      <c r="D7" s="9"/>
      <c r="E7" s="64">
        <f>ТО!G7</f>
        <v>272</v>
      </c>
      <c r="F7" s="64">
        <f>ТО!H7</f>
        <v>272</v>
      </c>
      <c r="G7" s="64">
        <f>ТО!I7</f>
        <v>272</v>
      </c>
      <c r="H7" s="64">
        <f>ТО!J7</f>
        <v>272</v>
      </c>
      <c r="I7" s="64">
        <f>ТО!K7</f>
        <v>272</v>
      </c>
      <c r="J7" s="64">
        <f>ТО!L7</f>
        <v>272</v>
      </c>
      <c r="K7" s="64">
        <f>ТО!M7</f>
        <v>272</v>
      </c>
      <c r="L7" s="64">
        <f>ТО!N7</f>
        <v>272</v>
      </c>
      <c r="M7" s="64">
        <f>ТО!O7</f>
        <v>272</v>
      </c>
      <c r="N7" s="64">
        <f>ТО!P7</f>
        <v>272</v>
      </c>
      <c r="O7" s="64">
        <f>ТО!Q7</f>
        <v>272</v>
      </c>
      <c r="P7" s="64">
        <f>ТО!R7</f>
        <v>272</v>
      </c>
      <c r="Q7" s="73"/>
      <c r="R7" s="254">
        <f>SUM(E7:P7)</f>
        <v>3264</v>
      </c>
    </row>
    <row r="8" spans="1:18" ht="16.5" customHeight="1">
      <c r="A8" s="96">
        <f t="shared" si="1"/>
        <v>5</v>
      </c>
      <c r="B8" s="86" t="s">
        <v>70</v>
      </c>
      <c r="C8" s="9" t="s">
        <v>35</v>
      </c>
      <c r="D8" s="9"/>
      <c r="E8" s="64">
        <f>Ремонты!F8</f>
        <v>425.64499999999998</v>
      </c>
      <c r="F8" s="64">
        <f>Ремонты!G8</f>
        <v>690.64499999999998</v>
      </c>
      <c r="G8" s="64">
        <f>Ремонты!H8</f>
        <v>870.64499999999998</v>
      </c>
      <c r="H8" s="64">
        <f>Ремонты!I8</f>
        <v>605.64499999999998</v>
      </c>
      <c r="I8" s="64">
        <f>Ремонты!J8</f>
        <v>690.64499999999998</v>
      </c>
      <c r="J8" s="64">
        <f>Ремонты!K8</f>
        <v>890.64499999999998</v>
      </c>
      <c r="K8" s="64">
        <f>Ремонты!L8</f>
        <v>720.64499999999998</v>
      </c>
      <c r="L8" s="64">
        <f>Ремонты!M8</f>
        <v>690.64499999999998</v>
      </c>
      <c r="M8" s="64">
        <f>Ремонты!N8</f>
        <v>830.64499999999998</v>
      </c>
      <c r="N8" s="64">
        <f>Ремонты!O8</f>
        <v>790.64499999999998</v>
      </c>
      <c r="O8" s="64">
        <f>Ремонты!P8</f>
        <v>790.64499999999998</v>
      </c>
      <c r="P8" s="64">
        <f>Ремонты!Q8</f>
        <v>790.64499999999998</v>
      </c>
      <c r="Q8" s="73"/>
      <c r="R8" s="254">
        <f t="shared" ref="R8:R33" si="3">SUM(E8:P8)</f>
        <v>8787.7400000000016</v>
      </c>
    </row>
    <row r="9" spans="1:18" ht="16.5" customHeight="1">
      <c r="A9" s="96"/>
      <c r="B9" s="86" t="s">
        <v>113</v>
      </c>
      <c r="C9" s="9" t="s">
        <v>35</v>
      </c>
      <c r="D9" s="9"/>
      <c r="E9" s="64">
        <f>(8760-E7-E8)/12*20/60</f>
        <v>223.95430555555552</v>
      </c>
      <c r="F9" s="64">
        <f t="shared" ref="F9:P9" si="4">(8760-F7-F8)/12*20/60</f>
        <v>216.59319444444446</v>
      </c>
      <c r="G9" s="64">
        <f t="shared" si="4"/>
        <v>211.59319444444446</v>
      </c>
      <c r="H9" s="64">
        <f t="shared" si="4"/>
        <v>218.95430555555552</v>
      </c>
      <c r="I9" s="64">
        <f t="shared" si="4"/>
        <v>216.59319444444446</v>
      </c>
      <c r="J9" s="64">
        <f t="shared" si="4"/>
        <v>211.03763888888886</v>
      </c>
      <c r="K9" s="64">
        <f t="shared" si="4"/>
        <v>215.75986111111112</v>
      </c>
      <c r="L9" s="64">
        <f t="shared" si="4"/>
        <v>216.59319444444446</v>
      </c>
      <c r="M9" s="64">
        <f t="shared" si="4"/>
        <v>212.70430555555552</v>
      </c>
      <c r="N9" s="64">
        <f t="shared" si="4"/>
        <v>213.81541666666666</v>
      </c>
      <c r="O9" s="64">
        <f t="shared" si="4"/>
        <v>213.81541666666666</v>
      </c>
      <c r="P9" s="64">
        <f t="shared" si="4"/>
        <v>213.81541666666666</v>
      </c>
      <c r="Q9" s="73"/>
      <c r="R9" s="254">
        <f t="shared" si="3"/>
        <v>2585.2294444444447</v>
      </c>
    </row>
    <row r="10" spans="1:18">
      <c r="A10" s="96">
        <f>A8+1</f>
        <v>6</v>
      </c>
      <c r="B10" s="85" t="s">
        <v>75</v>
      </c>
      <c r="C10" s="9"/>
      <c r="D10" s="63" t="s">
        <v>165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3"/>
      <c r="R10" s="254"/>
    </row>
    <row r="11" spans="1:18" ht="26.4">
      <c r="A11" s="96">
        <f t="shared" si="1"/>
        <v>7</v>
      </c>
      <c r="B11" s="85" t="s">
        <v>74</v>
      </c>
      <c r="C11" s="9" t="s">
        <v>17</v>
      </c>
      <c r="D11" s="63" t="s">
        <v>166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73"/>
      <c r="R11" s="254"/>
    </row>
    <row r="12" spans="1:18">
      <c r="A12" s="96">
        <f t="shared" si="1"/>
        <v>8</v>
      </c>
      <c r="B12" s="85" t="s">
        <v>13</v>
      </c>
      <c r="C12" s="9" t="s">
        <v>14</v>
      </c>
      <c r="D12" s="63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3"/>
      <c r="R12" s="254"/>
    </row>
    <row r="13" spans="1:18">
      <c r="A13" s="96">
        <f t="shared" si="1"/>
        <v>9</v>
      </c>
      <c r="B13" s="85" t="s">
        <v>102</v>
      </c>
      <c r="C13" s="9" t="s">
        <v>14</v>
      </c>
      <c r="D13" s="63">
        <v>15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3"/>
      <c r="R13" s="254"/>
    </row>
    <row r="14" spans="1:18">
      <c r="A14" s="96">
        <f t="shared" si="1"/>
        <v>10</v>
      </c>
      <c r="B14" s="85" t="s">
        <v>103</v>
      </c>
      <c r="C14" s="9" t="s">
        <v>16</v>
      </c>
      <c r="D14" s="63">
        <v>60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3"/>
      <c r="R14" s="254"/>
    </row>
    <row r="15" spans="1:18" ht="13.8" thickBot="1">
      <c r="A15" s="96"/>
      <c r="B15" s="81" t="s">
        <v>104</v>
      </c>
      <c r="C15" s="87" t="s">
        <v>16</v>
      </c>
      <c r="D15" s="88">
        <v>30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76"/>
      <c r="R15" s="254"/>
    </row>
    <row r="16" spans="1:18" ht="20.25" customHeight="1" thickBot="1">
      <c r="A16" s="96"/>
      <c r="B16" s="90" t="s">
        <v>78</v>
      </c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R16" s="254"/>
    </row>
    <row r="17" spans="1:18" ht="105.6">
      <c r="A17" s="96">
        <f>A14+1</f>
        <v>11</v>
      </c>
      <c r="B17" s="68" t="s">
        <v>15</v>
      </c>
      <c r="C17" s="52" t="s">
        <v>98</v>
      </c>
      <c r="D17" s="92" t="s">
        <v>172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71"/>
      <c r="R17" s="254"/>
    </row>
    <row r="18" spans="1:18">
      <c r="A18" s="96">
        <f>A17+1</f>
        <v>12</v>
      </c>
      <c r="B18" s="91" t="s">
        <v>99</v>
      </c>
      <c r="C18" s="9" t="s">
        <v>76</v>
      </c>
      <c r="D18" s="63" t="s">
        <v>167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3"/>
      <c r="R18" s="254"/>
    </row>
    <row r="19" spans="1:18" ht="22.5" customHeight="1" thickBot="1">
      <c r="A19" s="96">
        <f>A18+1</f>
        <v>13</v>
      </c>
      <c r="B19" s="81" t="s">
        <v>100</v>
      </c>
      <c r="C19" s="87" t="s">
        <v>77</v>
      </c>
      <c r="D19" s="94" t="s">
        <v>168</v>
      </c>
      <c r="E19" s="95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76"/>
      <c r="R19" s="254"/>
    </row>
    <row r="20" spans="1:18" ht="22.5" customHeight="1" thickBot="1">
      <c r="A20" s="96"/>
      <c r="B20" s="90" t="s">
        <v>79</v>
      </c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R20" s="254"/>
    </row>
    <row r="21" spans="1:18">
      <c r="A21" s="96">
        <f>A19+1</f>
        <v>14</v>
      </c>
      <c r="B21" s="68" t="s">
        <v>80</v>
      </c>
      <c r="C21" s="52" t="s">
        <v>81</v>
      </c>
      <c r="D21" s="211" t="s">
        <v>169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71"/>
      <c r="R21" s="254"/>
    </row>
    <row r="22" spans="1:18">
      <c r="A22" s="96">
        <f>A21+1</f>
        <v>15</v>
      </c>
      <c r="B22" s="85" t="s">
        <v>82</v>
      </c>
      <c r="C22" s="9" t="s">
        <v>83</v>
      </c>
      <c r="D22" s="212">
        <v>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100"/>
      <c r="R22" s="254"/>
    </row>
    <row r="23" spans="1:18">
      <c r="A23" s="96">
        <f t="shared" ref="A23:A26" si="5">A22+1</f>
        <v>16</v>
      </c>
      <c r="B23" s="85" t="s">
        <v>84</v>
      </c>
      <c r="C23" s="9"/>
      <c r="D23" s="213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100"/>
      <c r="R23" s="254"/>
    </row>
    <row r="24" spans="1:18">
      <c r="A24" s="96">
        <f t="shared" si="5"/>
        <v>17</v>
      </c>
      <c r="B24" s="86" t="s">
        <v>85</v>
      </c>
      <c r="C24" s="218" t="s">
        <v>81</v>
      </c>
      <c r="D24" s="155"/>
      <c r="E24" s="219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100"/>
      <c r="R24" s="254"/>
    </row>
    <row r="25" spans="1:18" ht="39.6">
      <c r="A25" s="96">
        <f t="shared" si="5"/>
        <v>18</v>
      </c>
      <c r="B25" s="86" t="s">
        <v>18</v>
      </c>
      <c r="C25" s="9" t="s">
        <v>19</v>
      </c>
      <c r="D25" s="220" t="s">
        <v>170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3"/>
      <c r="R25" s="254"/>
    </row>
    <row r="26" spans="1:18" ht="40.200000000000003" thickBot="1">
      <c r="A26" s="96">
        <f t="shared" si="5"/>
        <v>19</v>
      </c>
      <c r="B26" s="101" t="s">
        <v>101</v>
      </c>
      <c r="C26" s="87" t="s">
        <v>20</v>
      </c>
      <c r="D26" s="221" t="s">
        <v>170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76"/>
      <c r="R26" s="254"/>
    </row>
    <row r="27" spans="1:18" ht="13.8" thickBot="1">
      <c r="A27" s="96"/>
      <c r="R27" s="254"/>
    </row>
    <row r="28" spans="1:18" ht="23.25" customHeight="1">
      <c r="A28" s="96">
        <f>A26+1</f>
        <v>20</v>
      </c>
      <c r="B28" s="68" t="s">
        <v>24</v>
      </c>
      <c r="C28" s="69" t="s">
        <v>97</v>
      </c>
      <c r="D28" s="69"/>
      <c r="E28" s="70">
        <f>SUM(E29:E33)</f>
        <v>420.87882966166654</v>
      </c>
      <c r="F28" s="70">
        <f t="shared" ref="F28:O28" si="6">SUM(F29:F33)</f>
        <v>715.41873135193191</v>
      </c>
      <c r="G28" s="70">
        <f t="shared" si="6"/>
        <v>744.01349155193202</v>
      </c>
      <c r="H28" s="70">
        <f t="shared" si="6"/>
        <v>536.07373666166654</v>
      </c>
      <c r="I28" s="70">
        <f t="shared" si="6"/>
        <v>674.42177635193207</v>
      </c>
      <c r="J28" s="70">
        <f t="shared" si="6"/>
        <v>785.01044655193186</v>
      </c>
      <c r="K28" s="70">
        <f t="shared" si="6"/>
        <v>499.34678166166657</v>
      </c>
      <c r="L28" s="70">
        <f t="shared" si="6"/>
        <v>719.466831351932</v>
      </c>
      <c r="M28" s="70">
        <f t="shared" si="6"/>
        <v>681.86673955193203</v>
      </c>
      <c r="N28" s="70">
        <f t="shared" si="6"/>
        <v>536.07373666166654</v>
      </c>
      <c r="O28" s="70">
        <f t="shared" si="6"/>
        <v>674.42177635193207</v>
      </c>
      <c r="P28" s="70">
        <f>SUM(P29:P33)</f>
        <v>420.87882966166654</v>
      </c>
      <c r="Q28" s="71"/>
      <c r="R28" s="254">
        <f>SUM(E28:P28)</f>
        <v>7407.8717073718572</v>
      </c>
    </row>
    <row r="29" spans="1:18">
      <c r="A29" s="96">
        <f>A28+1</f>
        <v>21</v>
      </c>
      <c r="B29" s="72" t="s">
        <v>25</v>
      </c>
      <c r="C29" s="13"/>
      <c r="D29" s="13"/>
      <c r="E29" s="67">
        <f>ТО!G9/1000</f>
        <v>300.62090926166655</v>
      </c>
      <c r="F29" s="67">
        <f>ТО!H9/1000</f>
        <v>300.62090926166655</v>
      </c>
      <c r="G29" s="67">
        <f>ТО!I9/1000</f>
        <v>300.62090926166655</v>
      </c>
      <c r="H29" s="67">
        <f>ТО!J9/1000</f>
        <v>300.62090926166655</v>
      </c>
      <c r="I29" s="67">
        <f>ТО!K9/1000</f>
        <v>300.62090926166655</v>
      </c>
      <c r="J29" s="67">
        <f>ТО!L9/1000</f>
        <v>300.62090926166655</v>
      </c>
      <c r="K29" s="67">
        <f>ТО!M9/1000</f>
        <v>300.62090926166655</v>
      </c>
      <c r="L29" s="67">
        <f>ТО!N9/1000</f>
        <v>300.62090926166655</v>
      </c>
      <c r="M29" s="67">
        <f>ТО!O9/1000</f>
        <v>300.62090926166655</v>
      </c>
      <c r="N29" s="67">
        <f>ТО!P9/1000</f>
        <v>300.62090926166655</v>
      </c>
      <c r="O29" s="67">
        <f>ТО!Q9/1000</f>
        <v>300.62090926166655</v>
      </c>
      <c r="P29" s="67">
        <f>ТО!R9/1000</f>
        <v>300.62090926166655</v>
      </c>
      <c r="Q29" s="73"/>
      <c r="R29" s="254">
        <f>SUM(E29:P29)</f>
        <v>3607.450911139998</v>
      </c>
    </row>
    <row r="30" spans="1:18">
      <c r="A30" s="96">
        <f t="shared" ref="A30:A33" si="7">A29+1</f>
        <v>22</v>
      </c>
      <c r="B30" s="72" t="s">
        <v>26</v>
      </c>
      <c r="C30" s="13"/>
      <c r="D30" s="13"/>
      <c r="E30" s="67">
        <f>Ремонты!F29/1000</f>
        <v>53.173999999999999</v>
      </c>
      <c r="F30" s="67">
        <f>Ремонты!G29/1000</f>
        <v>53.173999999999999</v>
      </c>
      <c r="G30" s="67">
        <f>Ремонты!H29/1000</f>
        <v>53.173999999999999</v>
      </c>
      <c r="H30" s="67">
        <f>Ремонты!I29/1000</f>
        <v>53.173999999999999</v>
      </c>
      <c r="I30" s="67">
        <f>Ремонты!J29/1000</f>
        <v>53.173999999999999</v>
      </c>
      <c r="J30" s="67">
        <f>Ремонты!K29/1000</f>
        <v>53.173999999999999</v>
      </c>
      <c r="K30" s="67">
        <f>Ремонты!L29/1000</f>
        <v>53.173999999999999</v>
      </c>
      <c r="L30" s="67">
        <f>Ремонты!M29/1000</f>
        <v>53.173999999999999</v>
      </c>
      <c r="M30" s="67">
        <f>Ремонты!N29/1000</f>
        <v>53.173999999999999</v>
      </c>
      <c r="N30" s="67">
        <f>Ремонты!O29/1000</f>
        <v>53.173999999999999</v>
      </c>
      <c r="O30" s="67">
        <f>Ремонты!P29/1000</f>
        <v>53.173999999999999</v>
      </c>
      <c r="P30" s="67">
        <f>Ремонты!Q29/1000</f>
        <v>53.173999999999999</v>
      </c>
      <c r="Q30" s="73"/>
      <c r="R30" s="254">
        <f t="shared" si="3"/>
        <v>638.08799999999985</v>
      </c>
    </row>
    <row r="31" spans="1:18" ht="26.4">
      <c r="A31" s="96">
        <f t="shared" si="7"/>
        <v>23</v>
      </c>
      <c r="B31" s="72" t="s">
        <v>27</v>
      </c>
      <c r="C31" s="13"/>
      <c r="D31" s="13"/>
      <c r="E31" s="67">
        <f>Ремонты!F33/1000</f>
        <v>35.958770399999999</v>
      </c>
      <c r="F31" s="67">
        <f>Ремонты!G33/1000</f>
        <v>301.93867209026541</v>
      </c>
      <c r="G31" s="67">
        <f>Ремонты!H33/1000</f>
        <v>327.73343229026545</v>
      </c>
      <c r="H31" s="67">
        <f>Ремонты!I33/1000</f>
        <v>133.08247740000002</v>
      </c>
      <c r="I31" s="67">
        <f>Ремонты!J33/1000</f>
        <v>264.44171709026546</v>
      </c>
      <c r="J31" s="67">
        <f>Ремонты!K33/1000</f>
        <v>365.23038729026541</v>
      </c>
      <c r="K31" s="67">
        <f>Ремонты!L33/1000</f>
        <v>95.585522399999988</v>
      </c>
      <c r="L31" s="67">
        <f>Ремонты!M33/1000</f>
        <v>307.31677209026549</v>
      </c>
      <c r="M31" s="67">
        <f>Ремонты!N33/1000</f>
        <v>268.1066802902655</v>
      </c>
      <c r="N31" s="67">
        <f>Ремонты!O33/1000</f>
        <v>133.08247740000002</v>
      </c>
      <c r="O31" s="67">
        <f>Ремонты!P33/1000</f>
        <v>264.44171709026546</v>
      </c>
      <c r="P31" s="67">
        <f>Ремонты!Q33/1000</f>
        <v>35.958770399999999</v>
      </c>
      <c r="Q31" s="73"/>
      <c r="R31" s="254">
        <f t="shared" si="3"/>
        <v>2532.8773962318578</v>
      </c>
    </row>
    <row r="32" spans="1:18">
      <c r="A32" s="96">
        <f t="shared" si="7"/>
        <v>24</v>
      </c>
      <c r="B32" s="72" t="s">
        <v>72</v>
      </c>
      <c r="C32" s="13"/>
      <c r="D32" s="13"/>
      <c r="E32" s="67">
        <f>ТО!G10/1000</f>
        <v>19.04</v>
      </c>
      <c r="F32" s="67">
        <f>ТО!H10/1000</f>
        <v>19.04</v>
      </c>
      <c r="G32" s="67">
        <f>ТО!I10/1000</f>
        <v>19.04</v>
      </c>
      <c r="H32" s="67">
        <f>ТО!J10/1000</f>
        <v>19.04</v>
      </c>
      <c r="I32" s="67">
        <f>ТО!K10/1000</f>
        <v>19.04</v>
      </c>
      <c r="J32" s="67">
        <f>ТО!L10/1000</f>
        <v>19.04</v>
      </c>
      <c r="K32" s="67">
        <f>ТО!M10/1000</f>
        <v>19.04</v>
      </c>
      <c r="L32" s="67">
        <f>ТО!N10/1000</f>
        <v>19.04</v>
      </c>
      <c r="M32" s="67">
        <f>ТО!O10/1000</f>
        <v>19.04</v>
      </c>
      <c r="N32" s="67">
        <f>ТО!P10/1000</f>
        <v>19.04</v>
      </c>
      <c r="O32" s="67">
        <f>ТО!Q10/1000</f>
        <v>19.04</v>
      </c>
      <c r="P32" s="67">
        <f>ТО!R10/1000</f>
        <v>19.04</v>
      </c>
      <c r="Q32" s="73"/>
      <c r="R32" s="254">
        <f t="shared" si="3"/>
        <v>228.47999999999993</v>
      </c>
    </row>
    <row r="33" spans="1:18" ht="13.8" thickBot="1">
      <c r="A33" s="96">
        <f t="shared" si="7"/>
        <v>25</v>
      </c>
      <c r="B33" s="74" t="s">
        <v>73</v>
      </c>
      <c r="C33" s="34"/>
      <c r="D33" s="34"/>
      <c r="E33" s="75">
        <f>Ремонты!F12/1000</f>
        <v>12.085150000000001</v>
      </c>
      <c r="F33" s="75">
        <f>Ремонты!G12/1000</f>
        <v>40.645150000000001</v>
      </c>
      <c r="G33" s="75">
        <f>Ремонты!H12/1000</f>
        <v>43.445149999999998</v>
      </c>
      <c r="H33" s="75">
        <f>Ремонты!I12/1000</f>
        <v>30.15635</v>
      </c>
      <c r="I33" s="75">
        <f>Ремонты!J12/1000</f>
        <v>37.145150000000001</v>
      </c>
      <c r="J33" s="75">
        <f>Ремонты!K12/1000</f>
        <v>46.945149999999998</v>
      </c>
      <c r="K33" s="75">
        <f>Ремонты!L12/1000</f>
        <v>30.926349999999999</v>
      </c>
      <c r="L33" s="75">
        <f>Ремонты!M12/1000</f>
        <v>39.315150000000003</v>
      </c>
      <c r="M33" s="75">
        <f>Ремонты!N12/1000</f>
        <v>40.925150000000002</v>
      </c>
      <c r="N33" s="75">
        <f>Ремонты!O12/1000</f>
        <v>30.15635</v>
      </c>
      <c r="O33" s="75">
        <f>Ремонты!P12/1000</f>
        <v>37.145150000000001</v>
      </c>
      <c r="P33" s="75">
        <f>Ремонты!Q12/1000</f>
        <v>12.085150000000001</v>
      </c>
      <c r="Q33" s="76"/>
      <c r="R33" s="254">
        <f t="shared" si="3"/>
        <v>400.97539999999998</v>
      </c>
    </row>
    <row r="34" spans="1:18" ht="13.8" thickBot="1">
      <c r="A34" s="96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8" ht="19.5" customHeight="1">
      <c r="A35" s="96">
        <f>A33+1</f>
        <v>26</v>
      </c>
      <c r="B35" s="77" t="s">
        <v>84</v>
      </c>
      <c r="C35" s="69"/>
      <c r="D35" s="69"/>
      <c r="E35" s="78">
        <f>SUM(E37:E76)</f>
        <v>0</v>
      </c>
      <c r="F35" s="78">
        <f t="shared" ref="F35:O35" si="8">SUM(F37:F76)</f>
        <v>0</v>
      </c>
      <c r="G35" s="78">
        <f t="shared" si="8"/>
        <v>0</v>
      </c>
      <c r="H35" s="78">
        <f t="shared" si="8"/>
        <v>0</v>
      </c>
      <c r="I35" s="78">
        <f t="shared" si="8"/>
        <v>0</v>
      </c>
      <c r="J35" s="78">
        <f t="shared" si="8"/>
        <v>0</v>
      </c>
      <c r="K35" s="78">
        <f t="shared" si="8"/>
        <v>0</v>
      </c>
      <c r="L35" s="78">
        <f t="shared" si="8"/>
        <v>0</v>
      </c>
      <c r="M35" s="78">
        <f t="shared" si="8"/>
        <v>0</v>
      </c>
      <c r="N35" s="78">
        <f t="shared" si="8"/>
        <v>0</v>
      </c>
      <c r="O35" s="78">
        <f t="shared" si="8"/>
        <v>0</v>
      </c>
      <c r="P35" s="78">
        <f>SUM(P37:P76)</f>
        <v>0</v>
      </c>
      <c r="Q35" s="71" t="s">
        <v>8</v>
      </c>
    </row>
    <row r="36" spans="1:18" ht="19.5" customHeight="1">
      <c r="A36" s="96">
        <f>A35+1</f>
        <v>27</v>
      </c>
      <c r="B36" s="102" t="s">
        <v>78</v>
      </c>
      <c r="C36" s="80"/>
      <c r="D36" s="214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103"/>
    </row>
    <row r="37" spans="1:18">
      <c r="A37" s="96">
        <f t="shared" ref="A37:A56" si="9">A36+1</f>
        <v>28</v>
      </c>
      <c r="B37" s="25" t="s">
        <v>94</v>
      </c>
      <c r="C37" s="65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3"/>
    </row>
    <row r="38" spans="1:18" ht="16.5" customHeight="1">
      <c r="A38" s="96">
        <f t="shared" si="9"/>
        <v>29</v>
      </c>
      <c r="B38" s="79" t="s">
        <v>3</v>
      </c>
      <c r="C38" s="155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3"/>
    </row>
    <row r="39" spans="1:18" ht="13.5" customHeight="1">
      <c r="A39" s="96">
        <f t="shared" si="9"/>
        <v>30</v>
      </c>
      <c r="B39" s="79" t="s">
        <v>6</v>
      </c>
      <c r="C39" s="155"/>
      <c r="D39" s="11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73"/>
    </row>
    <row r="40" spans="1:18">
      <c r="A40" s="96">
        <f t="shared" si="9"/>
        <v>31</v>
      </c>
      <c r="B40" s="25" t="s">
        <v>21</v>
      </c>
      <c r="C40" s="11"/>
      <c r="D40" s="11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73"/>
    </row>
    <row r="41" spans="1:18" ht="13.5" customHeight="1">
      <c r="A41" s="96">
        <f t="shared" si="9"/>
        <v>32</v>
      </c>
      <c r="B41" s="79" t="s">
        <v>3</v>
      </c>
      <c r="C41" s="155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3"/>
    </row>
    <row r="42" spans="1:18" ht="13.5" customHeight="1">
      <c r="A42" s="96">
        <f t="shared" si="9"/>
        <v>33</v>
      </c>
      <c r="B42" s="79" t="s">
        <v>6</v>
      </c>
      <c r="C42" s="155"/>
      <c r="D42" s="11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73"/>
    </row>
    <row r="43" spans="1:18">
      <c r="A43" s="96">
        <f t="shared" si="9"/>
        <v>34</v>
      </c>
      <c r="B43" s="25" t="s">
        <v>188</v>
      </c>
      <c r="C43" s="11"/>
      <c r="D43" s="215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3"/>
    </row>
    <row r="44" spans="1:18">
      <c r="A44" s="96">
        <f t="shared" si="9"/>
        <v>35</v>
      </c>
      <c r="B44" s="79" t="s">
        <v>3</v>
      </c>
      <c r="C44" s="155"/>
      <c r="D44" s="2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3"/>
    </row>
    <row r="45" spans="1:18">
      <c r="A45" s="96">
        <f t="shared" si="9"/>
        <v>36</v>
      </c>
      <c r="B45" s="79" t="s">
        <v>6</v>
      </c>
      <c r="C45" s="155"/>
      <c r="D45" s="215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73"/>
    </row>
    <row r="46" spans="1:18">
      <c r="A46" s="96">
        <f t="shared" si="9"/>
        <v>37</v>
      </c>
      <c r="B46" s="25" t="s">
        <v>189</v>
      </c>
      <c r="C46" s="11"/>
      <c r="D46" s="215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3"/>
    </row>
    <row r="47" spans="1:18">
      <c r="A47" s="96">
        <f t="shared" si="9"/>
        <v>38</v>
      </c>
      <c r="B47" s="79" t="s">
        <v>3</v>
      </c>
      <c r="C47" s="155"/>
      <c r="D47" s="215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3"/>
    </row>
    <row r="48" spans="1:18">
      <c r="A48" s="96">
        <f t="shared" si="9"/>
        <v>39</v>
      </c>
      <c r="B48" s="79" t="s">
        <v>6</v>
      </c>
      <c r="C48" s="155"/>
      <c r="D48" s="215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73"/>
    </row>
    <row r="49" spans="1:17">
      <c r="A49" s="96">
        <f t="shared" si="9"/>
        <v>40</v>
      </c>
      <c r="B49" s="25" t="s">
        <v>190</v>
      </c>
      <c r="C49" s="11"/>
      <c r="D49" s="215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73"/>
    </row>
    <row r="50" spans="1:17">
      <c r="A50" s="96">
        <f t="shared" si="9"/>
        <v>41</v>
      </c>
      <c r="B50" s="79" t="s">
        <v>3</v>
      </c>
      <c r="C50" s="155"/>
      <c r="D50" s="21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3"/>
    </row>
    <row r="51" spans="1:17">
      <c r="A51" s="96">
        <f t="shared" si="9"/>
        <v>42</v>
      </c>
      <c r="B51" s="79" t="s">
        <v>6</v>
      </c>
      <c r="C51" s="155"/>
      <c r="D51" s="215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73"/>
    </row>
    <row r="52" spans="1:17" ht="19.5" customHeight="1">
      <c r="A52" s="96">
        <f t="shared" si="9"/>
        <v>43</v>
      </c>
      <c r="B52" s="102" t="s">
        <v>79</v>
      </c>
      <c r="C52" s="80"/>
      <c r="D52" s="214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103"/>
    </row>
    <row r="53" spans="1:17">
      <c r="A53" s="96">
        <f t="shared" si="9"/>
        <v>44</v>
      </c>
      <c r="B53" s="25" t="s">
        <v>89</v>
      </c>
      <c r="C53" s="65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3"/>
    </row>
    <row r="54" spans="1:17">
      <c r="A54" s="96">
        <f t="shared" si="9"/>
        <v>45</v>
      </c>
      <c r="B54" s="79" t="s">
        <v>3</v>
      </c>
      <c r="C54" s="155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3"/>
    </row>
    <row r="55" spans="1:17">
      <c r="A55" s="96">
        <f t="shared" si="9"/>
        <v>46</v>
      </c>
      <c r="B55" s="79" t="s">
        <v>6</v>
      </c>
      <c r="C55" s="155"/>
      <c r="D55" s="11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73"/>
    </row>
    <row r="56" spans="1:17">
      <c r="A56" s="96">
        <f t="shared" si="9"/>
        <v>47</v>
      </c>
      <c r="B56" s="25" t="s">
        <v>87</v>
      </c>
      <c r="C56" s="9"/>
      <c r="D56" s="11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73"/>
    </row>
    <row r="57" spans="1:17">
      <c r="A57" s="96">
        <f t="shared" si="1"/>
        <v>48</v>
      </c>
      <c r="B57" s="79" t="s">
        <v>3</v>
      </c>
      <c r="C57" s="155"/>
      <c r="D57" s="11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73"/>
    </row>
    <row r="58" spans="1:17">
      <c r="A58" s="96">
        <f t="shared" si="1"/>
        <v>49</v>
      </c>
      <c r="B58" s="79" t="s">
        <v>6</v>
      </c>
      <c r="C58" s="155"/>
      <c r="D58" s="11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73"/>
    </row>
    <row r="59" spans="1:17">
      <c r="A59" s="96">
        <f t="shared" si="1"/>
        <v>50</v>
      </c>
      <c r="B59" s="25" t="s">
        <v>86</v>
      </c>
      <c r="C59" s="9"/>
      <c r="D59" s="11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73"/>
    </row>
    <row r="60" spans="1:17">
      <c r="A60" s="96">
        <f t="shared" si="1"/>
        <v>51</v>
      </c>
      <c r="B60" s="79" t="s">
        <v>3</v>
      </c>
      <c r="C60" s="155"/>
      <c r="D60" s="11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73"/>
    </row>
    <row r="61" spans="1:17">
      <c r="A61" s="96">
        <f t="shared" si="1"/>
        <v>52</v>
      </c>
      <c r="B61" s="79" t="s">
        <v>6</v>
      </c>
      <c r="C61" s="155"/>
      <c r="D61" s="11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73"/>
    </row>
    <row r="62" spans="1:17">
      <c r="A62" s="96">
        <f t="shared" ref="A62:A65" si="10">A61+1</f>
        <v>53</v>
      </c>
      <c r="B62" s="25" t="s">
        <v>21</v>
      </c>
      <c r="C62" s="11"/>
      <c r="D62" s="11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73"/>
    </row>
    <row r="63" spans="1:17">
      <c r="A63" s="96">
        <f t="shared" si="10"/>
        <v>54</v>
      </c>
      <c r="B63" s="79" t="s">
        <v>3</v>
      </c>
      <c r="C63" s="155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3"/>
    </row>
    <row r="64" spans="1:17">
      <c r="A64" s="96">
        <f t="shared" si="10"/>
        <v>55</v>
      </c>
      <c r="B64" s="79" t="s">
        <v>6</v>
      </c>
      <c r="C64" s="155"/>
      <c r="D64" s="11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73"/>
    </row>
    <row r="65" spans="1:17">
      <c r="A65" s="96">
        <f t="shared" si="10"/>
        <v>56</v>
      </c>
      <c r="B65" s="25" t="s">
        <v>88</v>
      </c>
      <c r="C65" s="11"/>
      <c r="D65" s="215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73"/>
    </row>
    <row r="66" spans="1:17">
      <c r="A66" s="96">
        <f t="shared" ref="A66:A80" si="11">A65+1</f>
        <v>57</v>
      </c>
      <c r="B66" s="79" t="s">
        <v>3</v>
      </c>
      <c r="C66" s="155"/>
      <c r="D66" s="215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3"/>
    </row>
    <row r="67" spans="1:17">
      <c r="A67" s="96">
        <f t="shared" si="11"/>
        <v>58</v>
      </c>
      <c r="B67" s="79" t="s">
        <v>6</v>
      </c>
      <c r="C67" s="155"/>
      <c r="D67" s="215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73"/>
    </row>
    <row r="68" spans="1:17">
      <c r="A68" s="96">
        <f t="shared" si="11"/>
        <v>59</v>
      </c>
      <c r="B68" s="25" t="s">
        <v>67</v>
      </c>
      <c r="C68" s="11"/>
      <c r="D68" s="215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73"/>
    </row>
    <row r="69" spans="1:17">
      <c r="A69" s="96">
        <f t="shared" si="11"/>
        <v>60</v>
      </c>
      <c r="B69" s="79" t="s">
        <v>3</v>
      </c>
      <c r="C69" s="155"/>
      <c r="D69" s="215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3"/>
    </row>
    <row r="70" spans="1:17">
      <c r="A70" s="96">
        <f t="shared" si="11"/>
        <v>61</v>
      </c>
      <c r="B70" s="79" t="s">
        <v>6</v>
      </c>
      <c r="C70" s="155"/>
      <c r="D70" s="215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73"/>
    </row>
    <row r="71" spans="1:17">
      <c r="A71" s="96">
        <f t="shared" si="11"/>
        <v>62</v>
      </c>
      <c r="B71" s="25" t="s">
        <v>67</v>
      </c>
      <c r="C71" s="11"/>
      <c r="D71" s="215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73"/>
    </row>
    <row r="72" spans="1:17">
      <c r="A72" s="96">
        <f t="shared" si="11"/>
        <v>63</v>
      </c>
      <c r="B72" s="79" t="s">
        <v>3</v>
      </c>
      <c r="C72" s="155"/>
      <c r="D72" s="21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3"/>
    </row>
    <row r="73" spans="1:17">
      <c r="A73" s="96">
        <f t="shared" si="11"/>
        <v>64</v>
      </c>
      <c r="B73" s="79" t="s">
        <v>6</v>
      </c>
      <c r="C73" s="155"/>
      <c r="D73" s="215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73"/>
    </row>
    <row r="74" spans="1:17">
      <c r="A74" s="96">
        <f t="shared" si="11"/>
        <v>65</v>
      </c>
      <c r="B74" s="25" t="s">
        <v>67</v>
      </c>
      <c r="C74" s="11"/>
      <c r="D74" s="2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73"/>
    </row>
    <row r="75" spans="1:17">
      <c r="A75" s="96">
        <f t="shared" si="11"/>
        <v>66</v>
      </c>
      <c r="B75" s="79" t="s">
        <v>3</v>
      </c>
      <c r="C75" s="155"/>
      <c r="D75" s="215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3"/>
    </row>
    <row r="76" spans="1:17" ht="13.8" thickBot="1">
      <c r="A76" s="96">
        <f>A75+1</f>
        <v>67</v>
      </c>
      <c r="B76" s="104" t="s">
        <v>6</v>
      </c>
      <c r="C76" s="222"/>
      <c r="D76" s="216"/>
      <c r="E76" s="151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76"/>
    </row>
    <row r="77" spans="1:17" ht="13.8" thickBot="1">
      <c r="A77" s="105"/>
      <c r="B77" s="106"/>
      <c r="C77" s="107"/>
      <c r="D77" s="217"/>
      <c r="E77" s="108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98"/>
    </row>
    <row r="78" spans="1:17">
      <c r="A78" s="96">
        <f>A76+1</f>
        <v>68</v>
      </c>
      <c r="B78" s="110" t="s">
        <v>22</v>
      </c>
      <c r="C78" s="111"/>
      <c r="D78" s="11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71"/>
    </row>
    <row r="79" spans="1:17" ht="24" customHeight="1">
      <c r="A79" s="96">
        <f t="shared" si="11"/>
        <v>69</v>
      </c>
      <c r="B79" s="79" t="s">
        <v>3</v>
      </c>
      <c r="C79" s="97" t="s">
        <v>185</v>
      </c>
      <c r="D79" s="97" t="s">
        <v>186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73" t="s">
        <v>7</v>
      </c>
    </row>
    <row r="80" spans="1:17" ht="18" customHeight="1" thickBot="1">
      <c r="A80" s="96">
        <f t="shared" si="11"/>
        <v>70</v>
      </c>
      <c r="B80" s="81" t="s">
        <v>4</v>
      </c>
      <c r="C80" s="82" t="s">
        <v>9</v>
      </c>
      <c r="D80" s="97" t="s">
        <v>187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4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07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14" sqref="D14:D17"/>
    </sheetView>
  </sheetViews>
  <sheetFormatPr defaultColWidth="9.109375" defaultRowHeight="13.2"/>
  <cols>
    <col min="1" max="1" width="5.5546875" style="117" customWidth="1"/>
    <col min="2" max="2" width="58.77734375" style="117" customWidth="1"/>
    <col min="3" max="3" width="16.5546875" style="195" customWidth="1"/>
    <col min="4" max="4" width="14.6640625" style="117" customWidth="1"/>
    <col min="5" max="5" width="14" style="195" customWidth="1"/>
    <col min="6" max="6" width="9.33203125" style="117" bestFit="1" customWidth="1"/>
    <col min="7" max="18" width="11.109375" style="117" customWidth="1"/>
    <col min="19" max="19" width="9.5546875" style="117" customWidth="1"/>
    <col min="20" max="16384" width="9.109375" style="117"/>
  </cols>
  <sheetData>
    <row r="2" spans="2:20">
      <c r="B2" s="155" t="s">
        <v>29</v>
      </c>
    </row>
    <row r="3" spans="2:20" ht="13.8" thickBot="1"/>
    <row r="4" spans="2:20" s="133" customFormat="1" ht="22.2" customHeight="1" thickBot="1">
      <c r="B4" s="157" t="s">
        <v>30</v>
      </c>
      <c r="C4" s="158" t="s">
        <v>2</v>
      </c>
      <c r="D4" s="159"/>
      <c r="E4" s="201"/>
      <c r="F4" s="160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40" t="s">
        <v>31</v>
      </c>
      <c r="C5" s="141" t="s">
        <v>32</v>
      </c>
      <c r="D5" s="142"/>
      <c r="E5" s="202"/>
      <c r="F5" s="143"/>
      <c r="G5" s="135">
        <v>0</v>
      </c>
      <c r="H5" s="135">
        <f>G6+1</f>
        <v>7001</v>
      </c>
      <c r="I5" s="135">
        <f t="shared" ref="I5:R5" si="1">H6+1</f>
        <v>14001</v>
      </c>
      <c r="J5" s="135">
        <f t="shared" si="1"/>
        <v>21001</v>
      </c>
      <c r="K5" s="135">
        <f t="shared" si="1"/>
        <v>28001</v>
      </c>
      <c r="L5" s="135">
        <f t="shared" si="1"/>
        <v>35001</v>
      </c>
      <c r="M5" s="135">
        <f t="shared" si="1"/>
        <v>42001</v>
      </c>
      <c r="N5" s="135">
        <f t="shared" si="1"/>
        <v>49001</v>
      </c>
      <c r="O5" s="135">
        <f t="shared" si="1"/>
        <v>56001</v>
      </c>
      <c r="P5" s="135">
        <f t="shared" si="1"/>
        <v>63001</v>
      </c>
      <c r="Q5" s="135">
        <f t="shared" si="1"/>
        <v>70001</v>
      </c>
      <c r="R5" s="135">
        <f t="shared" si="1"/>
        <v>77001</v>
      </c>
    </row>
    <row r="6" spans="2:20">
      <c r="B6" s="119" t="s">
        <v>33</v>
      </c>
      <c r="C6" s="144" t="s">
        <v>32</v>
      </c>
      <c r="D6" s="145"/>
      <c r="E6" s="203"/>
      <c r="F6" s="17">
        <v>7000</v>
      </c>
      <c r="G6" s="123">
        <f>F6</f>
        <v>7000</v>
      </c>
      <c r="H6" s="123">
        <f t="shared" ref="H6:R6" si="2">G6+$F6</f>
        <v>14000</v>
      </c>
      <c r="I6" s="123">
        <f t="shared" si="2"/>
        <v>21000</v>
      </c>
      <c r="J6" s="123">
        <f t="shared" si="2"/>
        <v>28000</v>
      </c>
      <c r="K6" s="123">
        <f t="shared" si="2"/>
        <v>35000</v>
      </c>
      <c r="L6" s="123">
        <f t="shared" si="2"/>
        <v>42000</v>
      </c>
      <c r="M6" s="123">
        <f t="shared" si="2"/>
        <v>49000</v>
      </c>
      <c r="N6" s="123">
        <f t="shared" si="2"/>
        <v>56000</v>
      </c>
      <c r="O6" s="123">
        <f t="shared" si="2"/>
        <v>63000</v>
      </c>
      <c r="P6" s="123">
        <f t="shared" si="2"/>
        <v>70000</v>
      </c>
      <c r="Q6" s="123">
        <f t="shared" si="2"/>
        <v>77000</v>
      </c>
      <c r="R6" s="123">
        <f t="shared" si="2"/>
        <v>84000</v>
      </c>
    </row>
    <row r="7" spans="2:20" ht="21.75" customHeight="1">
      <c r="B7" s="18" t="s">
        <v>34</v>
      </c>
      <c r="C7" s="19" t="s">
        <v>35</v>
      </c>
      <c r="D7" s="9"/>
      <c r="E7" s="20"/>
      <c r="F7" s="21"/>
      <c r="G7" s="22">
        <f>G13</f>
        <v>272</v>
      </c>
      <c r="H7" s="22">
        <f t="shared" ref="H7:R7" si="3">H13</f>
        <v>272</v>
      </c>
      <c r="I7" s="22">
        <f t="shared" si="3"/>
        <v>272</v>
      </c>
      <c r="J7" s="22">
        <f t="shared" si="3"/>
        <v>272</v>
      </c>
      <c r="K7" s="22">
        <f t="shared" si="3"/>
        <v>272</v>
      </c>
      <c r="L7" s="22">
        <f t="shared" si="3"/>
        <v>272</v>
      </c>
      <c r="M7" s="22">
        <f t="shared" si="3"/>
        <v>272</v>
      </c>
      <c r="N7" s="22">
        <f t="shared" si="3"/>
        <v>272</v>
      </c>
      <c r="O7" s="22">
        <f t="shared" si="3"/>
        <v>272</v>
      </c>
      <c r="P7" s="22">
        <f t="shared" si="3"/>
        <v>272</v>
      </c>
      <c r="Q7" s="22">
        <f t="shared" si="3"/>
        <v>272</v>
      </c>
      <c r="R7" s="22">
        <f t="shared" si="3"/>
        <v>272</v>
      </c>
    </row>
    <row r="8" spans="2:20" ht="21" customHeight="1">
      <c r="B8" s="24" t="s">
        <v>36</v>
      </c>
      <c r="C8" s="25" t="s">
        <v>37</v>
      </c>
      <c r="D8" s="11"/>
      <c r="E8" s="20"/>
      <c r="F8" s="21"/>
      <c r="G8" s="26">
        <f>SUM(G9:G10)</f>
        <v>319660.90926166653</v>
      </c>
      <c r="H8" s="26">
        <f t="shared" ref="H8:R8" si="4">SUM(H9:H10)</f>
        <v>319660.90926166653</v>
      </c>
      <c r="I8" s="26">
        <f t="shared" si="4"/>
        <v>319660.90926166653</v>
      </c>
      <c r="J8" s="26">
        <f t="shared" si="4"/>
        <v>319660.90926166653</v>
      </c>
      <c r="K8" s="26">
        <f t="shared" si="4"/>
        <v>319660.90926166653</v>
      </c>
      <c r="L8" s="26">
        <f t="shared" si="4"/>
        <v>319660.90926166653</v>
      </c>
      <c r="M8" s="26">
        <f t="shared" si="4"/>
        <v>319660.90926166653</v>
      </c>
      <c r="N8" s="26">
        <f t="shared" si="4"/>
        <v>319660.90926166653</v>
      </c>
      <c r="O8" s="26">
        <f t="shared" si="4"/>
        <v>319660.90926166653</v>
      </c>
      <c r="P8" s="26">
        <f t="shared" si="4"/>
        <v>319660.90926166653</v>
      </c>
      <c r="Q8" s="26">
        <f t="shared" si="4"/>
        <v>319660.90926166653</v>
      </c>
      <c r="R8" s="26">
        <f t="shared" si="4"/>
        <v>319660.90926166653</v>
      </c>
    </row>
    <row r="9" spans="2:20" ht="20.25" customHeight="1">
      <c r="B9" s="27" t="s">
        <v>38</v>
      </c>
      <c r="C9" s="28" t="s">
        <v>37</v>
      </c>
      <c r="D9" s="13"/>
      <c r="E9" s="29"/>
      <c r="F9" s="30"/>
      <c r="G9" s="31">
        <f>G20</f>
        <v>300620.90926166653</v>
      </c>
      <c r="H9" s="31">
        <f>H20</f>
        <v>300620.90926166653</v>
      </c>
      <c r="I9" s="31">
        <f t="shared" ref="I9:R9" si="5">I20</f>
        <v>300620.90926166653</v>
      </c>
      <c r="J9" s="31">
        <f t="shared" si="5"/>
        <v>300620.90926166653</v>
      </c>
      <c r="K9" s="31">
        <f t="shared" si="5"/>
        <v>300620.90926166653</v>
      </c>
      <c r="L9" s="31">
        <f t="shared" si="5"/>
        <v>300620.90926166653</v>
      </c>
      <c r="M9" s="31">
        <f t="shared" si="5"/>
        <v>300620.90926166653</v>
      </c>
      <c r="N9" s="31">
        <f t="shared" si="5"/>
        <v>300620.90926166653</v>
      </c>
      <c r="O9" s="31">
        <f t="shared" si="5"/>
        <v>300620.90926166653</v>
      </c>
      <c r="P9" s="31">
        <f t="shared" si="5"/>
        <v>300620.90926166653</v>
      </c>
      <c r="Q9" s="31">
        <f t="shared" si="5"/>
        <v>300620.90926166653</v>
      </c>
      <c r="R9" s="31">
        <f t="shared" si="5"/>
        <v>300620.90926166653</v>
      </c>
    </row>
    <row r="10" spans="2:20" ht="23.25" customHeight="1" thickBot="1">
      <c r="B10" s="32" t="s">
        <v>39</v>
      </c>
      <c r="C10" s="33" t="s">
        <v>37</v>
      </c>
      <c r="D10" s="34"/>
      <c r="E10" s="35"/>
      <c r="F10" s="36">
        <v>35</v>
      </c>
      <c r="G10" s="37">
        <f>SUMPRODUCT(G14:G17,$F$14:$F$17)*$F10</f>
        <v>19040</v>
      </c>
      <c r="H10" s="37">
        <f t="shared" ref="H10:R10" si="6">SUMPRODUCT(H14:H17,$F$14:$F$17)*$F10</f>
        <v>19040</v>
      </c>
      <c r="I10" s="37">
        <f t="shared" si="6"/>
        <v>19040</v>
      </c>
      <c r="J10" s="37">
        <f t="shared" si="6"/>
        <v>19040</v>
      </c>
      <c r="K10" s="37">
        <f t="shared" si="6"/>
        <v>19040</v>
      </c>
      <c r="L10" s="37">
        <f t="shared" si="6"/>
        <v>19040</v>
      </c>
      <c r="M10" s="37">
        <f t="shared" si="6"/>
        <v>19040</v>
      </c>
      <c r="N10" s="37">
        <f t="shared" si="6"/>
        <v>19040</v>
      </c>
      <c r="O10" s="37">
        <f t="shared" si="6"/>
        <v>19040</v>
      </c>
      <c r="P10" s="37">
        <f t="shared" si="6"/>
        <v>19040</v>
      </c>
      <c r="Q10" s="37">
        <f t="shared" si="6"/>
        <v>19040</v>
      </c>
      <c r="R10" s="37">
        <f t="shared" si="6"/>
        <v>19040</v>
      </c>
    </row>
    <row r="11" spans="2:20" ht="13.8" thickBot="1"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</row>
    <row r="12" spans="2:20" s="133" customFormat="1" ht="39.6">
      <c r="B12" s="161" t="s">
        <v>40</v>
      </c>
      <c r="C12" s="162" t="s">
        <v>41</v>
      </c>
      <c r="D12" s="163" t="s">
        <v>42</v>
      </c>
      <c r="E12" s="164" t="s">
        <v>43</v>
      </c>
      <c r="F12" s="165" t="s">
        <v>44</v>
      </c>
      <c r="G12" s="166" t="s">
        <v>45</v>
      </c>
      <c r="H12" s="166" t="s">
        <v>45</v>
      </c>
      <c r="I12" s="166" t="s">
        <v>45</v>
      </c>
      <c r="J12" s="166" t="s">
        <v>45</v>
      </c>
      <c r="K12" s="166" t="s">
        <v>45</v>
      </c>
      <c r="L12" s="166" t="s">
        <v>45</v>
      </c>
      <c r="M12" s="166" t="s">
        <v>45</v>
      </c>
      <c r="N12" s="166" t="s">
        <v>45</v>
      </c>
      <c r="O12" s="166" t="s">
        <v>45</v>
      </c>
      <c r="P12" s="166" t="s">
        <v>45</v>
      </c>
      <c r="Q12" s="166" t="s">
        <v>45</v>
      </c>
      <c r="R12" s="166" t="s">
        <v>45</v>
      </c>
    </row>
    <row r="13" spans="2:20" s="133" customFormat="1">
      <c r="B13" s="38" t="s">
        <v>46</v>
      </c>
      <c r="C13" s="39"/>
      <c r="D13" s="40"/>
      <c r="E13" s="41"/>
      <c r="F13" s="146"/>
      <c r="G13" s="42">
        <f>SUM(G14:G17)</f>
        <v>272</v>
      </c>
      <c r="H13" s="42">
        <f t="shared" ref="H13:R13" si="7">SUM(H14:H17)</f>
        <v>272</v>
      </c>
      <c r="I13" s="42">
        <f t="shared" si="7"/>
        <v>272</v>
      </c>
      <c r="J13" s="42">
        <f t="shared" si="7"/>
        <v>272</v>
      </c>
      <c r="K13" s="42">
        <f t="shared" si="7"/>
        <v>272</v>
      </c>
      <c r="L13" s="42">
        <f t="shared" si="7"/>
        <v>272</v>
      </c>
      <c r="M13" s="42">
        <f t="shared" si="7"/>
        <v>272</v>
      </c>
      <c r="N13" s="42">
        <f t="shared" si="7"/>
        <v>272</v>
      </c>
      <c r="O13" s="42">
        <f t="shared" si="7"/>
        <v>272</v>
      </c>
      <c r="P13" s="42">
        <f t="shared" si="7"/>
        <v>272</v>
      </c>
      <c r="Q13" s="42">
        <f t="shared" si="7"/>
        <v>272</v>
      </c>
      <c r="R13" s="42">
        <f t="shared" si="7"/>
        <v>272</v>
      </c>
    </row>
    <row r="14" spans="2:20">
      <c r="B14" s="43" t="s">
        <v>47</v>
      </c>
      <c r="C14" s="196">
        <v>250</v>
      </c>
      <c r="D14" s="138">
        <v>6</v>
      </c>
      <c r="E14" s="208">
        <v>14</v>
      </c>
      <c r="F14" s="147">
        <v>2</v>
      </c>
      <c r="G14" s="138">
        <f>$E14*$D14</f>
        <v>84</v>
      </c>
      <c r="H14" s="138">
        <f>$E14*$D14</f>
        <v>84</v>
      </c>
      <c r="I14" s="138">
        <f>$E14*$D14</f>
        <v>84</v>
      </c>
      <c r="J14" s="138">
        <f t="shared" ref="H14:R17" si="8">$E14*$D14</f>
        <v>84</v>
      </c>
      <c r="K14" s="138">
        <f t="shared" si="8"/>
        <v>84</v>
      </c>
      <c r="L14" s="138">
        <f t="shared" si="8"/>
        <v>84</v>
      </c>
      <c r="M14" s="138">
        <f t="shared" si="8"/>
        <v>84</v>
      </c>
      <c r="N14" s="138">
        <f t="shared" si="8"/>
        <v>84</v>
      </c>
      <c r="O14" s="138">
        <f t="shared" si="8"/>
        <v>84</v>
      </c>
      <c r="P14" s="138">
        <f t="shared" si="8"/>
        <v>84</v>
      </c>
      <c r="Q14" s="138">
        <f t="shared" si="8"/>
        <v>84</v>
      </c>
      <c r="R14" s="138">
        <f t="shared" si="8"/>
        <v>84</v>
      </c>
      <c r="S14" s="117">
        <v>3</v>
      </c>
      <c r="T14" s="117" t="s">
        <v>48</v>
      </c>
    </row>
    <row r="15" spans="2:20">
      <c r="B15" s="43" t="s">
        <v>49</v>
      </c>
      <c r="C15" s="196">
        <v>500</v>
      </c>
      <c r="D15" s="138">
        <v>10</v>
      </c>
      <c r="E15" s="208">
        <v>7</v>
      </c>
      <c r="F15" s="147">
        <v>2</v>
      </c>
      <c r="G15" s="138">
        <f>$E15*$D15</f>
        <v>70</v>
      </c>
      <c r="H15" s="138">
        <f t="shared" si="8"/>
        <v>70</v>
      </c>
      <c r="I15" s="138">
        <f t="shared" si="8"/>
        <v>70</v>
      </c>
      <c r="J15" s="138">
        <f t="shared" si="8"/>
        <v>70</v>
      </c>
      <c r="K15" s="138">
        <f t="shared" si="8"/>
        <v>70</v>
      </c>
      <c r="L15" s="138">
        <f t="shared" si="8"/>
        <v>70</v>
      </c>
      <c r="M15" s="138">
        <f t="shared" si="8"/>
        <v>70</v>
      </c>
      <c r="N15" s="138">
        <f t="shared" si="8"/>
        <v>70</v>
      </c>
      <c r="O15" s="138">
        <f t="shared" si="8"/>
        <v>70</v>
      </c>
      <c r="P15" s="138">
        <f t="shared" si="8"/>
        <v>70</v>
      </c>
      <c r="Q15" s="138">
        <f t="shared" si="8"/>
        <v>70</v>
      </c>
      <c r="R15" s="138">
        <f t="shared" si="8"/>
        <v>70</v>
      </c>
      <c r="S15" s="117">
        <v>9</v>
      </c>
      <c r="T15" s="117" t="s">
        <v>48</v>
      </c>
    </row>
    <row r="16" spans="2:20">
      <c r="B16" s="43" t="s">
        <v>50</v>
      </c>
      <c r="C16" s="196">
        <v>1000</v>
      </c>
      <c r="D16" s="138">
        <v>16</v>
      </c>
      <c r="E16" s="208">
        <v>4</v>
      </c>
      <c r="F16" s="147">
        <v>2</v>
      </c>
      <c r="G16" s="138">
        <f>$E16*$D16</f>
        <v>64</v>
      </c>
      <c r="H16" s="138">
        <f t="shared" si="8"/>
        <v>64</v>
      </c>
      <c r="I16" s="138">
        <f t="shared" si="8"/>
        <v>64</v>
      </c>
      <c r="J16" s="138">
        <f t="shared" si="8"/>
        <v>64</v>
      </c>
      <c r="K16" s="138">
        <f t="shared" si="8"/>
        <v>64</v>
      </c>
      <c r="L16" s="138">
        <f t="shared" si="8"/>
        <v>64</v>
      </c>
      <c r="M16" s="138">
        <f t="shared" si="8"/>
        <v>64</v>
      </c>
      <c r="N16" s="138">
        <f t="shared" si="8"/>
        <v>64</v>
      </c>
      <c r="O16" s="138">
        <f t="shared" si="8"/>
        <v>64</v>
      </c>
      <c r="P16" s="138">
        <f t="shared" si="8"/>
        <v>64</v>
      </c>
      <c r="Q16" s="138">
        <f t="shared" si="8"/>
        <v>64</v>
      </c>
      <c r="R16" s="138">
        <f t="shared" si="8"/>
        <v>64</v>
      </c>
      <c r="S16" s="117">
        <v>15</v>
      </c>
      <c r="T16" s="117" t="s">
        <v>48</v>
      </c>
    </row>
    <row r="17" spans="2:20" ht="13.8" thickBot="1">
      <c r="B17" s="43" t="s">
        <v>51</v>
      </c>
      <c r="C17" s="196">
        <v>2000</v>
      </c>
      <c r="D17" s="138">
        <v>18</v>
      </c>
      <c r="E17" s="208">
        <v>3</v>
      </c>
      <c r="F17" s="147">
        <v>2</v>
      </c>
      <c r="G17" s="138">
        <f>$E17*$D17</f>
        <v>54</v>
      </c>
      <c r="H17" s="138">
        <f t="shared" si="8"/>
        <v>54</v>
      </c>
      <c r="I17" s="138">
        <f t="shared" si="8"/>
        <v>54</v>
      </c>
      <c r="J17" s="138">
        <f t="shared" si="8"/>
        <v>54</v>
      </c>
      <c r="K17" s="138">
        <f t="shared" si="8"/>
        <v>54</v>
      </c>
      <c r="L17" s="138">
        <f t="shared" si="8"/>
        <v>54</v>
      </c>
      <c r="M17" s="138">
        <f t="shared" si="8"/>
        <v>54</v>
      </c>
      <c r="N17" s="138">
        <f t="shared" si="8"/>
        <v>54</v>
      </c>
      <c r="O17" s="138">
        <f t="shared" si="8"/>
        <v>54</v>
      </c>
      <c r="P17" s="138">
        <f t="shared" si="8"/>
        <v>54</v>
      </c>
      <c r="Q17" s="138">
        <f t="shared" si="8"/>
        <v>54</v>
      </c>
      <c r="R17" s="138">
        <f>$E17*$D17</f>
        <v>54</v>
      </c>
      <c r="S17" s="117">
        <v>18</v>
      </c>
      <c r="T17" s="117" t="s">
        <v>48</v>
      </c>
    </row>
    <row r="18" spans="2:20" ht="13.8" thickBot="1"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</row>
    <row r="19" spans="2:20" s="133" customFormat="1" ht="26.4">
      <c r="B19" s="161" t="s">
        <v>36</v>
      </c>
      <c r="C19" s="167" t="s">
        <v>52</v>
      </c>
      <c r="D19" s="156" t="s">
        <v>53</v>
      </c>
      <c r="E19" s="168" t="s">
        <v>54</v>
      </c>
      <c r="F19" s="169" t="s">
        <v>43</v>
      </c>
      <c r="G19" s="170" t="s">
        <v>55</v>
      </c>
      <c r="H19" s="170" t="s">
        <v>55</v>
      </c>
      <c r="I19" s="170" t="s">
        <v>55</v>
      </c>
      <c r="J19" s="170" t="s">
        <v>55</v>
      </c>
      <c r="K19" s="170" t="s">
        <v>55</v>
      </c>
      <c r="L19" s="170" t="s">
        <v>55</v>
      </c>
      <c r="M19" s="170" t="s">
        <v>55</v>
      </c>
      <c r="N19" s="170" t="s">
        <v>55</v>
      </c>
      <c r="O19" s="170" t="s">
        <v>55</v>
      </c>
      <c r="P19" s="170" t="s">
        <v>55</v>
      </c>
      <c r="Q19" s="170" t="s">
        <v>55</v>
      </c>
      <c r="R19" s="170" t="s">
        <v>55</v>
      </c>
    </row>
    <row r="20" spans="2:20" s="133" customFormat="1">
      <c r="B20" s="44" t="s">
        <v>25</v>
      </c>
      <c r="C20" s="45"/>
      <c r="D20" s="46"/>
      <c r="E20" s="47"/>
      <c r="F20" s="48"/>
      <c r="G20" s="148">
        <f>SUM(G21:G107)</f>
        <v>300620.90926166653</v>
      </c>
      <c r="H20" s="148">
        <f t="shared" ref="H20:R20" si="9">SUM(H21:H107)</f>
        <v>300620.90926166653</v>
      </c>
      <c r="I20" s="148">
        <f t="shared" si="9"/>
        <v>300620.90926166653</v>
      </c>
      <c r="J20" s="148">
        <f t="shared" si="9"/>
        <v>300620.90926166653</v>
      </c>
      <c r="K20" s="148">
        <f t="shared" si="9"/>
        <v>300620.90926166653</v>
      </c>
      <c r="L20" s="148">
        <f t="shared" si="9"/>
        <v>300620.90926166653</v>
      </c>
      <c r="M20" s="148">
        <f t="shared" si="9"/>
        <v>300620.90926166653</v>
      </c>
      <c r="N20" s="148">
        <f t="shared" si="9"/>
        <v>300620.90926166653</v>
      </c>
      <c r="O20" s="148">
        <f t="shared" si="9"/>
        <v>300620.90926166653</v>
      </c>
      <c r="P20" s="148">
        <f t="shared" si="9"/>
        <v>300620.90926166653</v>
      </c>
      <c r="Q20" s="148">
        <f t="shared" si="9"/>
        <v>300620.90926166653</v>
      </c>
      <c r="R20" s="148">
        <f t="shared" si="9"/>
        <v>300620.90926166653</v>
      </c>
    </row>
    <row r="21" spans="2:20" s="133" customFormat="1">
      <c r="B21" s="137" t="s">
        <v>47</v>
      </c>
      <c r="C21" s="197"/>
      <c r="D21" s="49"/>
      <c r="E21" s="23">
        <f>VLOOKUP($B21,$B$14:$C$17,2,FALSE)</f>
        <v>250</v>
      </c>
      <c r="F21" s="17">
        <f>VLOOKUP($B21,$B$14:$E$17,4,FALSE)</f>
        <v>14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</row>
    <row r="22" spans="2:20">
      <c r="B22" s="149" t="s">
        <v>115</v>
      </c>
      <c r="C22" s="198">
        <v>750201012207</v>
      </c>
      <c r="D22" s="204">
        <v>159.86879999999999</v>
      </c>
      <c r="E22" s="200">
        <v>2</v>
      </c>
      <c r="F22" s="50"/>
      <c r="G22" s="150">
        <f>IF(G$14=0,0,G$14/$D$14*$E22*$D22)</f>
        <v>4476.3263999999999</v>
      </c>
      <c r="H22" s="150">
        <f>IF(H$14=0,0,H$14/$D$14*$E22*$D22)</f>
        <v>4476.3263999999999</v>
      </c>
      <c r="I22" s="150">
        <f>IF(I$14=0,0,I$14/$D$14*$E22*$D22)</f>
        <v>4476.3263999999999</v>
      </c>
      <c r="J22" s="150">
        <f>IF(J$14=0,0,J$14/$D$14*$E22*$D22)</f>
        <v>4476.3263999999999</v>
      </c>
      <c r="K22" s="150">
        <f t="shared" ref="H22:R30" si="10">IF(K$14=0,0,K$14/$D$14*$E22*$D22)</f>
        <v>4476.3263999999999</v>
      </c>
      <c r="L22" s="150">
        <f t="shared" si="10"/>
        <v>4476.3263999999999</v>
      </c>
      <c r="M22" s="150">
        <f t="shared" si="10"/>
        <v>4476.3263999999999</v>
      </c>
      <c r="N22" s="150">
        <f t="shared" si="10"/>
        <v>4476.3263999999999</v>
      </c>
      <c r="O22" s="150">
        <f t="shared" si="10"/>
        <v>4476.3263999999999</v>
      </c>
      <c r="P22" s="150">
        <f t="shared" si="10"/>
        <v>4476.3263999999999</v>
      </c>
      <c r="Q22" s="150">
        <f t="shared" si="10"/>
        <v>4476.3263999999999</v>
      </c>
      <c r="R22" s="150">
        <f>IF(R$14=0,0,R$14/$D$14*$E22*$D22)</f>
        <v>4476.3263999999999</v>
      </c>
    </row>
    <row r="23" spans="2:20">
      <c r="B23" s="149" t="s">
        <v>116</v>
      </c>
      <c r="C23" s="198" t="s">
        <v>122</v>
      </c>
      <c r="D23" s="204">
        <v>127.8</v>
      </c>
      <c r="E23" s="200">
        <v>1</v>
      </c>
      <c r="F23" s="50"/>
      <c r="G23" s="150">
        <f>IF(G$14=0,0,G$14/$D$14*$E23*$D23)</f>
        <v>1789.2</v>
      </c>
      <c r="H23" s="150">
        <f t="shared" si="10"/>
        <v>1789.2</v>
      </c>
      <c r="I23" s="150">
        <f t="shared" si="10"/>
        <v>1789.2</v>
      </c>
      <c r="J23" s="150">
        <f t="shared" si="10"/>
        <v>1789.2</v>
      </c>
      <c r="K23" s="150">
        <f t="shared" si="10"/>
        <v>1789.2</v>
      </c>
      <c r="L23" s="150">
        <f t="shared" si="10"/>
        <v>1789.2</v>
      </c>
      <c r="M23" s="150">
        <f t="shared" si="10"/>
        <v>1789.2</v>
      </c>
      <c r="N23" s="150">
        <f t="shared" si="10"/>
        <v>1789.2</v>
      </c>
      <c r="O23" s="150">
        <f t="shared" si="10"/>
        <v>1789.2</v>
      </c>
      <c r="P23" s="150">
        <f t="shared" si="10"/>
        <v>1789.2</v>
      </c>
      <c r="Q23" s="150">
        <f t="shared" si="10"/>
        <v>1789.2</v>
      </c>
      <c r="R23" s="150">
        <f>IF(R$14=0,0,R$14/$D$14*$E23*$D23)</f>
        <v>1789.2</v>
      </c>
    </row>
    <row r="24" spans="2:20">
      <c r="B24" s="149" t="s">
        <v>116</v>
      </c>
      <c r="C24" s="198" t="s">
        <v>123</v>
      </c>
      <c r="D24" s="204">
        <v>172.43999999999997</v>
      </c>
      <c r="E24" s="200">
        <v>1</v>
      </c>
      <c r="F24" s="50"/>
      <c r="G24" s="150">
        <f>IF(G$14=0,0,G$14/$D$14*$E24*$D24)</f>
        <v>2414.1599999999994</v>
      </c>
      <c r="H24" s="150">
        <f t="shared" si="10"/>
        <v>2414.1599999999994</v>
      </c>
      <c r="I24" s="150">
        <f t="shared" si="10"/>
        <v>2414.1599999999994</v>
      </c>
      <c r="J24" s="150">
        <f t="shared" si="10"/>
        <v>2414.1599999999994</v>
      </c>
      <c r="K24" s="150">
        <f t="shared" si="10"/>
        <v>2414.1599999999994</v>
      </c>
      <c r="L24" s="150">
        <f t="shared" si="10"/>
        <v>2414.1599999999994</v>
      </c>
      <c r="M24" s="150">
        <f t="shared" si="10"/>
        <v>2414.1599999999994</v>
      </c>
      <c r="N24" s="150">
        <f t="shared" si="10"/>
        <v>2414.1599999999994</v>
      </c>
      <c r="O24" s="150">
        <f t="shared" si="10"/>
        <v>2414.1599999999994</v>
      </c>
      <c r="P24" s="150">
        <f t="shared" si="10"/>
        <v>2414.1599999999994</v>
      </c>
      <c r="Q24" s="150">
        <f t="shared" si="10"/>
        <v>2414.1599999999994</v>
      </c>
      <c r="R24" s="150">
        <f t="shared" si="10"/>
        <v>2414.1599999999994</v>
      </c>
    </row>
    <row r="25" spans="2:20">
      <c r="B25" s="149" t="s">
        <v>117</v>
      </c>
      <c r="C25" s="198">
        <v>750201018263</v>
      </c>
      <c r="D25" s="204">
        <v>83.52</v>
      </c>
      <c r="E25" s="200">
        <v>1</v>
      </c>
      <c r="F25" s="50"/>
      <c r="G25" s="150">
        <f t="shared" ref="G25:G29" si="11">IF(G$14=0,0,G$14/$D$14*$E25*$D25)</f>
        <v>1169.28</v>
      </c>
      <c r="H25" s="150">
        <f t="shared" si="10"/>
        <v>1169.28</v>
      </c>
      <c r="I25" s="150">
        <f t="shared" si="10"/>
        <v>1169.28</v>
      </c>
      <c r="J25" s="150">
        <f t="shared" si="10"/>
        <v>1169.28</v>
      </c>
      <c r="K25" s="150">
        <f t="shared" si="10"/>
        <v>1169.28</v>
      </c>
      <c r="L25" s="150">
        <f t="shared" si="10"/>
        <v>1169.28</v>
      </c>
      <c r="M25" s="150">
        <f t="shared" si="10"/>
        <v>1169.28</v>
      </c>
      <c r="N25" s="150">
        <f t="shared" si="10"/>
        <v>1169.28</v>
      </c>
      <c r="O25" s="150">
        <f t="shared" si="10"/>
        <v>1169.28</v>
      </c>
      <c r="P25" s="150">
        <f t="shared" si="10"/>
        <v>1169.28</v>
      </c>
      <c r="Q25" s="150">
        <f t="shared" si="10"/>
        <v>1169.28</v>
      </c>
      <c r="R25" s="150">
        <f t="shared" si="10"/>
        <v>1169.28</v>
      </c>
    </row>
    <row r="26" spans="2:20">
      <c r="B26" s="149" t="s">
        <v>118</v>
      </c>
      <c r="C26" s="198">
        <v>730403000677</v>
      </c>
      <c r="D26" s="204">
        <v>380.16</v>
      </c>
      <c r="E26" s="200">
        <v>2</v>
      </c>
      <c r="F26" s="50"/>
      <c r="G26" s="150">
        <f t="shared" si="11"/>
        <v>10644.480000000001</v>
      </c>
      <c r="H26" s="150">
        <f t="shared" si="10"/>
        <v>10644.480000000001</v>
      </c>
      <c r="I26" s="150">
        <f t="shared" si="10"/>
        <v>10644.480000000001</v>
      </c>
      <c r="J26" s="150">
        <f t="shared" si="10"/>
        <v>10644.480000000001</v>
      </c>
      <c r="K26" s="150">
        <f t="shared" si="10"/>
        <v>10644.480000000001</v>
      </c>
      <c r="L26" s="150">
        <f t="shared" si="10"/>
        <v>10644.480000000001</v>
      </c>
      <c r="M26" s="150">
        <f t="shared" si="10"/>
        <v>10644.480000000001</v>
      </c>
      <c r="N26" s="150">
        <f t="shared" si="10"/>
        <v>10644.480000000001</v>
      </c>
      <c r="O26" s="150">
        <f t="shared" si="10"/>
        <v>10644.480000000001</v>
      </c>
      <c r="P26" s="150">
        <f t="shared" si="10"/>
        <v>10644.480000000001</v>
      </c>
      <c r="Q26" s="150">
        <f t="shared" si="10"/>
        <v>10644.480000000001</v>
      </c>
      <c r="R26" s="150">
        <f t="shared" si="10"/>
        <v>10644.480000000001</v>
      </c>
    </row>
    <row r="27" spans="2:20">
      <c r="B27" s="149" t="s">
        <v>119</v>
      </c>
      <c r="C27" s="198">
        <v>730403000677</v>
      </c>
      <c r="D27" s="204">
        <v>380.16</v>
      </c>
      <c r="E27" s="200">
        <v>2</v>
      </c>
      <c r="F27" s="50"/>
      <c r="G27" s="150">
        <f t="shared" si="11"/>
        <v>10644.480000000001</v>
      </c>
      <c r="H27" s="150">
        <f t="shared" si="10"/>
        <v>10644.480000000001</v>
      </c>
      <c r="I27" s="150">
        <f t="shared" si="10"/>
        <v>10644.480000000001</v>
      </c>
      <c r="J27" s="150">
        <f t="shared" si="10"/>
        <v>10644.480000000001</v>
      </c>
      <c r="K27" s="150">
        <f t="shared" si="10"/>
        <v>10644.480000000001</v>
      </c>
      <c r="L27" s="150">
        <f t="shared" si="10"/>
        <v>10644.480000000001</v>
      </c>
      <c r="M27" s="150">
        <f t="shared" si="10"/>
        <v>10644.480000000001</v>
      </c>
      <c r="N27" s="150">
        <f t="shared" si="10"/>
        <v>10644.480000000001</v>
      </c>
      <c r="O27" s="150">
        <f t="shared" si="10"/>
        <v>10644.480000000001</v>
      </c>
      <c r="P27" s="150">
        <f t="shared" si="10"/>
        <v>10644.480000000001</v>
      </c>
      <c r="Q27" s="150">
        <f t="shared" si="10"/>
        <v>10644.480000000001</v>
      </c>
      <c r="R27" s="150">
        <f t="shared" si="10"/>
        <v>10644.480000000001</v>
      </c>
    </row>
    <row r="28" spans="2:20">
      <c r="B28" s="149" t="s">
        <v>120</v>
      </c>
      <c r="C28" s="198" t="s">
        <v>124</v>
      </c>
      <c r="D28" s="204">
        <v>427.24799999999999</v>
      </c>
      <c r="E28" s="200">
        <v>1</v>
      </c>
      <c r="F28" s="50"/>
      <c r="G28" s="150">
        <f t="shared" si="11"/>
        <v>5981.4719999999998</v>
      </c>
      <c r="H28" s="150">
        <f t="shared" si="10"/>
        <v>5981.4719999999998</v>
      </c>
      <c r="I28" s="150">
        <f t="shared" si="10"/>
        <v>5981.4719999999998</v>
      </c>
      <c r="J28" s="150">
        <f t="shared" si="10"/>
        <v>5981.4719999999998</v>
      </c>
      <c r="K28" s="150">
        <f t="shared" si="10"/>
        <v>5981.4719999999998</v>
      </c>
      <c r="L28" s="150">
        <f t="shared" si="10"/>
        <v>5981.4719999999998</v>
      </c>
      <c r="M28" s="150">
        <f t="shared" si="10"/>
        <v>5981.4719999999998</v>
      </c>
      <c r="N28" s="150">
        <f t="shared" si="10"/>
        <v>5981.4719999999998</v>
      </c>
      <c r="O28" s="150">
        <f t="shared" si="10"/>
        <v>5981.4719999999998</v>
      </c>
      <c r="P28" s="150">
        <f t="shared" si="10"/>
        <v>5981.4719999999998</v>
      </c>
      <c r="Q28" s="150">
        <f t="shared" si="10"/>
        <v>5981.4719999999998</v>
      </c>
      <c r="R28" s="150">
        <f t="shared" si="10"/>
        <v>5981.4719999999998</v>
      </c>
    </row>
    <row r="29" spans="2:20">
      <c r="B29" s="149" t="s">
        <v>121</v>
      </c>
      <c r="C29" s="198">
        <v>750201011177</v>
      </c>
      <c r="D29" s="204">
        <v>146.03399999999999</v>
      </c>
      <c r="E29" s="200">
        <v>2</v>
      </c>
      <c r="F29" s="50"/>
      <c r="G29" s="150">
        <f t="shared" si="11"/>
        <v>4088.9519999999998</v>
      </c>
      <c r="H29" s="150">
        <f t="shared" si="10"/>
        <v>4088.9519999999998</v>
      </c>
      <c r="I29" s="150">
        <f t="shared" si="10"/>
        <v>4088.9519999999998</v>
      </c>
      <c r="J29" s="150">
        <f t="shared" si="10"/>
        <v>4088.9519999999998</v>
      </c>
      <c r="K29" s="150">
        <f t="shared" si="10"/>
        <v>4088.9519999999998</v>
      </c>
      <c r="L29" s="150">
        <f t="shared" si="10"/>
        <v>4088.9519999999998</v>
      </c>
      <c r="M29" s="150">
        <f t="shared" si="10"/>
        <v>4088.9519999999998</v>
      </c>
      <c r="N29" s="150">
        <f t="shared" si="10"/>
        <v>4088.9519999999998</v>
      </c>
      <c r="O29" s="150">
        <f t="shared" si="10"/>
        <v>4088.9519999999998</v>
      </c>
      <c r="P29" s="150">
        <f t="shared" si="10"/>
        <v>4088.9519999999998</v>
      </c>
      <c r="Q29" s="150">
        <f t="shared" si="10"/>
        <v>4088.9519999999998</v>
      </c>
      <c r="R29" s="150">
        <f t="shared" si="10"/>
        <v>4088.9519999999998</v>
      </c>
    </row>
    <row r="30" spans="2:20">
      <c r="B30" s="149" t="s">
        <v>126</v>
      </c>
      <c r="C30" s="199" t="s">
        <v>125</v>
      </c>
      <c r="D30" s="204">
        <v>6.5609999999999999</v>
      </c>
      <c r="E30" s="200">
        <v>75</v>
      </c>
      <c r="F30" s="50"/>
      <c r="G30" s="150">
        <f>IF(G$14=0,0,G$14/$D$14*$E30*$D30)</f>
        <v>6889.05</v>
      </c>
      <c r="H30" s="150">
        <f t="shared" si="10"/>
        <v>6889.05</v>
      </c>
      <c r="I30" s="150">
        <f t="shared" si="10"/>
        <v>6889.05</v>
      </c>
      <c r="J30" s="150">
        <f t="shared" si="10"/>
        <v>6889.05</v>
      </c>
      <c r="K30" s="150">
        <f t="shared" si="10"/>
        <v>6889.05</v>
      </c>
      <c r="L30" s="150">
        <f t="shared" si="10"/>
        <v>6889.05</v>
      </c>
      <c r="M30" s="150">
        <f t="shared" si="10"/>
        <v>6889.05</v>
      </c>
      <c r="N30" s="150">
        <f t="shared" si="10"/>
        <v>6889.05</v>
      </c>
      <c r="O30" s="150">
        <f t="shared" si="10"/>
        <v>6889.05</v>
      </c>
      <c r="P30" s="150">
        <f t="shared" si="10"/>
        <v>6889.05</v>
      </c>
      <c r="Q30" s="150">
        <f t="shared" si="10"/>
        <v>6889.05</v>
      </c>
      <c r="R30" s="150">
        <f t="shared" si="10"/>
        <v>6889.05</v>
      </c>
    </row>
    <row r="31" spans="2:20" s="133" customFormat="1">
      <c r="B31" s="137" t="s">
        <v>49</v>
      </c>
      <c r="C31" s="197"/>
      <c r="D31" s="49"/>
      <c r="E31" s="23">
        <f>VLOOKUP($B31,$B$14:$C$17,2,FALSE)</f>
        <v>500</v>
      </c>
      <c r="F31" s="17">
        <f>VLOOKUP($B31,$B$14:$E$17,4,FALSE)</f>
        <v>7</v>
      </c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</row>
    <row r="32" spans="2:20">
      <c r="B32" s="149" t="s">
        <v>115</v>
      </c>
      <c r="C32" s="198">
        <v>750201012207</v>
      </c>
      <c r="D32" s="204">
        <v>159.86879999999999</v>
      </c>
      <c r="E32" s="200">
        <v>2</v>
      </c>
      <c r="F32" s="50"/>
      <c r="G32" s="150">
        <f>IF(G$15=0,0,G$15/$D$15*$E32*$D32)</f>
        <v>2238.1632</v>
      </c>
      <c r="H32" s="150">
        <f>IF(H$15=0,0,H$15/$D$15*$E32*$D32)</f>
        <v>2238.1632</v>
      </c>
      <c r="I32" s="150">
        <f t="shared" ref="I32:R46" si="12">IF(I$15=0,0,I$15/$D$15*$E32*$D32)</f>
        <v>2238.1632</v>
      </c>
      <c r="J32" s="150">
        <f t="shared" si="12"/>
        <v>2238.1632</v>
      </c>
      <c r="K32" s="150">
        <f t="shared" si="12"/>
        <v>2238.1632</v>
      </c>
      <c r="L32" s="150">
        <f t="shared" si="12"/>
        <v>2238.1632</v>
      </c>
      <c r="M32" s="150">
        <f t="shared" si="12"/>
        <v>2238.1632</v>
      </c>
      <c r="N32" s="150">
        <f t="shared" si="12"/>
        <v>2238.1632</v>
      </c>
      <c r="O32" s="150">
        <f t="shared" si="12"/>
        <v>2238.1632</v>
      </c>
      <c r="P32" s="150">
        <f t="shared" si="12"/>
        <v>2238.1632</v>
      </c>
      <c r="Q32" s="150">
        <f t="shared" si="12"/>
        <v>2238.1632</v>
      </c>
      <c r="R32" s="150">
        <f t="shared" si="12"/>
        <v>2238.1632</v>
      </c>
    </row>
    <row r="33" spans="2:20">
      <c r="B33" s="149" t="s">
        <v>116</v>
      </c>
      <c r="C33" s="198" t="s">
        <v>122</v>
      </c>
      <c r="D33" s="204">
        <v>127.8</v>
      </c>
      <c r="E33" s="200">
        <v>1</v>
      </c>
      <c r="F33" s="50"/>
      <c r="G33" s="150">
        <f>IF(G$15=0,0,G$15/$D$15*$E33*$D33)</f>
        <v>894.6</v>
      </c>
      <c r="H33" s="150">
        <f t="shared" ref="G33:H46" si="13">IF(H$15=0,0,H$15/$D$15*$E33*$D33)</f>
        <v>894.6</v>
      </c>
      <c r="I33" s="150">
        <f t="shared" si="12"/>
        <v>894.6</v>
      </c>
      <c r="J33" s="150">
        <f t="shared" si="12"/>
        <v>894.6</v>
      </c>
      <c r="K33" s="150">
        <f t="shared" si="12"/>
        <v>894.6</v>
      </c>
      <c r="L33" s="150">
        <f t="shared" si="12"/>
        <v>894.6</v>
      </c>
      <c r="M33" s="150">
        <f t="shared" si="12"/>
        <v>894.6</v>
      </c>
      <c r="N33" s="150">
        <f t="shared" si="12"/>
        <v>894.6</v>
      </c>
      <c r="O33" s="150">
        <f t="shared" si="12"/>
        <v>894.6</v>
      </c>
      <c r="P33" s="150">
        <f t="shared" si="12"/>
        <v>894.6</v>
      </c>
      <c r="Q33" s="150">
        <f t="shared" si="12"/>
        <v>894.6</v>
      </c>
      <c r="R33" s="150">
        <f t="shared" si="12"/>
        <v>894.6</v>
      </c>
    </row>
    <row r="34" spans="2:20">
      <c r="B34" s="149" t="s">
        <v>116</v>
      </c>
      <c r="C34" s="198" t="s">
        <v>123</v>
      </c>
      <c r="D34" s="204">
        <v>172.43999999999997</v>
      </c>
      <c r="E34" s="200">
        <v>1</v>
      </c>
      <c r="F34" s="50"/>
      <c r="G34" s="150">
        <f t="shared" si="13"/>
        <v>1207.0799999999997</v>
      </c>
      <c r="H34" s="150">
        <f t="shared" si="13"/>
        <v>1207.0799999999997</v>
      </c>
      <c r="I34" s="150">
        <f t="shared" si="12"/>
        <v>1207.0799999999997</v>
      </c>
      <c r="J34" s="150">
        <f t="shared" si="12"/>
        <v>1207.0799999999997</v>
      </c>
      <c r="K34" s="150">
        <f t="shared" si="12"/>
        <v>1207.0799999999997</v>
      </c>
      <c r="L34" s="150">
        <f t="shared" si="12"/>
        <v>1207.0799999999997</v>
      </c>
      <c r="M34" s="150">
        <f t="shared" si="12"/>
        <v>1207.0799999999997</v>
      </c>
      <c r="N34" s="150">
        <f t="shared" si="12"/>
        <v>1207.0799999999997</v>
      </c>
      <c r="O34" s="150">
        <f t="shared" si="12"/>
        <v>1207.0799999999997</v>
      </c>
      <c r="P34" s="150">
        <f t="shared" si="12"/>
        <v>1207.0799999999997</v>
      </c>
      <c r="Q34" s="150">
        <f t="shared" si="12"/>
        <v>1207.0799999999997</v>
      </c>
      <c r="R34" s="150">
        <f t="shared" si="12"/>
        <v>1207.0799999999997</v>
      </c>
    </row>
    <row r="35" spans="2:20">
      <c r="B35" s="149" t="s">
        <v>117</v>
      </c>
      <c r="C35" s="198">
        <v>750201018263</v>
      </c>
      <c r="D35" s="204">
        <v>83.52</v>
      </c>
      <c r="E35" s="200">
        <v>1</v>
      </c>
      <c r="F35" s="50"/>
      <c r="G35" s="150">
        <f t="shared" si="13"/>
        <v>584.64</v>
      </c>
      <c r="H35" s="150">
        <f t="shared" si="13"/>
        <v>584.64</v>
      </c>
      <c r="I35" s="150">
        <f t="shared" si="12"/>
        <v>584.64</v>
      </c>
      <c r="J35" s="150">
        <f t="shared" si="12"/>
        <v>584.64</v>
      </c>
      <c r="K35" s="150">
        <f t="shared" si="12"/>
        <v>584.64</v>
      </c>
      <c r="L35" s="150">
        <f t="shared" si="12"/>
        <v>584.64</v>
      </c>
      <c r="M35" s="150">
        <f t="shared" si="12"/>
        <v>584.64</v>
      </c>
      <c r="N35" s="150">
        <f t="shared" si="12"/>
        <v>584.64</v>
      </c>
      <c r="O35" s="150">
        <f t="shared" si="12"/>
        <v>584.64</v>
      </c>
      <c r="P35" s="150">
        <f t="shared" si="12"/>
        <v>584.64</v>
      </c>
      <c r="Q35" s="150">
        <f t="shared" si="12"/>
        <v>584.64</v>
      </c>
      <c r="R35" s="150">
        <f t="shared" si="12"/>
        <v>584.64</v>
      </c>
    </row>
    <row r="36" spans="2:20">
      <c r="B36" s="149" t="s">
        <v>118</v>
      </c>
      <c r="C36" s="198">
        <v>730403000677</v>
      </c>
      <c r="D36" s="204">
        <v>380.16</v>
      </c>
      <c r="E36" s="200">
        <v>2</v>
      </c>
      <c r="F36" s="50"/>
      <c r="G36" s="150">
        <f t="shared" si="13"/>
        <v>5322.2400000000007</v>
      </c>
      <c r="H36" s="150">
        <f t="shared" si="13"/>
        <v>5322.2400000000007</v>
      </c>
      <c r="I36" s="150">
        <f t="shared" si="12"/>
        <v>5322.2400000000007</v>
      </c>
      <c r="J36" s="150">
        <f t="shared" si="12"/>
        <v>5322.2400000000007</v>
      </c>
      <c r="K36" s="150">
        <f t="shared" si="12"/>
        <v>5322.2400000000007</v>
      </c>
      <c r="L36" s="150">
        <f t="shared" si="12"/>
        <v>5322.2400000000007</v>
      </c>
      <c r="M36" s="150">
        <f t="shared" si="12"/>
        <v>5322.2400000000007</v>
      </c>
      <c r="N36" s="150">
        <f t="shared" si="12"/>
        <v>5322.2400000000007</v>
      </c>
      <c r="O36" s="150">
        <f t="shared" si="12"/>
        <v>5322.2400000000007</v>
      </c>
      <c r="P36" s="150">
        <f t="shared" si="12"/>
        <v>5322.2400000000007</v>
      </c>
      <c r="Q36" s="150">
        <f t="shared" si="12"/>
        <v>5322.2400000000007</v>
      </c>
      <c r="R36" s="150">
        <f t="shared" si="12"/>
        <v>5322.2400000000007</v>
      </c>
    </row>
    <row r="37" spans="2:20">
      <c r="B37" s="149" t="s">
        <v>119</v>
      </c>
      <c r="C37" s="198">
        <v>730403000677</v>
      </c>
      <c r="D37" s="204">
        <v>380.16</v>
      </c>
      <c r="E37" s="200">
        <v>2</v>
      </c>
      <c r="F37" s="50"/>
      <c r="G37" s="150">
        <f t="shared" si="13"/>
        <v>5322.2400000000007</v>
      </c>
      <c r="H37" s="150">
        <f t="shared" si="13"/>
        <v>5322.2400000000007</v>
      </c>
      <c r="I37" s="150">
        <f t="shared" si="12"/>
        <v>5322.2400000000007</v>
      </c>
      <c r="J37" s="150">
        <f t="shared" si="12"/>
        <v>5322.2400000000007</v>
      </c>
      <c r="K37" s="150">
        <f t="shared" si="12"/>
        <v>5322.2400000000007</v>
      </c>
      <c r="L37" s="150">
        <f t="shared" si="12"/>
        <v>5322.2400000000007</v>
      </c>
      <c r="M37" s="150">
        <f t="shared" si="12"/>
        <v>5322.2400000000007</v>
      </c>
      <c r="N37" s="150">
        <f t="shared" si="12"/>
        <v>5322.2400000000007</v>
      </c>
      <c r="O37" s="150">
        <f t="shared" si="12"/>
        <v>5322.2400000000007</v>
      </c>
      <c r="P37" s="150">
        <f t="shared" si="12"/>
        <v>5322.2400000000007</v>
      </c>
      <c r="Q37" s="150">
        <f t="shared" si="12"/>
        <v>5322.2400000000007</v>
      </c>
      <c r="R37" s="150">
        <f t="shared" si="12"/>
        <v>5322.2400000000007</v>
      </c>
    </row>
    <row r="38" spans="2:20" s="133" customFormat="1">
      <c r="B38" s="149" t="s">
        <v>120</v>
      </c>
      <c r="C38" s="198" t="s">
        <v>124</v>
      </c>
      <c r="D38" s="204">
        <v>427.24799999999999</v>
      </c>
      <c r="E38" s="200">
        <v>1</v>
      </c>
      <c r="F38" s="17"/>
      <c r="G38" s="150">
        <f t="shared" si="13"/>
        <v>2990.7359999999999</v>
      </c>
      <c r="H38" s="150">
        <f t="shared" si="13"/>
        <v>2990.7359999999999</v>
      </c>
      <c r="I38" s="150">
        <f t="shared" si="12"/>
        <v>2990.7359999999999</v>
      </c>
      <c r="J38" s="150">
        <f t="shared" si="12"/>
        <v>2990.7359999999999</v>
      </c>
      <c r="K38" s="150">
        <f t="shared" si="12"/>
        <v>2990.7359999999999</v>
      </c>
      <c r="L38" s="150">
        <f t="shared" si="12"/>
        <v>2990.7359999999999</v>
      </c>
      <c r="M38" s="150">
        <f t="shared" si="12"/>
        <v>2990.7359999999999</v>
      </c>
      <c r="N38" s="150">
        <f t="shared" si="12"/>
        <v>2990.7359999999999</v>
      </c>
      <c r="O38" s="150">
        <f t="shared" si="12"/>
        <v>2990.7359999999999</v>
      </c>
      <c r="P38" s="150">
        <f t="shared" si="12"/>
        <v>2990.7359999999999</v>
      </c>
      <c r="Q38" s="150">
        <f t="shared" si="12"/>
        <v>2990.7359999999999</v>
      </c>
      <c r="R38" s="150">
        <f t="shared" si="12"/>
        <v>2990.7359999999999</v>
      </c>
    </row>
    <row r="39" spans="2:20">
      <c r="B39" s="149" t="s">
        <v>121</v>
      </c>
      <c r="C39" s="198">
        <v>750201011177</v>
      </c>
      <c r="D39" s="204">
        <v>146.03399999999999</v>
      </c>
      <c r="E39" s="200">
        <v>2</v>
      </c>
      <c r="F39" s="50"/>
      <c r="G39" s="150">
        <f t="shared" si="13"/>
        <v>2044.4759999999999</v>
      </c>
      <c r="H39" s="150">
        <f t="shared" si="13"/>
        <v>2044.4759999999999</v>
      </c>
      <c r="I39" s="150">
        <f t="shared" si="12"/>
        <v>2044.4759999999999</v>
      </c>
      <c r="J39" s="150">
        <f t="shared" si="12"/>
        <v>2044.4759999999999</v>
      </c>
      <c r="K39" s="150">
        <f t="shared" si="12"/>
        <v>2044.4759999999999</v>
      </c>
      <c r="L39" s="150">
        <f t="shared" si="12"/>
        <v>2044.4759999999999</v>
      </c>
      <c r="M39" s="150">
        <f t="shared" si="12"/>
        <v>2044.4759999999999</v>
      </c>
      <c r="N39" s="150">
        <f t="shared" si="12"/>
        <v>2044.4759999999999</v>
      </c>
      <c r="O39" s="150">
        <f t="shared" si="12"/>
        <v>2044.4759999999999</v>
      </c>
      <c r="P39" s="150">
        <f t="shared" si="12"/>
        <v>2044.4759999999999</v>
      </c>
      <c r="Q39" s="150">
        <f t="shared" si="12"/>
        <v>2044.4759999999999</v>
      </c>
      <c r="R39" s="150">
        <f t="shared" si="12"/>
        <v>2044.4759999999999</v>
      </c>
    </row>
    <row r="40" spans="2:20">
      <c r="B40" s="149" t="s">
        <v>127</v>
      </c>
      <c r="C40" s="198">
        <v>1202804003</v>
      </c>
      <c r="D40" s="204">
        <v>420.9</v>
      </c>
      <c r="E40" s="200">
        <v>3</v>
      </c>
      <c r="F40" s="50"/>
      <c r="G40" s="150">
        <f t="shared" si="13"/>
        <v>8838.9</v>
      </c>
      <c r="H40" s="150">
        <f t="shared" si="13"/>
        <v>8838.9</v>
      </c>
      <c r="I40" s="150">
        <f t="shared" si="12"/>
        <v>8838.9</v>
      </c>
      <c r="J40" s="150">
        <f t="shared" si="12"/>
        <v>8838.9</v>
      </c>
      <c r="K40" s="150">
        <f t="shared" si="12"/>
        <v>8838.9</v>
      </c>
      <c r="L40" s="150">
        <f t="shared" si="12"/>
        <v>8838.9</v>
      </c>
      <c r="M40" s="150">
        <f t="shared" si="12"/>
        <v>8838.9</v>
      </c>
      <c r="N40" s="150">
        <f t="shared" si="12"/>
        <v>8838.9</v>
      </c>
      <c r="O40" s="150">
        <f t="shared" si="12"/>
        <v>8838.9</v>
      </c>
      <c r="P40" s="150">
        <f t="shared" si="12"/>
        <v>8838.9</v>
      </c>
      <c r="Q40" s="150">
        <f t="shared" si="12"/>
        <v>8838.9</v>
      </c>
      <c r="R40" s="150">
        <f t="shared" si="12"/>
        <v>8838.9</v>
      </c>
    </row>
    <row r="41" spans="2:20">
      <c r="B41" s="149" t="s">
        <v>128</v>
      </c>
      <c r="C41" s="198">
        <v>730403000676</v>
      </c>
      <c r="D41" s="204">
        <v>164.15999999999997</v>
      </c>
      <c r="E41" s="200">
        <v>2</v>
      </c>
      <c r="F41" s="50"/>
      <c r="G41" s="150">
        <f t="shared" si="13"/>
        <v>2298.2399999999998</v>
      </c>
      <c r="H41" s="150">
        <f t="shared" si="13"/>
        <v>2298.2399999999998</v>
      </c>
      <c r="I41" s="150">
        <f t="shared" si="12"/>
        <v>2298.2399999999998</v>
      </c>
      <c r="J41" s="150">
        <f t="shared" si="12"/>
        <v>2298.2399999999998</v>
      </c>
      <c r="K41" s="150">
        <f t="shared" si="12"/>
        <v>2298.2399999999998</v>
      </c>
      <c r="L41" s="150">
        <f t="shared" si="12"/>
        <v>2298.2399999999998</v>
      </c>
      <c r="M41" s="150">
        <f t="shared" si="12"/>
        <v>2298.2399999999998</v>
      </c>
      <c r="N41" s="150">
        <f t="shared" si="12"/>
        <v>2298.2399999999998</v>
      </c>
      <c r="O41" s="150">
        <f t="shared" si="12"/>
        <v>2298.2399999999998</v>
      </c>
      <c r="P41" s="150">
        <f t="shared" si="12"/>
        <v>2298.2399999999998</v>
      </c>
      <c r="Q41" s="150">
        <f t="shared" si="12"/>
        <v>2298.2399999999998</v>
      </c>
      <c r="R41" s="150">
        <f t="shared" si="12"/>
        <v>2298.2399999999998</v>
      </c>
    </row>
    <row r="42" spans="2:20">
      <c r="B42" s="149" t="s">
        <v>129</v>
      </c>
      <c r="C42" s="198">
        <v>750201011176</v>
      </c>
      <c r="D42" s="204">
        <v>64.05</v>
      </c>
      <c r="E42" s="200">
        <v>2</v>
      </c>
      <c r="F42" s="50"/>
      <c r="G42" s="150">
        <f t="shared" si="13"/>
        <v>896.69999999999993</v>
      </c>
      <c r="H42" s="150">
        <f t="shared" si="13"/>
        <v>896.69999999999993</v>
      </c>
      <c r="I42" s="150">
        <f t="shared" si="12"/>
        <v>896.69999999999993</v>
      </c>
      <c r="J42" s="150">
        <f t="shared" si="12"/>
        <v>896.69999999999993</v>
      </c>
      <c r="K42" s="150">
        <f t="shared" si="12"/>
        <v>896.69999999999993</v>
      </c>
      <c r="L42" s="150">
        <f t="shared" si="12"/>
        <v>896.69999999999993</v>
      </c>
      <c r="M42" s="150">
        <f t="shared" si="12"/>
        <v>896.69999999999993</v>
      </c>
      <c r="N42" s="150">
        <f t="shared" si="12"/>
        <v>896.69999999999993</v>
      </c>
      <c r="O42" s="150">
        <f t="shared" si="12"/>
        <v>896.69999999999993</v>
      </c>
      <c r="P42" s="150">
        <f t="shared" si="12"/>
        <v>896.69999999999993</v>
      </c>
      <c r="Q42" s="150">
        <f t="shared" si="12"/>
        <v>896.69999999999993</v>
      </c>
      <c r="R42" s="150">
        <f t="shared" si="12"/>
        <v>896.69999999999993</v>
      </c>
    </row>
    <row r="43" spans="2:20">
      <c r="B43" s="149" t="s">
        <v>130</v>
      </c>
      <c r="C43" s="198">
        <v>302030055771</v>
      </c>
      <c r="D43" s="204">
        <v>110.7684</v>
      </c>
      <c r="E43" s="200">
        <v>8</v>
      </c>
      <c r="F43" s="50"/>
      <c r="G43" s="150">
        <f t="shared" si="13"/>
        <v>6203.0303999999996</v>
      </c>
      <c r="H43" s="150">
        <f t="shared" si="13"/>
        <v>6203.0303999999996</v>
      </c>
      <c r="I43" s="150">
        <f t="shared" si="12"/>
        <v>6203.0303999999996</v>
      </c>
      <c r="J43" s="150">
        <f t="shared" si="12"/>
        <v>6203.0303999999996</v>
      </c>
      <c r="K43" s="150">
        <f t="shared" si="12"/>
        <v>6203.0303999999996</v>
      </c>
      <c r="L43" s="150">
        <f t="shared" si="12"/>
        <v>6203.0303999999996</v>
      </c>
      <c r="M43" s="150">
        <f t="shared" si="12"/>
        <v>6203.0303999999996</v>
      </c>
      <c r="N43" s="150">
        <f t="shared" si="12"/>
        <v>6203.0303999999996</v>
      </c>
      <c r="O43" s="150">
        <f t="shared" si="12"/>
        <v>6203.0303999999996</v>
      </c>
      <c r="P43" s="150">
        <f t="shared" si="12"/>
        <v>6203.0303999999996</v>
      </c>
      <c r="Q43" s="150">
        <f t="shared" si="12"/>
        <v>6203.0303999999996</v>
      </c>
      <c r="R43" s="150">
        <f t="shared" si="12"/>
        <v>6203.0303999999996</v>
      </c>
    </row>
    <row r="44" spans="2:20">
      <c r="B44" s="149" t="s">
        <v>131</v>
      </c>
      <c r="C44" s="198">
        <v>302030055762</v>
      </c>
      <c r="D44" s="204">
        <v>102.4614</v>
      </c>
      <c r="E44" s="200">
        <v>4</v>
      </c>
      <c r="F44" s="50"/>
      <c r="G44" s="150">
        <f t="shared" si="13"/>
        <v>2868.9191999999998</v>
      </c>
      <c r="H44" s="150">
        <f t="shared" si="13"/>
        <v>2868.9191999999998</v>
      </c>
      <c r="I44" s="150">
        <f t="shared" si="12"/>
        <v>2868.9191999999998</v>
      </c>
      <c r="J44" s="150">
        <f t="shared" si="12"/>
        <v>2868.9191999999998</v>
      </c>
      <c r="K44" s="150">
        <f t="shared" si="12"/>
        <v>2868.9191999999998</v>
      </c>
      <c r="L44" s="150">
        <f t="shared" si="12"/>
        <v>2868.9191999999998</v>
      </c>
      <c r="M44" s="150">
        <f t="shared" si="12"/>
        <v>2868.9191999999998</v>
      </c>
      <c r="N44" s="150">
        <f t="shared" si="12"/>
        <v>2868.9191999999998</v>
      </c>
      <c r="O44" s="150">
        <f t="shared" si="12"/>
        <v>2868.9191999999998</v>
      </c>
      <c r="P44" s="150">
        <f t="shared" si="12"/>
        <v>2868.9191999999998</v>
      </c>
      <c r="Q44" s="150">
        <f t="shared" si="12"/>
        <v>2868.9191999999998</v>
      </c>
      <c r="R44" s="150">
        <f t="shared" si="12"/>
        <v>2868.9191999999998</v>
      </c>
    </row>
    <row r="45" spans="2:20">
      <c r="B45" s="149" t="s">
        <v>132</v>
      </c>
      <c r="C45" s="198">
        <v>730403000276</v>
      </c>
      <c r="D45" s="204">
        <v>57.644999999999996</v>
      </c>
      <c r="E45" s="200">
        <v>1</v>
      </c>
      <c r="F45" s="50"/>
      <c r="G45" s="150">
        <f t="shared" si="13"/>
        <v>403.51499999999999</v>
      </c>
      <c r="H45" s="150">
        <f t="shared" si="13"/>
        <v>403.51499999999999</v>
      </c>
      <c r="I45" s="150">
        <f t="shared" si="12"/>
        <v>403.51499999999999</v>
      </c>
      <c r="J45" s="150">
        <f t="shared" si="12"/>
        <v>403.51499999999999</v>
      </c>
      <c r="K45" s="150">
        <f t="shared" si="12"/>
        <v>403.51499999999999</v>
      </c>
      <c r="L45" s="150">
        <f t="shared" si="12"/>
        <v>403.51499999999999</v>
      </c>
      <c r="M45" s="150">
        <f t="shared" si="12"/>
        <v>403.51499999999999</v>
      </c>
      <c r="N45" s="150">
        <f t="shared" si="12"/>
        <v>403.51499999999999</v>
      </c>
      <c r="O45" s="150">
        <f t="shared" si="12"/>
        <v>403.51499999999999</v>
      </c>
      <c r="P45" s="150">
        <f t="shared" si="12"/>
        <v>403.51499999999999</v>
      </c>
      <c r="Q45" s="150">
        <f t="shared" si="12"/>
        <v>403.51499999999999</v>
      </c>
      <c r="R45" s="150">
        <f t="shared" si="12"/>
        <v>403.51499999999999</v>
      </c>
      <c r="T45" s="205"/>
    </row>
    <row r="46" spans="2:20">
      <c r="B46" s="149" t="s">
        <v>126</v>
      </c>
      <c r="C46" s="199" t="s">
        <v>125</v>
      </c>
      <c r="D46" s="204">
        <v>6.5609999999999999</v>
      </c>
      <c r="E46" s="200">
        <v>75</v>
      </c>
      <c r="F46" s="50"/>
      <c r="G46" s="150">
        <f>IF(G$15=0,0,G$15/$D$15*$E46*$D46)</f>
        <v>3444.5250000000001</v>
      </c>
      <c r="H46" s="150">
        <f t="shared" si="13"/>
        <v>3444.5250000000001</v>
      </c>
      <c r="I46" s="150">
        <f t="shared" si="12"/>
        <v>3444.5250000000001</v>
      </c>
      <c r="J46" s="150">
        <f>IF(J$15=0,0,J$15/$D$15*$E46*$D46)</f>
        <v>3444.5250000000001</v>
      </c>
      <c r="K46" s="150">
        <f t="shared" si="12"/>
        <v>3444.5250000000001</v>
      </c>
      <c r="L46" s="150">
        <f t="shared" si="12"/>
        <v>3444.5250000000001</v>
      </c>
      <c r="M46" s="150">
        <f t="shared" si="12"/>
        <v>3444.5250000000001</v>
      </c>
      <c r="N46" s="150">
        <f t="shared" si="12"/>
        <v>3444.5250000000001</v>
      </c>
      <c r="O46" s="150">
        <f t="shared" si="12"/>
        <v>3444.5250000000001</v>
      </c>
      <c r="P46" s="150">
        <f t="shared" si="12"/>
        <v>3444.5250000000001</v>
      </c>
      <c r="Q46" s="150">
        <f t="shared" si="12"/>
        <v>3444.5250000000001</v>
      </c>
      <c r="R46" s="150">
        <f t="shared" si="12"/>
        <v>3444.5250000000001</v>
      </c>
    </row>
    <row r="47" spans="2:20" s="133" customFormat="1">
      <c r="B47" s="206" t="s">
        <v>50</v>
      </c>
      <c r="C47" s="197"/>
      <c r="D47" s="49"/>
      <c r="E47" s="23">
        <f>VLOOKUP($B47,$B$14:$C$17,2,FALSE)</f>
        <v>1000</v>
      </c>
      <c r="F47" s="17">
        <f>VLOOKUP($B47,$B$14:$E$17,4,FALSE)</f>
        <v>4</v>
      </c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</row>
    <row r="48" spans="2:20">
      <c r="B48" s="149" t="s">
        <v>115</v>
      </c>
      <c r="C48" s="198">
        <v>750201012207</v>
      </c>
      <c r="D48" s="204">
        <v>159.86879999999999</v>
      </c>
      <c r="E48" s="200">
        <v>2</v>
      </c>
      <c r="F48" s="50"/>
      <c r="G48" s="150">
        <f>IF(G$16=0,0,G$16/$D$16*$E48*$D48)</f>
        <v>1278.9503999999999</v>
      </c>
      <c r="H48" s="150">
        <f t="shared" ref="H48:P70" si="14">IF(H$16=0,0,H$16/$D$16*$E48*$D48)</f>
        <v>1278.9503999999999</v>
      </c>
      <c r="I48" s="150">
        <f t="shared" si="14"/>
        <v>1278.9503999999999</v>
      </c>
      <c r="J48" s="150">
        <f t="shared" si="14"/>
        <v>1278.9503999999999</v>
      </c>
      <c r="K48" s="150">
        <f t="shared" si="14"/>
        <v>1278.9503999999999</v>
      </c>
      <c r="L48" s="150">
        <f t="shared" si="14"/>
        <v>1278.9503999999999</v>
      </c>
      <c r="M48" s="150">
        <f t="shared" si="14"/>
        <v>1278.9503999999999</v>
      </c>
      <c r="N48" s="150">
        <f t="shared" si="14"/>
        <v>1278.9503999999999</v>
      </c>
      <c r="O48" s="150">
        <f t="shared" si="14"/>
        <v>1278.9503999999999</v>
      </c>
      <c r="P48" s="150">
        <f t="shared" si="14"/>
        <v>1278.9503999999999</v>
      </c>
      <c r="Q48" s="150">
        <f>IF(Q$16=0,0,Q$16/$D$16*$E48*$D48)</f>
        <v>1278.9503999999999</v>
      </c>
      <c r="R48" s="150">
        <f>IF(R$16=0,0,R$16/$D$16*$E48*$D48)</f>
        <v>1278.9503999999999</v>
      </c>
    </row>
    <row r="49" spans="2:20">
      <c r="B49" s="149" t="s">
        <v>116</v>
      </c>
      <c r="C49" s="198" t="s">
        <v>122</v>
      </c>
      <c r="D49" s="204">
        <v>127.8</v>
      </c>
      <c r="E49" s="200">
        <v>1</v>
      </c>
      <c r="F49" s="50"/>
      <c r="G49" s="150">
        <f t="shared" ref="G49:G75" si="15">IF(G$16=0,0,G$16/$D$16*$E49*$D49)</f>
        <v>511.2</v>
      </c>
      <c r="H49" s="150">
        <f t="shared" si="14"/>
        <v>511.2</v>
      </c>
      <c r="I49" s="150">
        <f t="shared" si="14"/>
        <v>511.2</v>
      </c>
      <c r="J49" s="150">
        <f t="shared" si="14"/>
        <v>511.2</v>
      </c>
      <c r="K49" s="150">
        <f t="shared" si="14"/>
        <v>511.2</v>
      </c>
      <c r="L49" s="150">
        <f t="shared" si="14"/>
        <v>511.2</v>
      </c>
      <c r="M49" s="150">
        <f t="shared" si="14"/>
        <v>511.2</v>
      </c>
      <c r="N49" s="150">
        <f t="shared" si="14"/>
        <v>511.2</v>
      </c>
      <c r="O49" s="150">
        <f t="shared" si="14"/>
        <v>511.2</v>
      </c>
      <c r="P49" s="150">
        <f t="shared" si="14"/>
        <v>511.2</v>
      </c>
      <c r="Q49" s="150">
        <f t="shared" ref="Q49:R75" si="16">IF(Q$16=0,0,Q$16/$D$16*$E49*$D49)</f>
        <v>511.2</v>
      </c>
      <c r="R49" s="150">
        <f t="shared" si="16"/>
        <v>511.2</v>
      </c>
    </row>
    <row r="50" spans="2:20">
      <c r="B50" s="149" t="s">
        <v>116</v>
      </c>
      <c r="C50" s="198" t="s">
        <v>123</v>
      </c>
      <c r="D50" s="204">
        <v>172.43999999999997</v>
      </c>
      <c r="E50" s="200">
        <v>1</v>
      </c>
      <c r="F50" s="50"/>
      <c r="G50" s="150">
        <f t="shared" si="15"/>
        <v>689.75999999999988</v>
      </c>
      <c r="H50" s="150">
        <f t="shared" si="14"/>
        <v>689.75999999999988</v>
      </c>
      <c r="I50" s="150">
        <f t="shared" si="14"/>
        <v>689.75999999999988</v>
      </c>
      <c r="J50" s="150">
        <f t="shared" si="14"/>
        <v>689.75999999999988</v>
      </c>
      <c r="K50" s="150">
        <f t="shared" si="14"/>
        <v>689.75999999999988</v>
      </c>
      <c r="L50" s="150">
        <f t="shared" si="14"/>
        <v>689.75999999999988</v>
      </c>
      <c r="M50" s="150">
        <f t="shared" si="14"/>
        <v>689.75999999999988</v>
      </c>
      <c r="N50" s="150">
        <f t="shared" si="14"/>
        <v>689.75999999999988</v>
      </c>
      <c r="O50" s="150">
        <f t="shared" si="14"/>
        <v>689.75999999999988</v>
      </c>
      <c r="P50" s="150">
        <f t="shared" si="14"/>
        <v>689.75999999999988</v>
      </c>
      <c r="Q50" s="150">
        <f t="shared" si="16"/>
        <v>689.75999999999988</v>
      </c>
      <c r="R50" s="150">
        <f t="shared" si="16"/>
        <v>689.75999999999988</v>
      </c>
    </row>
    <row r="51" spans="2:20">
      <c r="B51" s="149" t="s">
        <v>117</v>
      </c>
      <c r="C51" s="198">
        <v>750201018263</v>
      </c>
      <c r="D51" s="204">
        <v>83.52</v>
      </c>
      <c r="E51" s="200">
        <v>1</v>
      </c>
      <c r="F51" s="50"/>
      <c r="G51" s="150">
        <f t="shared" si="15"/>
        <v>334.08</v>
      </c>
      <c r="H51" s="150">
        <f t="shared" si="14"/>
        <v>334.08</v>
      </c>
      <c r="I51" s="150">
        <f t="shared" si="14"/>
        <v>334.08</v>
      </c>
      <c r="J51" s="150">
        <f t="shared" si="14"/>
        <v>334.08</v>
      </c>
      <c r="K51" s="150">
        <f t="shared" si="14"/>
        <v>334.08</v>
      </c>
      <c r="L51" s="150">
        <f t="shared" si="14"/>
        <v>334.08</v>
      </c>
      <c r="M51" s="150">
        <f t="shared" si="14"/>
        <v>334.08</v>
      </c>
      <c r="N51" s="150">
        <f t="shared" si="14"/>
        <v>334.08</v>
      </c>
      <c r="O51" s="150">
        <f t="shared" si="14"/>
        <v>334.08</v>
      </c>
      <c r="P51" s="150">
        <f t="shared" ref="P51:P75" si="17">IF(P$16=0,0,P$16/$D$16*$E51*$D51)</f>
        <v>334.08</v>
      </c>
      <c r="Q51" s="150">
        <f t="shared" si="16"/>
        <v>334.08</v>
      </c>
      <c r="R51" s="150">
        <f t="shared" si="16"/>
        <v>334.08</v>
      </c>
    </row>
    <row r="52" spans="2:20">
      <c r="B52" s="149" t="s">
        <v>118</v>
      </c>
      <c r="C52" s="198">
        <v>730403000677</v>
      </c>
      <c r="D52" s="204">
        <v>380.16</v>
      </c>
      <c r="E52" s="200">
        <v>2</v>
      </c>
      <c r="F52" s="50"/>
      <c r="G52" s="150">
        <f t="shared" si="15"/>
        <v>3041.28</v>
      </c>
      <c r="H52" s="150">
        <f t="shared" si="14"/>
        <v>3041.28</v>
      </c>
      <c r="I52" s="150">
        <f t="shared" si="14"/>
        <v>3041.28</v>
      </c>
      <c r="J52" s="150">
        <f t="shared" si="14"/>
        <v>3041.28</v>
      </c>
      <c r="K52" s="150">
        <f t="shared" si="14"/>
        <v>3041.28</v>
      </c>
      <c r="L52" s="150">
        <f t="shared" si="14"/>
        <v>3041.28</v>
      </c>
      <c r="M52" s="150">
        <f t="shared" si="14"/>
        <v>3041.28</v>
      </c>
      <c r="N52" s="150">
        <f t="shared" si="14"/>
        <v>3041.28</v>
      </c>
      <c r="O52" s="150">
        <f t="shared" si="14"/>
        <v>3041.28</v>
      </c>
      <c r="P52" s="150">
        <f t="shared" si="17"/>
        <v>3041.28</v>
      </c>
      <c r="Q52" s="150">
        <f t="shared" si="16"/>
        <v>3041.28</v>
      </c>
      <c r="R52" s="150">
        <f t="shared" si="16"/>
        <v>3041.28</v>
      </c>
    </row>
    <row r="53" spans="2:20">
      <c r="B53" s="149" t="s">
        <v>119</v>
      </c>
      <c r="C53" s="198">
        <v>730403000677</v>
      </c>
      <c r="D53" s="204">
        <v>380.16</v>
      </c>
      <c r="E53" s="200">
        <v>2</v>
      </c>
      <c r="F53" s="50"/>
      <c r="G53" s="150">
        <f t="shared" si="15"/>
        <v>3041.28</v>
      </c>
      <c r="H53" s="150">
        <f t="shared" si="14"/>
        <v>3041.28</v>
      </c>
      <c r="I53" s="150">
        <f t="shared" si="14"/>
        <v>3041.28</v>
      </c>
      <c r="J53" s="150">
        <f t="shared" si="14"/>
        <v>3041.28</v>
      </c>
      <c r="K53" s="150">
        <f t="shared" si="14"/>
        <v>3041.28</v>
      </c>
      <c r="L53" s="150">
        <f t="shared" si="14"/>
        <v>3041.28</v>
      </c>
      <c r="M53" s="150">
        <f t="shared" si="14"/>
        <v>3041.28</v>
      </c>
      <c r="N53" s="150">
        <f t="shared" si="14"/>
        <v>3041.28</v>
      </c>
      <c r="O53" s="150">
        <f t="shared" si="14"/>
        <v>3041.28</v>
      </c>
      <c r="P53" s="150">
        <f t="shared" si="17"/>
        <v>3041.28</v>
      </c>
      <c r="Q53" s="150">
        <f t="shared" si="16"/>
        <v>3041.28</v>
      </c>
      <c r="R53" s="150">
        <f t="shared" si="16"/>
        <v>3041.28</v>
      </c>
    </row>
    <row r="54" spans="2:20" s="133" customFormat="1">
      <c r="B54" s="149" t="s">
        <v>120</v>
      </c>
      <c r="C54" s="198" t="s">
        <v>124</v>
      </c>
      <c r="D54" s="204">
        <v>427.24799999999999</v>
      </c>
      <c r="E54" s="200">
        <v>1</v>
      </c>
      <c r="F54" s="17"/>
      <c r="G54" s="150">
        <f t="shared" si="15"/>
        <v>1708.992</v>
      </c>
      <c r="H54" s="150">
        <f t="shared" si="14"/>
        <v>1708.992</v>
      </c>
      <c r="I54" s="150">
        <f t="shared" si="14"/>
        <v>1708.992</v>
      </c>
      <c r="J54" s="150">
        <f t="shared" si="14"/>
        <v>1708.992</v>
      </c>
      <c r="K54" s="150">
        <f t="shared" si="14"/>
        <v>1708.992</v>
      </c>
      <c r="L54" s="150">
        <f t="shared" si="14"/>
        <v>1708.992</v>
      </c>
      <c r="M54" s="150">
        <f t="shared" si="14"/>
        <v>1708.992</v>
      </c>
      <c r="N54" s="150">
        <f t="shared" si="14"/>
        <v>1708.992</v>
      </c>
      <c r="O54" s="150">
        <f t="shared" si="14"/>
        <v>1708.992</v>
      </c>
      <c r="P54" s="150">
        <f t="shared" si="17"/>
        <v>1708.992</v>
      </c>
      <c r="Q54" s="150">
        <f t="shared" si="16"/>
        <v>1708.992</v>
      </c>
      <c r="R54" s="150">
        <f t="shared" si="16"/>
        <v>1708.992</v>
      </c>
    </row>
    <row r="55" spans="2:20">
      <c r="B55" s="149" t="s">
        <v>121</v>
      </c>
      <c r="C55" s="198">
        <v>750201011177</v>
      </c>
      <c r="D55" s="204">
        <v>146.03399999999999</v>
      </c>
      <c r="E55" s="200">
        <v>2</v>
      </c>
      <c r="F55" s="50"/>
      <c r="G55" s="150">
        <f t="shared" si="15"/>
        <v>1168.2719999999999</v>
      </c>
      <c r="H55" s="150">
        <f t="shared" si="14"/>
        <v>1168.2719999999999</v>
      </c>
      <c r="I55" s="150">
        <f t="shared" si="14"/>
        <v>1168.2719999999999</v>
      </c>
      <c r="J55" s="150">
        <f t="shared" si="14"/>
        <v>1168.2719999999999</v>
      </c>
      <c r="K55" s="150">
        <f t="shared" si="14"/>
        <v>1168.2719999999999</v>
      </c>
      <c r="L55" s="150">
        <f t="shared" si="14"/>
        <v>1168.2719999999999</v>
      </c>
      <c r="M55" s="150">
        <f t="shared" si="14"/>
        <v>1168.2719999999999</v>
      </c>
      <c r="N55" s="150">
        <f t="shared" si="14"/>
        <v>1168.2719999999999</v>
      </c>
      <c r="O55" s="150">
        <f t="shared" si="14"/>
        <v>1168.2719999999999</v>
      </c>
      <c r="P55" s="150">
        <f t="shared" si="17"/>
        <v>1168.2719999999999</v>
      </c>
      <c r="Q55" s="150">
        <f t="shared" si="16"/>
        <v>1168.2719999999999</v>
      </c>
      <c r="R55" s="150">
        <f t="shared" si="16"/>
        <v>1168.2719999999999</v>
      </c>
    </row>
    <row r="56" spans="2:20">
      <c r="B56" s="149" t="s">
        <v>127</v>
      </c>
      <c r="C56" s="198">
        <v>1202804003</v>
      </c>
      <c r="D56" s="204">
        <v>420.9</v>
      </c>
      <c r="E56" s="200">
        <v>3</v>
      </c>
      <c r="F56" s="50"/>
      <c r="G56" s="150">
        <f t="shared" si="15"/>
        <v>5050.7999999999993</v>
      </c>
      <c r="H56" s="150">
        <f t="shared" si="14"/>
        <v>5050.7999999999993</v>
      </c>
      <c r="I56" s="150">
        <f t="shared" si="14"/>
        <v>5050.7999999999993</v>
      </c>
      <c r="J56" s="150">
        <f t="shared" si="14"/>
        <v>5050.7999999999993</v>
      </c>
      <c r="K56" s="150">
        <f t="shared" si="14"/>
        <v>5050.7999999999993</v>
      </c>
      <c r="L56" s="150">
        <f t="shared" si="14"/>
        <v>5050.7999999999993</v>
      </c>
      <c r="M56" s="150">
        <f t="shared" si="14"/>
        <v>5050.7999999999993</v>
      </c>
      <c r="N56" s="150">
        <f t="shared" si="14"/>
        <v>5050.7999999999993</v>
      </c>
      <c r="O56" s="150">
        <f t="shared" si="14"/>
        <v>5050.7999999999993</v>
      </c>
      <c r="P56" s="150">
        <f t="shared" si="17"/>
        <v>5050.7999999999993</v>
      </c>
      <c r="Q56" s="150">
        <f t="shared" si="16"/>
        <v>5050.7999999999993</v>
      </c>
      <c r="R56" s="150">
        <f t="shared" si="16"/>
        <v>5050.7999999999993</v>
      </c>
    </row>
    <row r="57" spans="2:20">
      <c r="B57" s="149" t="s">
        <v>128</v>
      </c>
      <c r="C57" s="198">
        <v>730403000676</v>
      </c>
      <c r="D57" s="204">
        <v>164.15999999999997</v>
      </c>
      <c r="E57" s="200">
        <v>2</v>
      </c>
      <c r="F57" s="50"/>
      <c r="G57" s="150">
        <f t="shared" si="15"/>
        <v>1313.2799999999997</v>
      </c>
      <c r="H57" s="150">
        <f t="shared" si="14"/>
        <v>1313.2799999999997</v>
      </c>
      <c r="I57" s="150">
        <f t="shared" si="14"/>
        <v>1313.2799999999997</v>
      </c>
      <c r="J57" s="150">
        <f t="shared" si="14"/>
        <v>1313.2799999999997</v>
      </c>
      <c r="K57" s="150">
        <f t="shared" si="14"/>
        <v>1313.2799999999997</v>
      </c>
      <c r="L57" s="150">
        <f t="shared" si="14"/>
        <v>1313.2799999999997</v>
      </c>
      <c r="M57" s="150">
        <f t="shared" si="14"/>
        <v>1313.2799999999997</v>
      </c>
      <c r="N57" s="150">
        <f t="shared" si="14"/>
        <v>1313.2799999999997</v>
      </c>
      <c r="O57" s="150">
        <f t="shared" si="14"/>
        <v>1313.2799999999997</v>
      </c>
      <c r="P57" s="150">
        <f t="shared" si="17"/>
        <v>1313.2799999999997</v>
      </c>
      <c r="Q57" s="150">
        <f t="shared" si="16"/>
        <v>1313.2799999999997</v>
      </c>
      <c r="R57" s="150">
        <f t="shared" si="16"/>
        <v>1313.2799999999997</v>
      </c>
    </row>
    <row r="58" spans="2:20">
      <c r="B58" s="149" t="s">
        <v>129</v>
      </c>
      <c r="C58" s="198">
        <v>750201011176</v>
      </c>
      <c r="D58" s="204">
        <v>64.05</v>
      </c>
      <c r="E58" s="200">
        <v>2</v>
      </c>
      <c r="F58" s="50"/>
      <c r="G58" s="150">
        <f t="shared" si="15"/>
        <v>512.4</v>
      </c>
      <c r="H58" s="150">
        <f t="shared" si="14"/>
        <v>512.4</v>
      </c>
      <c r="I58" s="150">
        <f t="shared" si="14"/>
        <v>512.4</v>
      </c>
      <c r="J58" s="150">
        <f t="shared" si="14"/>
        <v>512.4</v>
      </c>
      <c r="K58" s="150">
        <f t="shared" si="14"/>
        <v>512.4</v>
      </c>
      <c r="L58" s="150">
        <f t="shared" si="14"/>
        <v>512.4</v>
      </c>
      <c r="M58" s="150">
        <f t="shared" si="14"/>
        <v>512.4</v>
      </c>
      <c r="N58" s="150">
        <f t="shared" si="14"/>
        <v>512.4</v>
      </c>
      <c r="O58" s="150">
        <f t="shared" si="14"/>
        <v>512.4</v>
      </c>
      <c r="P58" s="150">
        <f t="shared" si="17"/>
        <v>512.4</v>
      </c>
      <c r="Q58" s="150">
        <f t="shared" si="16"/>
        <v>512.4</v>
      </c>
      <c r="R58" s="150">
        <f t="shared" si="16"/>
        <v>512.4</v>
      </c>
    </row>
    <row r="59" spans="2:20">
      <c r="B59" s="149" t="s">
        <v>130</v>
      </c>
      <c r="C59" s="198">
        <v>302030055771</v>
      </c>
      <c r="D59" s="204">
        <v>110.7684</v>
      </c>
      <c r="E59" s="200">
        <v>8</v>
      </c>
      <c r="F59" s="50"/>
      <c r="G59" s="150">
        <f t="shared" si="15"/>
        <v>3544.5888</v>
      </c>
      <c r="H59" s="150">
        <f t="shared" si="14"/>
        <v>3544.5888</v>
      </c>
      <c r="I59" s="150">
        <f t="shared" si="14"/>
        <v>3544.5888</v>
      </c>
      <c r="J59" s="150">
        <f t="shared" si="14"/>
        <v>3544.5888</v>
      </c>
      <c r="K59" s="150">
        <f t="shared" si="14"/>
        <v>3544.5888</v>
      </c>
      <c r="L59" s="150">
        <f t="shared" si="14"/>
        <v>3544.5888</v>
      </c>
      <c r="M59" s="150">
        <f t="shared" si="14"/>
        <v>3544.5888</v>
      </c>
      <c r="N59" s="150">
        <f t="shared" si="14"/>
        <v>3544.5888</v>
      </c>
      <c r="O59" s="150">
        <f t="shared" si="14"/>
        <v>3544.5888</v>
      </c>
      <c r="P59" s="150">
        <f t="shared" si="17"/>
        <v>3544.5888</v>
      </c>
      <c r="Q59" s="150">
        <f t="shared" si="16"/>
        <v>3544.5888</v>
      </c>
      <c r="R59" s="150">
        <f t="shared" si="16"/>
        <v>3544.5888</v>
      </c>
    </row>
    <row r="60" spans="2:20">
      <c r="B60" s="149" t="s">
        <v>131</v>
      </c>
      <c r="C60" s="198">
        <v>302030055762</v>
      </c>
      <c r="D60" s="204">
        <v>102.4614</v>
      </c>
      <c r="E60" s="200">
        <v>4</v>
      </c>
      <c r="F60" s="50"/>
      <c r="G60" s="150">
        <f t="shared" si="15"/>
        <v>1639.3824</v>
      </c>
      <c r="H60" s="150">
        <f t="shared" si="14"/>
        <v>1639.3824</v>
      </c>
      <c r="I60" s="150">
        <f t="shared" si="14"/>
        <v>1639.3824</v>
      </c>
      <c r="J60" s="150">
        <f t="shared" si="14"/>
        <v>1639.3824</v>
      </c>
      <c r="K60" s="150">
        <f t="shared" si="14"/>
        <v>1639.3824</v>
      </c>
      <c r="L60" s="150">
        <f t="shared" si="14"/>
        <v>1639.3824</v>
      </c>
      <c r="M60" s="150">
        <f t="shared" si="14"/>
        <v>1639.3824</v>
      </c>
      <c r="N60" s="150">
        <f t="shared" si="14"/>
        <v>1639.3824</v>
      </c>
      <c r="O60" s="150">
        <f t="shared" si="14"/>
        <v>1639.3824</v>
      </c>
      <c r="P60" s="150">
        <f t="shared" si="17"/>
        <v>1639.3824</v>
      </c>
      <c r="Q60" s="150">
        <f t="shared" si="16"/>
        <v>1639.3824</v>
      </c>
      <c r="R60" s="150">
        <f t="shared" si="16"/>
        <v>1639.3824</v>
      </c>
    </row>
    <row r="61" spans="2:20">
      <c r="B61" s="149" t="s">
        <v>132</v>
      </c>
      <c r="C61" s="198">
        <v>730403000276</v>
      </c>
      <c r="D61" s="204">
        <v>57.644999999999996</v>
      </c>
      <c r="E61" s="200">
        <v>1</v>
      </c>
      <c r="F61" s="50"/>
      <c r="G61" s="150">
        <f t="shared" si="15"/>
        <v>230.57999999999998</v>
      </c>
      <c r="H61" s="150">
        <f t="shared" si="14"/>
        <v>230.57999999999998</v>
      </c>
      <c r="I61" s="150">
        <f t="shared" si="14"/>
        <v>230.57999999999998</v>
      </c>
      <c r="J61" s="150">
        <f t="shared" si="14"/>
        <v>230.57999999999998</v>
      </c>
      <c r="K61" s="150">
        <f t="shared" si="14"/>
        <v>230.57999999999998</v>
      </c>
      <c r="L61" s="150">
        <f t="shared" si="14"/>
        <v>230.57999999999998</v>
      </c>
      <c r="M61" s="150">
        <f t="shared" si="14"/>
        <v>230.57999999999998</v>
      </c>
      <c r="N61" s="150">
        <f t="shared" si="14"/>
        <v>230.57999999999998</v>
      </c>
      <c r="O61" s="150">
        <f t="shared" si="14"/>
        <v>230.57999999999998</v>
      </c>
      <c r="P61" s="150">
        <f t="shared" si="17"/>
        <v>230.57999999999998</v>
      </c>
      <c r="Q61" s="150">
        <f t="shared" si="16"/>
        <v>230.57999999999998</v>
      </c>
      <c r="R61" s="150">
        <f t="shared" si="16"/>
        <v>230.57999999999998</v>
      </c>
      <c r="T61" s="205"/>
    </row>
    <row r="62" spans="2:20">
      <c r="B62" s="149" t="s">
        <v>133</v>
      </c>
      <c r="C62" s="198">
        <v>730403000068</v>
      </c>
      <c r="D62" s="204">
        <v>808.65364583333337</v>
      </c>
      <c r="E62" s="200">
        <v>2</v>
      </c>
      <c r="F62" s="50"/>
      <c r="G62" s="150">
        <f t="shared" si="15"/>
        <v>6469.229166666667</v>
      </c>
      <c r="H62" s="150">
        <f t="shared" si="14"/>
        <v>6469.229166666667</v>
      </c>
      <c r="I62" s="150">
        <f t="shared" si="14"/>
        <v>6469.229166666667</v>
      </c>
      <c r="J62" s="150">
        <f t="shared" si="14"/>
        <v>6469.229166666667</v>
      </c>
      <c r="K62" s="150">
        <f t="shared" si="14"/>
        <v>6469.229166666667</v>
      </c>
      <c r="L62" s="150">
        <f t="shared" si="14"/>
        <v>6469.229166666667</v>
      </c>
      <c r="M62" s="150">
        <f t="shared" si="14"/>
        <v>6469.229166666667</v>
      </c>
      <c r="N62" s="150">
        <f t="shared" si="14"/>
        <v>6469.229166666667</v>
      </c>
      <c r="O62" s="150">
        <f t="shared" si="14"/>
        <v>6469.229166666667</v>
      </c>
      <c r="P62" s="150">
        <f t="shared" si="17"/>
        <v>6469.229166666667</v>
      </c>
      <c r="Q62" s="150">
        <f t="shared" si="16"/>
        <v>6469.229166666667</v>
      </c>
      <c r="R62" s="150">
        <f t="shared" si="16"/>
        <v>6469.229166666667</v>
      </c>
      <c r="T62" s="205"/>
    </row>
    <row r="63" spans="2:20">
      <c r="B63" s="149" t="s">
        <v>134</v>
      </c>
      <c r="C63" s="198">
        <v>750398000659</v>
      </c>
      <c r="D63" s="204">
        <v>46.655999999999992</v>
      </c>
      <c r="E63" s="200">
        <v>1</v>
      </c>
      <c r="F63" s="50"/>
      <c r="G63" s="150">
        <f t="shared" si="15"/>
        <v>186.62399999999997</v>
      </c>
      <c r="H63" s="150">
        <f t="shared" si="14"/>
        <v>186.62399999999997</v>
      </c>
      <c r="I63" s="150">
        <f t="shared" si="14"/>
        <v>186.62399999999997</v>
      </c>
      <c r="J63" s="150">
        <f t="shared" si="14"/>
        <v>186.62399999999997</v>
      </c>
      <c r="K63" s="150">
        <f t="shared" si="14"/>
        <v>186.62399999999997</v>
      </c>
      <c r="L63" s="150">
        <f t="shared" si="14"/>
        <v>186.62399999999997</v>
      </c>
      <c r="M63" s="150">
        <f t="shared" si="14"/>
        <v>186.62399999999997</v>
      </c>
      <c r="N63" s="150">
        <f t="shared" si="14"/>
        <v>186.62399999999997</v>
      </c>
      <c r="O63" s="150">
        <f t="shared" si="14"/>
        <v>186.62399999999997</v>
      </c>
      <c r="P63" s="150">
        <f t="shared" si="17"/>
        <v>186.62399999999997</v>
      </c>
      <c r="Q63" s="150">
        <f t="shared" si="16"/>
        <v>186.62399999999997</v>
      </c>
      <c r="R63" s="150">
        <f t="shared" si="16"/>
        <v>186.62399999999997</v>
      </c>
      <c r="T63" s="205"/>
    </row>
    <row r="64" spans="2:20">
      <c r="B64" s="149" t="s">
        <v>135</v>
      </c>
      <c r="C64" s="198">
        <v>750201018267</v>
      </c>
      <c r="D64" s="204">
        <v>259.2</v>
      </c>
      <c r="E64" s="200">
        <v>1</v>
      </c>
      <c r="F64" s="50"/>
      <c r="G64" s="150">
        <f t="shared" si="15"/>
        <v>1036.8</v>
      </c>
      <c r="H64" s="150">
        <f t="shared" si="14"/>
        <v>1036.8</v>
      </c>
      <c r="I64" s="150">
        <f t="shared" si="14"/>
        <v>1036.8</v>
      </c>
      <c r="J64" s="150">
        <f t="shared" si="14"/>
        <v>1036.8</v>
      </c>
      <c r="K64" s="150">
        <f t="shared" si="14"/>
        <v>1036.8</v>
      </c>
      <c r="L64" s="150">
        <f t="shared" si="14"/>
        <v>1036.8</v>
      </c>
      <c r="M64" s="150">
        <f t="shared" si="14"/>
        <v>1036.8</v>
      </c>
      <c r="N64" s="150">
        <f t="shared" si="14"/>
        <v>1036.8</v>
      </c>
      <c r="O64" s="150">
        <f t="shared" si="14"/>
        <v>1036.8</v>
      </c>
      <c r="P64" s="150">
        <f t="shared" si="17"/>
        <v>1036.8</v>
      </c>
      <c r="Q64" s="150">
        <f t="shared" si="16"/>
        <v>1036.8</v>
      </c>
      <c r="R64" s="150">
        <f t="shared" si="16"/>
        <v>1036.8</v>
      </c>
      <c r="T64" s="205"/>
    </row>
    <row r="65" spans="2:20">
      <c r="B65" s="149" t="s">
        <v>136</v>
      </c>
      <c r="C65" s="198" t="s">
        <v>140</v>
      </c>
      <c r="D65" s="204">
        <v>654.22500000000002</v>
      </c>
      <c r="E65" s="200">
        <v>1</v>
      </c>
      <c r="F65" s="50"/>
      <c r="G65" s="150">
        <f t="shared" si="15"/>
        <v>2616.9</v>
      </c>
      <c r="H65" s="150">
        <f t="shared" si="14"/>
        <v>2616.9</v>
      </c>
      <c r="I65" s="150">
        <f t="shared" si="14"/>
        <v>2616.9</v>
      </c>
      <c r="J65" s="150">
        <f t="shared" si="14"/>
        <v>2616.9</v>
      </c>
      <c r="K65" s="150">
        <f t="shared" si="14"/>
        <v>2616.9</v>
      </c>
      <c r="L65" s="150">
        <f t="shared" si="14"/>
        <v>2616.9</v>
      </c>
      <c r="M65" s="150">
        <f t="shared" si="14"/>
        <v>2616.9</v>
      </c>
      <c r="N65" s="150">
        <f t="shared" si="14"/>
        <v>2616.9</v>
      </c>
      <c r="O65" s="150">
        <f t="shared" si="14"/>
        <v>2616.9</v>
      </c>
      <c r="P65" s="150">
        <f t="shared" si="17"/>
        <v>2616.9</v>
      </c>
      <c r="Q65" s="150">
        <f t="shared" si="16"/>
        <v>2616.9</v>
      </c>
      <c r="R65" s="150">
        <f t="shared" si="16"/>
        <v>2616.9</v>
      </c>
      <c r="T65" s="205"/>
    </row>
    <row r="66" spans="2:20">
      <c r="B66" s="207" t="s">
        <v>144</v>
      </c>
      <c r="C66" s="198">
        <v>730403010060</v>
      </c>
      <c r="D66" s="204">
        <v>251.625</v>
      </c>
      <c r="E66" s="200">
        <v>1</v>
      </c>
      <c r="F66" s="50"/>
      <c r="G66" s="150">
        <f t="shared" si="15"/>
        <v>1006.5</v>
      </c>
      <c r="H66" s="150">
        <f t="shared" si="14"/>
        <v>1006.5</v>
      </c>
      <c r="I66" s="150">
        <f t="shared" si="14"/>
        <v>1006.5</v>
      </c>
      <c r="J66" s="150">
        <f t="shared" si="14"/>
        <v>1006.5</v>
      </c>
      <c r="K66" s="150">
        <f t="shared" si="14"/>
        <v>1006.5</v>
      </c>
      <c r="L66" s="150">
        <f t="shared" si="14"/>
        <v>1006.5</v>
      </c>
      <c r="M66" s="150">
        <f t="shared" si="14"/>
        <v>1006.5</v>
      </c>
      <c r="N66" s="150">
        <f t="shared" si="14"/>
        <v>1006.5</v>
      </c>
      <c r="O66" s="150">
        <f t="shared" si="14"/>
        <v>1006.5</v>
      </c>
      <c r="P66" s="150">
        <f t="shared" si="17"/>
        <v>1006.5</v>
      </c>
      <c r="Q66" s="150">
        <f t="shared" si="16"/>
        <v>1006.5</v>
      </c>
      <c r="R66" s="150">
        <f t="shared" si="16"/>
        <v>1006.5</v>
      </c>
      <c r="T66" s="205"/>
    </row>
    <row r="67" spans="2:20">
      <c r="B67" s="149" t="s">
        <v>137</v>
      </c>
      <c r="C67" s="198">
        <v>1604032083</v>
      </c>
      <c r="D67" s="204">
        <v>2815.4549999999999</v>
      </c>
      <c r="E67" s="200">
        <v>1</v>
      </c>
      <c r="F67" s="50"/>
      <c r="G67" s="150">
        <f t="shared" si="15"/>
        <v>11261.82</v>
      </c>
      <c r="H67" s="150">
        <f t="shared" si="14"/>
        <v>11261.82</v>
      </c>
      <c r="I67" s="150">
        <f t="shared" si="14"/>
        <v>11261.82</v>
      </c>
      <c r="J67" s="150">
        <f t="shared" si="14"/>
        <v>11261.82</v>
      </c>
      <c r="K67" s="150">
        <f t="shared" si="14"/>
        <v>11261.82</v>
      </c>
      <c r="L67" s="150">
        <f t="shared" si="14"/>
        <v>11261.82</v>
      </c>
      <c r="M67" s="150">
        <f t="shared" si="14"/>
        <v>11261.82</v>
      </c>
      <c r="N67" s="150">
        <f t="shared" si="14"/>
        <v>11261.82</v>
      </c>
      <c r="O67" s="150">
        <f t="shared" si="14"/>
        <v>11261.82</v>
      </c>
      <c r="P67" s="150">
        <f t="shared" si="17"/>
        <v>11261.82</v>
      </c>
      <c r="Q67" s="150">
        <f t="shared" si="16"/>
        <v>11261.82</v>
      </c>
      <c r="R67" s="150">
        <f t="shared" si="16"/>
        <v>11261.82</v>
      </c>
      <c r="T67" s="205"/>
    </row>
    <row r="68" spans="2:20">
      <c r="B68" s="149" t="s">
        <v>138</v>
      </c>
      <c r="C68" s="198" t="s">
        <v>141</v>
      </c>
      <c r="D68" s="204">
        <v>86.16189</v>
      </c>
      <c r="E68" s="200">
        <v>54</v>
      </c>
      <c r="F68" s="50"/>
      <c r="G68" s="150">
        <f t="shared" si="15"/>
        <v>18610.968239999998</v>
      </c>
      <c r="H68" s="150">
        <f t="shared" si="14"/>
        <v>18610.968239999998</v>
      </c>
      <c r="I68" s="150">
        <f t="shared" si="14"/>
        <v>18610.968239999998</v>
      </c>
      <c r="J68" s="150">
        <f t="shared" si="14"/>
        <v>18610.968239999998</v>
      </c>
      <c r="K68" s="150">
        <f t="shared" si="14"/>
        <v>18610.968239999998</v>
      </c>
      <c r="L68" s="150">
        <f t="shared" si="14"/>
        <v>18610.968239999998</v>
      </c>
      <c r="M68" s="150">
        <f t="shared" si="14"/>
        <v>18610.968239999998</v>
      </c>
      <c r="N68" s="150">
        <f t="shared" si="14"/>
        <v>18610.968239999998</v>
      </c>
      <c r="O68" s="150">
        <f t="shared" si="14"/>
        <v>18610.968239999998</v>
      </c>
      <c r="P68" s="150">
        <f t="shared" si="17"/>
        <v>18610.968239999998</v>
      </c>
      <c r="Q68" s="150">
        <f t="shared" si="16"/>
        <v>18610.968239999998</v>
      </c>
      <c r="R68" s="150">
        <f t="shared" si="16"/>
        <v>18610.968239999998</v>
      </c>
      <c r="T68" s="205"/>
    </row>
    <row r="69" spans="2:20">
      <c r="B69" s="149" t="s">
        <v>139</v>
      </c>
      <c r="C69" s="198" t="s">
        <v>142</v>
      </c>
      <c r="D69" s="204">
        <v>454.98599999999993</v>
      </c>
      <c r="E69" s="200">
        <v>1</v>
      </c>
      <c r="F69" s="50"/>
      <c r="G69" s="150">
        <f t="shared" si="15"/>
        <v>1819.9439999999997</v>
      </c>
      <c r="H69" s="150">
        <f t="shared" si="14"/>
        <v>1819.9439999999997</v>
      </c>
      <c r="I69" s="150">
        <f t="shared" si="14"/>
        <v>1819.9439999999997</v>
      </c>
      <c r="J69" s="150">
        <f t="shared" si="14"/>
        <v>1819.9439999999997</v>
      </c>
      <c r="K69" s="150">
        <f t="shared" si="14"/>
        <v>1819.9439999999997</v>
      </c>
      <c r="L69" s="150">
        <f t="shared" si="14"/>
        <v>1819.9439999999997</v>
      </c>
      <c r="M69" s="150">
        <f t="shared" si="14"/>
        <v>1819.9439999999997</v>
      </c>
      <c r="N69" s="150">
        <f t="shared" si="14"/>
        <v>1819.9439999999997</v>
      </c>
      <c r="O69" s="150">
        <f t="shared" si="14"/>
        <v>1819.9439999999997</v>
      </c>
      <c r="P69" s="150">
        <f t="shared" si="17"/>
        <v>1819.9439999999997</v>
      </c>
      <c r="Q69" s="150">
        <f t="shared" si="16"/>
        <v>1819.9439999999997</v>
      </c>
      <c r="R69" s="150">
        <f t="shared" si="16"/>
        <v>1819.9439999999997</v>
      </c>
      <c r="T69" s="205"/>
    </row>
    <row r="70" spans="2:20">
      <c r="B70" s="149" t="s">
        <v>139</v>
      </c>
      <c r="C70" s="198" t="s">
        <v>143</v>
      </c>
      <c r="D70" s="204">
        <v>885.13199999999995</v>
      </c>
      <c r="E70" s="200">
        <v>1</v>
      </c>
      <c r="F70" s="50"/>
      <c r="G70" s="150">
        <f t="shared" si="15"/>
        <v>3540.5279999999998</v>
      </c>
      <c r="H70" s="150">
        <f t="shared" si="14"/>
        <v>3540.5279999999998</v>
      </c>
      <c r="I70" s="150">
        <f t="shared" si="14"/>
        <v>3540.5279999999998</v>
      </c>
      <c r="J70" s="150">
        <f t="shared" si="14"/>
        <v>3540.5279999999998</v>
      </c>
      <c r="K70" s="150">
        <f t="shared" si="14"/>
        <v>3540.5279999999998</v>
      </c>
      <c r="L70" s="150">
        <f t="shared" si="14"/>
        <v>3540.5279999999998</v>
      </c>
      <c r="M70" s="150">
        <f t="shared" si="14"/>
        <v>3540.5279999999998</v>
      </c>
      <c r="N70" s="150">
        <f t="shared" si="14"/>
        <v>3540.5279999999998</v>
      </c>
      <c r="O70" s="150">
        <f t="shared" si="14"/>
        <v>3540.5279999999998</v>
      </c>
      <c r="P70" s="150">
        <f t="shared" si="17"/>
        <v>3540.5279999999998</v>
      </c>
      <c r="Q70" s="150">
        <f t="shared" si="16"/>
        <v>3540.5279999999998</v>
      </c>
      <c r="R70" s="150">
        <f t="shared" si="16"/>
        <v>3540.5279999999998</v>
      </c>
      <c r="T70" s="205"/>
    </row>
    <row r="71" spans="2:20">
      <c r="B71" s="149" t="s">
        <v>126</v>
      </c>
      <c r="C71" s="199" t="s">
        <v>125</v>
      </c>
      <c r="D71" s="204">
        <v>6.5609999999999999</v>
      </c>
      <c r="E71" s="200">
        <v>75</v>
      </c>
      <c r="F71" s="50"/>
      <c r="G71" s="150">
        <f t="shared" si="15"/>
        <v>1968.3</v>
      </c>
      <c r="H71" s="150">
        <f t="shared" ref="H71:O75" si="18">IF(H$16=0,0,H$16/$D$16*$E71*$D71)</f>
        <v>1968.3</v>
      </c>
      <c r="I71" s="150">
        <f t="shared" si="18"/>
        <v>1968.3</v>
      </c>
      <c r="J71" s="150">
        <f t="shared" si="18"/>
        <v>1968.3</v>
      </c>
      <c r="K71" s="150">
        <f t="shared" si="18"/>
        <v>1968.3</v>
      </c>
      <c r="L71" s="150">
        <f t="shared" si="18"/>
        <v>1968.3</v>
      </c>
      <c r="M71" s="150">
        <f t="shared" si="18"/>
        <v>1968.3</v>
      </c>
      <c r="N71" s="150">
        <f t="shared" si="18"/>
        <v>1968.3</v>
      </c>
      <c r="O71" s="150">
        <f t="shared" si="18"/>
        <v>1968.3</v>
      </c>
      <c r="P71" s="150">
        <f t="shared" si="17"/>
        <v>1968.3</v>
      </c>
      <c r="Q71" s="150">
        <f t="shared" si="16"/>
        <v>1968.3</v>
      </c>
      <c r="R71" s="150">
        <f t="shared" si="16"/>
        <v>1968.3</v>
      </c>
    </row>
    <row r="72" spans="2:20">
      <c r="B72" s="149" t="s">
        <v>148</v>
      </c>
      <c r="C72" s="199" t="s">
        <v>152</v>
      </c>
      <c r="D72" s="204">
        <v>5.7977999999999996</v>
      </c>
      <c r="E72" s="200">
        <v>850</v>
      </c>
      <c r="F72" s="50"/>
      <c r="G72" s="150">
        <f t="shared" si="15"/>
        <v>19712.52</v>
      </c>
      <c r="H72" s="150">
        <f t="shared" si="18"/>
        <v>19712.52</v>
      </c>
      <c r="I72" s="150">
        <f t="shared" si="18"/>
        <v>19712.52</v>
      </c>
      <c r="J72" s="150">
        <f t="shared" si="18"/>
        <v>19712.52</v>
      </c>
      <c r="K72" s="150">
        <f t="shared" si="18"/>
        <v>19712.52</v>
      </c>
      <c r="L72" s="150">
        <f t="shared" si="18"/>
        <v>19712.52</v>
      </c>
      <c r="M72" s="150">
        <f t="shared" si="18"/>
        <v>19712.52</v>
      </c>
      <c r="N72" s="150">
        <f t="shared" si="18"/>
        <v>19712.52</v>
      </c>
      <c r="O72" s="150">
        <f t="shared" si="18"/>
        <v>19712.52</v>
      </c>
      <c r="P72" s="150">
        <f t="shared" si="17"/>
        <v>19712.52</v>
      </c>
      <c r="Q72" s="150">
        <f t="shared" si="16"/>
        <v>19712.52</v>
      </c>
      <c r="R72" s="150">
        <f t="shared" si="16"/>
        <v>19712.52</v>
      </c>
    </row>
    <row r="73" spans="2:20">
      <c r="B73" s="149" t="s">
        <v>149</v>
      </c>
      <c r="C73" s="199" t="s">
        <v>153</v>
      </c>
      <c r="D73" s="204">
        <v>6.1037999999999988</v>
      </c>
      <c r="E73" s="200">
        <v>120</v>
      </c>
      <c r="F73" s="50"/>
      <c r="G73" s="150">
        <f t="shared" si="15"/>
        <v>2929.8239999999996</v>
      </c>
      <c r="H73" s="150">
        <f t="shared" si="18"/>
        <v>2929.8239999999996</v>
      </c>
      <c r="I73" s="150">
        <f t="shared" si="18"/>
        <v>2929.8239999999996</v>
      </c>
      <c r="J73" s="150">
        <f t="shared" si="18"/>
        <v>2929.8239999999996</v>
      </c>
      <c r="K73" s="150">
        <f t="shared" si="18"/>
        <v>2929.8239999999996</v>
      </c>
      <c r="L73" s="150">
        <f t="shared" si="18"/>
        <v>2929.8239999999996</v>
      </c>
      <c r="M73" s="150">
        <f t="shared" si="18"/>
        <v>2929.8239999999996</v>
      </c>
      <c r="N73" s="150">
        <f t="shared" si="18"/>
        <v>2929.8239999999996</v>
      </c>
      <c r="O73" s="150">
        <f t="shared" si="18"/>
        <v>2929.8239999999996</v>
      </c>
      <c r="P73" s="150">
        <f t="shared" si="17"/>
        <v>2929.8239999999996</v>
      </c>
      <c r="Q73" s="150">
        <f t="shared" si="16"/>
        <v>2929.8239999999996</v>
      </c>
      <c r="R73" s="150">
        <f t="shared" si="16"/>
        <v>2929.8239999999996</v>
      </c>
    </row>
    <row r="74" spans="2:20">
      <c r="B74" s="149" t="s">
        <v>150</v>
      </c>
      <c r="C74" s="199" t="s">
        <v>154</v>
      </c>
      <c r="D74" s="204">
        <v>8.8506</v>
      </c>
      <c r="E74" s="200">
        <v>220</v>
      </c>
      <c r="F74" s="50"/>
      <c r="G74" s="150">
        <f t="shared" si="15"/>
        <v>7788.5280000000002</v>
      </c>
      <c r="H74" s="150">
        <f t="shared" si="18"/>
        <v>7788.5280000000002</v>
      </c>
      <c r="I74" s="150">
        <f t="shared" si="18"/>
        <v>7788.5280000000002</v>
      </c>
      <c r="J74" s="150">
        <f t="shared" si="18"/>
        <v>7788.5280000000002</v>
      </c>
      <c r="K74" s="150">
        <f t="shared" si="18"/>
        <v>7788.5280000000002</v>
      </c>
      <c r="L74" s="150">
        <f t="shared" si="18"/>
        <v>7788.5280000000002</v>
      </c>
      <c r="M74" s="150">
        <f t="shared" si="18"/>
        <v>7788.5280000000002</v>
      </c>
      <c r="N74" s="150">
        <f t="shared" si="18"/>
        <v>7788.5280000000002</v>
      </c>
      <c r="O74" s="150">
        <f t="shared" si="18"/>
        <v>7788.5280000000002</v>
      </c>
      <c r="P74" s="150">
        <f t="shared" si="17"/>
        <v>7788.5280000000002</v>
      </c>
      <c r="Q74" s="150">
        <f t="shared" si="16"/>
        <v>7788.5280000000002</v>
      </c>
      <c r="R74" s="150">
        <f t="shared" si="16"/>
        <v>7788.5280000000002</v>
      </c>
    </row>
    <row r="75" spans="2:20">
      <c r="B75" s="149" t="s">
        <v>151</v>
      </c>
      <c r="C75" s="199" t="s">
        <v>155</v>
      </c>
      <c r="D75" s="204">
        <v>14.497200000000001</v>
      </c>
      <c r="E75" s="200">
        <v>80</v>
      </c>
      <c r="F75" s="50"/>
      <c r="G75" s="150">
        <f t="shared" si="15"/>
        <v>4639.1040000000003</v>
      </c>
      <c r="H75" s="150">
        <f t="shared" si="18"/>
        <v>4639.1040000000003</v>
      </c>
      <c r="I75" s="150">
        <f t="shared" si="18"/>
        <v>4639.1040000000003</v>
      </c>
      <c r="J75" s="150">
        <f t="shared" si="18"/>
        <v>4639.1040000000003</v>
      </c>
      <c r="K75" s="150">
        <f t="shared" si="18"/>
        <v>4639.1040000000003</v>
      </c>
      <c r="L75" s="150">
        <f t="shared" si="18"/>
        <v>4639.1040000000003</v>
      </c>
      <c r="M75" s="150">
        <f t="shared" si="18"/>
        <v>4639.1040000000003</v>
      </c>
      <c r="N75" s="150">
        <f t="shared" si="18"/>
        <v>4639.1040000000003</v>
      </c>
      <c r="O75" s="150">
        <f t="shared" si="18"/>
        <v>4639.1040000000003</v>
      </c>
      <c r="P75" s="150">
        <f t="shared" si="17"/>
        <v>4639.1040000000003</v>
      </c>
      <c r="Q75" s="150">
        <f t="shared" si="16"/>
        <v>4639.1040000000003</v>
      </c>
      <c r="R75" s="150">
        <f t="shared" si="16"/>
        <v>4639.1040000000003</v>
      </c>
    </row>
    <row r="76" spans="2:20" s="133" customFormat="1">
      <c r="B76" s="137" t="s">
        <v>51</v>
      </c>
      <c r="C76" s="197"/>
      <c r="D76" s="49"/>
      <c r="E76" s="23">
        <f>VLOOKUP($B76,$B$14:$C$17,2,FALSE)</f>
        <v>2000</v>
      </c>
      <c r="F76" s="17">
        <f>VLOOKUP($B76,$B$14:$E$17,4,FALSE)</f>
        <v>3</v>
      </c>
      <c r="G76" s="123"/>
      <c r="H76" s="123"/>
      <c r="I76" s="123"/>
      <c r="J76" s="123"/>
      <c r="K76" s="123"/>
      <c r="L76" s="123"/>
      <c r="M76" s="123"/>
      <c r="N76" s="123"/>
      <c r="O76" s="150"/>
      <c r="P76" s="123"/>
      <c r="Q76" s="123"/>
      <c r="R76" s="123"/>
    </row>
    <row r="77" spans="2:20">
      <c r="B77" s="149" t="s">
        <v>115</v>
      </c>
      <c r="C77" s="198">
        <v>750201012207</v>
      </c>
      <c r="D77" s="204">
        <v>159.86879999999999</v>
      </c>
      <c r="E77" s="200">
        <v>2</v>
      </c>
      <c r="F77" s="50"/>
      <c r="G77" s="150">
        <f>IF(G$17=0,0,G$17/$D$17*$E77*$D77)</f>
        <v>959.21280000000002</v>
      </c>
      <c r="H77" s="150">
        <f t="shared" ref="H77:R92" si="19">IF(H$17=0,0,H$17/$D$17*$E77*$D77)</f>
        <v>959.21280000000002</v>
      </c>
      <c r="I77" s="150">
        <f t="shared" si="19"/>
        <v>959.21280000000002</v>
      </c>
      <c r="J77" s="150">
        <f t="shared" si="19"/>
        <v>959.21280000000002</v>
      </c>
      <c r="K77" s="150">
        <f t="shared" si="19"/>
        <v>959.21280000000002</v>
      </c>
      <c r="L77" s="150">
        <f t="shared" si="19"/>
        <v>959.21280000000002</v>
      </c>
      <c r="M77" s="150">
        <f t="shared" si="19"/>
        <v>959.21280000000002</v>
      </c>
      <c r="N77" s="150">
        <f t="shared" si="19"/>
        <v>959.21280000000002</v>
      </c>
      <c r="O77" s="150">
        <f t="shared" si="19"/>
        <v>959.21280000000002</v>
      </c>
      <c r="P77" s="150">
        <f t="shared" si="19"/>
        <v>959.21280000000002</v>
      </c>
      <c r="Q77" s="150">
        <f t="shared" si="19"/>
        <v>959.21280000000002</v>
      </c>
      <c r="R77" s="150">
        <f t="shared" si="19"/>
        <v>959.21280000000002</v>
      </c>
    </row>
    <row r="78" spans="2:20">
      <c r="B78" s="149" t="s">
        <v>116</v>
      </c>
      <c r="C78" s="198" t="s">
        <v>122</v>
      </c>
      <c r="D78" s="204">
        <v>127.8</v>
      </c>
      <c r="E78" s="200">
        <v>1</v>
      </c>
      <c r="F78" s="50"/>
      <c r="G78" s="150">
        <f t="shared" ref="G78:R107" si="20">IF(G$17=0,0,G$17/$D$17*$E78*$D78)</f>
        <v>383.4</v>
      </c>
      <c r="H78" s="150">
        <f t="shared" si="19"/>
        <v>383.4</v>
      </c>
      <c r="I78" s="150">
        <f t="shared" si="19"/>
        <v>383.4</v>
      </c>
      <c r="J78" s="150">
        <f t="shared" si="19"/>
        <v>383.4</v>
      </c>
      <c r="K78" s="150">
        <f t="shared" si="19"/>
        <v>383.4</v>
      </c>
      <c r="L78" s="150">
        <f t="shared" si="19"/>
        <v>383.4</v>
      </c>
      <c r="M78" s="150">
        <f t="shared" si="19"/>
        <v>383.4</v>
      </c>
      <c r="N78" s="150">
        <f t="shared" si="19"/>
        <v>383.4</v>
      </c>
      <c r="O78" s="150">
        <f t="shared" si="19"/>
        <v>383.4</v>
      </c>
      <c r="P78" s="150">
        <f t="shared" si="19"/>
        <v>383.4</v>
      </c>
      <c r="Q78" s="150">
        <f t="shared" si="19"/>
        <v>383.4</v>
      </c>
      <c r="R78" s="150">
        <f t="shared" si="19"/>
        <v>383.4</v>
      </c>
    </row>
    <row r="79" spans="2:20">
      <c r="B79" s="149" t="s">
        <v>116</v>
      </c>
      <c r="C79" s="198" t="s">
        <v>123</v>
      </c>
      <c r="D79" s="204">
        <v>172.43999999999997</v>
      </c>
      <c r="E79" s="200">
        <v>1</v>
      </c>
      <c r="F79" s="50"/>
      <c r="G79" s="150">
        <f t="shared" si="20"/>
        <v>517.31999999999994</v>
      </c>
      <c r="H79" s="150">
        <f t="shared" si="19"/>
        <v>517.31999999999994</v>
      </c>
      <c r="I79" s="150">
        <f t="shared" si="19"/>
        <v>517.31999999999994</v>
      </c>
      <c r="J79" s="150">
        <f t="shared" si="19"/>
        <v>517.31999999999994</v>
      </c>
      <c r="K79" s="150">
        <f t="shared" si="19"/>
        <v>517.31999999999994</v>
      </c>
      <c r="L79" s="150">
        <f t="shared" si="19"/>
        <v>517.31999999999994</v>
      </c>
      <c r="M79" s="150">
        <f t="shared" si="19"/>
        <v>517.31999999999994</v>
      </c>
      <c r="N79" s="150">
        <f t="shared" si="19"/>
        <v>517.31999999999994</v>
      </c>
      <c r="O79" s="150">
        <f t="shared" si="19"/>
        <v>517.31999999999994</v>
      </c>
      <c r="P79" s="150">
        <f t="shared" si="19"/>
        <v>517.31999999999994</v>
      </c>
      <c r="Q79" s="150">
        <f t="shared" si="19"/>
        <v>517.31999999999994</v>
      </c>
      <c r="R79" s="150">
        <f t="shared" si="19"/>
        <v>517.31999999999994</v>
      </c>
    </row>
    <row r="80" spans="2:20">
      <c r="B80" s="149" t="s">
        <v>117</v>
      </c>
      <c r="C80" s="198">
        <v>750201018263</v>
      </c>
      <c r="D80" s="204">
        <v>83.52</v>
      </c>
      <c r="E80" s="200">
        <v>1</v>
      </c>
      <c r="F80" s="50"/>
      <c r="G80" s="150">
        <f t="shared" si="20"/>
        <v>250.56</v>
      </c>
      <c r="H80" s="150">
        <f t="shared" si="19"/>
        <v>250.56</v>
      </c>
      <c r="I80" s="150">
        <f t="shared" si="19"/>
        <v>250.56</v>
      </c>
      <c r="J80" s="150">
        <f t="shared" si="19"/>
        <v>250.56</v>
      </c>
      <c r="K80" s="150">
        <f t="shared" si="19"/>
        <v>250.56</v>
      </c>
      <c r="L80" s="150">
        <f t="shared" si="19"/>
        <v>250.56</v>
      </c>
      <c r="M80" s="150">
        <f t="shared" si="19"/>
        <v>250.56</v>
      </c>
      <c r="N80" s="150">
        <f t="shared" si="19"/>
        <v>250.56</v>
      </c>
      <c r="O80" s="150">
        <f t="shared" si="19"/>
        <v>250.56</v>
      </c>
      <c r="P80" s="150">
        <f t="shared" si="19"/>
        <v>250.56</v>
      </c>
      <c r="Q80" s="150">
        <f t="shared" si="19"/>
        <v>250.56</v>
      </c>
      <c r="R80" s="150">
        <f t="shared" si="19"/>
        <v>250.56</v>
      </c>
    </row>
    <row r="81" spans="2:18">
      <c r="B81" s="149" t="s">
        <v>118</v>
      </c>
      <c r="C81" s="198">
        <v>730403000677</v>
      </c>
      <c r="D81" s="204">
        <v>380.16</v>
      </c>
      <c r="E81" s="200">
        <v>2</v>
      </c>
      <c r="F81" s="50"/>
      <c r="G81" s="150">
        <f t="shared" si="20"/>
        <v>2280.96</v>
      </c>
      <c r="H81" s="150">
        <f t="shared" si="19"/>
        <v>2280.96</v>
      </c>
      <c r="I81" s="150">
        <f t="shared" si="19"/>
        <v>2280.96</v>
      </c>
      <c r="J81" s="150">
        <f t="shared" si="19"/>
        <v>2280.96</v>
      </c>
      <c r="K81" s="150">
        <f t="shared" si="19"/>
        <v>2280.96</v>
      </c>
      <c r="L81" s="150">
        <f t="shared" si="19"/>
        <v>2280.96</v>
      </c>
      <c r="M81" s="150">
        <f t="shared" si="19"/>
        <v>2280.96</v>
      </c>
      <c r="N81" s="150">
        <f t="shared" si="19"/>
        <v>2280.96</v>
      </c>
      <c r="O81" s="150">
        <f t="shared" si="19"/>
        <v>2280.96</v>
      </c>
      <c r="P81" s="150">
        <f t="shared" si="19"/>
        <v>2280.96</v>
      </c>
      <c r="Q81" s="150">
        <f t="shared" si="19"/>
        <v>2280.96</v>
      </c>
      <c r="R81" s="150">
        <f t="shared" si="19"/>
        <v>2280.96</v>
      </c>
    </row>
    <row r="82" spans="2:18">
      <c r="B82" s="149" t="s">
        <v>119</v>
      </c>
      <c r="C82" s="198">
        <v>730403000677</v>
      </c>
      <c r="D82" s="204">
        <v>380.16</v>
      </c>
      <c r="E82" s="200">
        <v>2</v>
      </c>
      <c r="F82" s="50"/>
      <c r="G82" s="150">
        <f t="shared" si="20"/>
        <v>2280.96</v>
      </c>
      <c r="H82" s="150">
        <f t="shared" si="19"/>
        <v>2280.96</v>
      </c>
      <c r="I82" s="150">
        <f t="shared" si="19"/>
        <v>2280.96</v>
      </c>
      <c r="J82" s="150">
        <f t="shared" si="19"/>
        <v>2280.96</v>
      </c>
      <c r="K82" s="150">
        <f t="shared" si="19"/>
        <v>2280.96</v>
      </c>
      <c r="L82" s="150">
        <f t="shared" si="19"/>
        <v>2280.96</v>
      </c>
      <c r="M82" s="150">
        <f t="shared" si="19"/>
        <v>2280.96</v>
      </c>
      <c r="N82" s="150">
        <f t="shared" si="19"/>
        <v>2280.96</v>
      </c>
      <c r="O82" s="150">
        <f t="shared" si="19"/>
        <v>2280.96</v>
      </c>
      <c r="P82" s="150">
        <f t="shared" si="19"/>
        <v>2280.96</v>
      </c>
      <c r="Q82" s="150">
        <f t="shared" si="19"/>
        <v>2280.96</v>
      </c>
      <c r="R82" s="150">
        <f t="shared" si="19"/>
        <v>2280.96</v>
      </c>
    </row>
    <row r="83" spans="2:18">
      <c r="B83" s="149" t="s">
        <v>120</v>
      </c>
      <c r="C83" s="198" t="s">
        <v>124</v>
      </c>
      <c r="D83" s="204">
        <v>427.24799999999999</v>
      </c>
      <c r="E83" s="200">
        <v>1</v>
      </c>
      <c r="F83" s="50"/>
      <c r="G83" s="150">
        <f t="shared" si="20"/>
        <v>1281.7439999999999</v>
      </c>
      <c r="H83" s="150">
        <f t="shared" si="19"/>
        <v>1281.7439999999999</v>
      </c>
      <c r="I83" s="150">
        <f t="shared" si="19"/>
        <v>1281.7439999999999</v>
      </c>
      <c r="J83" s="150">
        <f t="shared" si="19"/>
        <v>1281.7439999999999</v>
      </c>
      <c r="K83" s="150">
        <f t="shared" si="19"/>
        <v>1281.7439999999999</v>
      </c>
      <c r="L83" s="150">
        <f t="shared" si="19"/>
        <v>1281.7439999999999</v>
      </c>
      <c r="M83" s="150">
        <f t="shared" si="19"/>
        <v>1281.7439999999999</v>
      </c>
      <c r="N83" s="150">
        <f t="shared" si="19"/>
        <v>1281.7439999999999</v>
      </c>
      <c r="O83" s="150">
        <f t="shared" si="19"/>
        <v>1281.7439999999999</v>
      </c>
      <c r="P83" s="150">
        <f t="shared" si="19"/>
        <v>1281.7439999999999</v>
      </c>
      <c r="Q83" s="150">
        <f t="shared" si="19"/>
        <v>1281.7439999999999</v>
      </c>
      <c r="R83" s="150">
        <f t="shared" si="19"/>
        <v>1281.7439999999999</v>
      </c>
    </row>
    <row r="84" spans="2:18">
      <c r="B84" s="149" t="s">
        <v>121</v>
      </c>
      <c r="C84" s="198">
        <v>750201011177</v>
      </c>
      <c r="D84" s="204">
        <v>146.03399999999999</v>
      </c>
      <c r="E84" s="200">
        <v>2</v>
      </c>
      <c r="F84" s="50"/>
      <c r="G84" s="150">
        <f t="shared" si="20"/>
        <v>876.20399999999995</v>
      </c>
      <c r="H84" s="150">
        <f t="shared" si="19"/>
        <v>876.20399999999995</v>
      </c>
      <c r="I84" s="150">
        <f t="shared" si="19"/>
        <v>876.20399999999995</v>
      </c>
      <c r="J84" s="150">
        <f t="shared" si="19"/>
        <v>876.20399999999995</v>
      </c>
      <c r="K84" s="150">
        <f t="shared" si="19"/>
        <v>876.20399999999995</v>
      </c>
      <c r="L84" s="150">
        <f t="shared" si="19"/>
        <v>876.20399999999995</v>
      </c>
      <c r="M84" s="150">
        <f t="shared" si="19"/>
        <v>876.20399999999995</v>
      </c>
      <c r="N84" s="150">
        <f t="shared" si="19"/>
        <v>876.20399999999995</v>
      </c>
      <c r="O84" s="150">
        <f t="shared" si="19"/>
        <v>876.20399999999995</v>
      </c>
      <c r="P84" s="150">
        <f t="shared" si="19"/>
        <v>876.20399999999995</v>
      </c>
      <c r="Q84" s="150">
        <f t="shared" si="19"/>
        <v>876.20399999999995</v>
      </c>
      <c r="R84" s="150">
        <f t="shared" si="19"/>
        <v>876.20399999999995</v>
      </c>
    </row>
    <row r="85" spans="2:18">
      <c r="B85" s="149" t="s">
        <v>127</v>
      </c>
      <c r="C85" s="198">
        <v>1202804003</v>
      </c>
      <c r="D85" s="204">
        <v>420.9</v>
      </c>
      <c r="E85" s="200">
        <v>3</v>
      </c>
      <c r="F85" s="50"/>
      <c r="G85" s="150">
        <f t="shared" si="20"/>
        <v>3788.1</v>
      </c>
      <c r="H85" s="150">
        <f t="shared" si="19"/>
        <v>3788.1</v>
      </c>
      <c r="I85" s="150">
        <f t="shared" si="19"/>
        <v>3788.1</v>
      </c>
      <c r="J85" s="150">
        <f t="shared" si="19"/>
        <v>3788.1</v>
      </c>
      <c r="K85" s="150">
        <f t="shared" si="19"/>
        <v>3788.1</v>
      </c>
      <c r="L85" s="150">
        <f t="shared" si="19"/>
        <v>3788.1</v>
      </c>
      <c r="M85" s="150">
        <f t="shared" si="19"/>
        <v>3788.1</v>
      </c>
      <c r="N85" s="150">
        <f t="shared" si="19"/>
        <v>3788.1</v>
      </c>
      <c r="O85" s="150">
        <f t="shared" si="19"/>
        <v>3788.1</v>
      </c>
      <c r="P85" s="150">
        <f t="shared" si="19"/>
        <v>3788.1</v>
      </c>
      <c r="Q85" s="150">
        <f t="shared" si="19"/>
        <v>3788.1</v>
      </c>
      <c r="R85" s="150">
        <f t="shared" si="19"/>
        <v>3788.1</v>
      </c>
    </row>
    <row r="86" spans="2:18">
      <c r="B86" s="149" t="s">
        <v>128</v>
      </c>
      <c r="C86" s="198">
        <v>730403000676</v>
      </c>
      <c r="D86" s="204">
        <v>164.15999999999997</v>
      </c>
      <c r="E86" s="200">
        <v>2</v>
      </c>
      <c r="F86" s="50"/>
      <c r="G86" s="150">
        <f t="shared" si="20"/>
        <v>984.95999999999981</v>
      </c>
      <c r="H86" s="150">
        <f t="shared" si="19"/>
        <v>984.95999999999981</v>
      </c>
      <c r="I86" s="150">
        <f t="shared" si="19"/>
        <v>984.95999999999981</v>
      </c>
      <c r="J86" s="150">
        <f t="shared" si="19"/>
        <v>984.95999999999981</v>
      </c>
      <c r="K86" s="150">
        <f t="shared" si="19"/>
        <v>984.95999999999981</v>
      </c>
      <c r="L86" s="150">
        <f t="shared" si="19"/>
        <v>984.95999999999981</v>
      </c>
      <c r="M86" s="150">
        <f t="shared" si="19"/>
        <v>984.95999999999981</v>
      </c>
      <c r="N86" s="150">
        <f t="shared" si="19"/>
        <v>984.95999999999981</v>
      </c>
      <c r="O86" s="150">
        <f t="shared" si="19"/>
        <v>984.95999999999981</v>
      </c>
      <c r="P86" s="150">
        <f t="shared" si="19"/>
        <v>984.95999999999981</v>
      </c>
      <c r="Q86" s="150">
        <f t="shared" si="19"/>
        <v>984.95999999999981</v>
      </c>
      <c r="R86" s="150">
        <f t="shared" si="19"/>
        <v>984.95999999999981</v>
      </c>
    </row>
    <row r="87" spans="2:18">
      <c r="B87" s="149" t="s">
        <v>129</v>
      </c>
      <c r="C87" s="198">
        <v>750201011176</v>
      </c>
      <c r="D87" s="204">
        <v>64.05</v>
      </c>
      <c r="E87" s="200">
        <v>2</v>
      </c>
      <c r="F87" s="50"/>
      <c r="G87" s="150">
        <f t="shared" si="20"/>
        <v>384.29999999999995</v>
      </c>
      <c r="H87" s="150">
        <f t="shared" si="19"/>
        <v>384.29999999999995</v>
      </c>
      <c r="I87" s="150">
        <f t="shared" si="19"/>
        <v>384.29999999999995</v>
      </c>
      <c r="J87" s="150">
        <f t="shared" si="19"/>
        <v>384.29999999999995</v>
      </c>
      <c r="K87" s="150">
        <f t="shared" si="19"/>
        <v>384.29999999999995</v>
      </c>
      <c r="L87" s="150">
        <f t="shared" si="19"/>
        <v>384.29999999999995</v>
      </c>
      <c r="M87" s="150">
        <f t="shared" si="19"/>
        <v>384.29999999999995</v>
      </c>
      <c r="N87" s="150">
        <f t="shared" si="19"/>
        <v>384.29999999999995</v>
      </c>
      <c r="O87" s="150">
        <f t="shared" si="19"/>
        <v>384.29999999999995</v>
      </c>
      <c r="P87" s="150">
        <f t="shared" si="19"/>
        <v>384.29999999999995</v>
      </c>
      <c r="Q87" s="150">
        <f t="shared" si="19"/>
        <v>384.29999999999995</v>
      </c>
      <c r="R87" s="150">
        <f t="shared" si="19"/>
        <v>384.29999999999995</v>
      </c>
    </row>
    <row r="88" spans="2:18">
      <c r="B88" s="149" t="s">
        <v>130</v>
      </c>
      <c r="C88" s="198">
        <v>302030055771</v>
      </c>
      <c r="D88" s="204">
        <v>110.7684</v>
      </c>
      <c r="E88" s="200">
        <v>8</v>
      </c>
      <c r="F88" s="50"/>
      <c r="G88" s="150">
        <f t="shared" si="20"/>
        <v>2658.4416000000001</v>
      </c>
      <c r="H88" s="150">
        <f t="shared" si="19"/>
        <v>2658.4416000000001</v>
      </c>
      <c r="I88" s="150">
        <f t="shared" si="19"/>
        <v>2658.4416000000001</v>
      </c>
      <c r="J88" s="150">
        <f t="shared" si="19"/>
        <v>2658.4416000000001</v>
      </c>
      <c r="K88" s="150">
        <f t="shared" si="19"/>
        <v>2658.4416000000001</v>
      </c>
      <c r="L88" s="150">
        <f t="shared" si="19"/>
        <v>2658.4416000000001</v>
      </c>
      <c r="M88" s="150">
        <f t="shared" si="19"/>
        <v>2658.4416000000001</v>
      </c>
      <c r="N88" s="150">
        <f t="shared" si="19"/>
        <v>2658.4416000000001</v>
      </c>
      <c r="O88" s="150">
        <f t="shared" si="19"/>
        <v>2658.4416000000001</v>
      </c>
      <c r="P88" s="150">
        <f t="shared" si="19"/>
        <v>2658.4416000000001</v>
      </c>
      <c r="Q88" s="150">
        <f t="shared" si="19"/>
        <v>2658.4416000000001</v>
      </c>
      <c r="R88" s="150">
        <f t="shared" si="19"/>
        <v>2658.4416000000001</v>
      </c>
    </row>
    <row r="89" spans="2:18">
      <c r="B89" s="149" t="s">
        <v>131</v>
      </c>
      <c r="C89" s="198">
        <v>302030055762</v>
      </c>
      <c r="D89" s="204">
        <v>102.4614</v>
      </c>
      <c r="E89" s="200">
        <v>4</v>
      </c>
      <c r="F89" s="50"/>
      <c r="G89" s="150">
        <f t="shared" si="20"/>
        <v>1229.5367999999999</v>
      </c>
      <c r="H89" s="150">
        <f t="shared" si="19"/>
        <v>1229.5367999999999</v>
      </c>
      <c r="I89" s="150">
        <f t="shared" si="19"/>
        <v>1229.5367999999999</v>
      </c>
      <c r="J89" s="150">
        <f t="shared" si="19"/>
        <v>1229.5367999999999</v>
      </c>
      <c r="K89" s="150">
        <f t="shared" si="19"/>
        <v>1229.5367999999999</v>
      </c>
      <c r="L89" s="150">
        <f t="shared" si="19"/>
        <v>1229.5367999999999</v>
      </c>
      <c r="M89" s="150">
        <f t="shared" si="19"/>
        <v>1229.5367999999999</v>
      </c>
      <c r="N89" s="150">
        <f t="shared" si="19"/>
        <v>1229.5367999999999</v>
      </c>
      <c r="O89" s="150">
        <f t="shared" si="19"/>
        <v>1229.5367999999999</v>
      </c>
      <c r="P89" s="150">
        <f t="shared" si="19"/>
        <v>1229.5367999999999</v>
      </c>
      <c r="Q89" s="150">
        <f t="shared" si="19"/>
        <v>1229.5367999999999</v>
      </c>
      <c r="R89" s="150">
        <f t="shared" si="19"/>
        <v>1229.5367999999999</v>
      </c>
    </row>
    <row r="90" spans="2:18">
      <c r="B90" s="149" t="s">
        <v>132</v>
      </c>
      <c r="C90" s="198">
        <v>730403000276</v>
      </c>
      <c r="D90" s="204">
        <v>57.644999999999996</v>
      </c>
      <c r="E90" s="200">
        <v>1</v>
      </c>
      <c r="F90" s="50"/>
      <c r="G90" s="150">
        <f t="shared" si="20"/>
        <v>172.935</v>
      </c>
      <c r="H90" s="150">
        <f t="shared" si="19"/>
        <v>172.935</v>
      </c>
      <c r="I90" s="150">
        <f t="shared" si="19"/>
        <v>172.935</v>
      </c>
      <c r="J90" s="150">
        <f t="shared" si="19"/>
        <v>172.935</v>
      </c>
      <c r="K90" s="150">
        <f t="shared" si="19"/>
        <v>172.935</v>
      </c>
      <c r="L90" s="150">
        <f t="shared" si="19"/>
        <v>172.935</v>
      </c>
      <c r="M90" s="150">
        <f t="shared" si="19"/>
        <v>172.935</v>
      </c>
      <c r="N90" s="150">
        <f t="shared" si="19"/>
        <v>172.935</v>
      </c>
      <c r="O90" s="150">
        <f t="shared" si="19"/>
        <v>172.935</v>
      </c>
      <c r="P90" s="150">
        <f t="shared" si="19"/>
        <v>172.935</v>
      </c>
      <c r="Q90" s="150">
        <f t="shared" si="19"/>
        <v>172.935</v>
      </c>
      <c r="R90" s="150">
        <f t="shared" si="19"/>
        <v>172.935</v>
      </c>
    </row>
    <row r="91" spans="2:18">
      <c r="B91" s="149" t="s">
        <v>133</v>
      </c>
      <c r="C91" s="198">
        <v>730403000068</v>
      </c>
      <c r="D91" s="204">
        <v>808.65364583333337</v>
      </c>
      <c r="E91" s="200">
        <v>2</v>
      </c>
      <c r="F91" s="50"/>
      <c r="G91" s="150">
        <f t="shared" si="20"/>
        <v>4851.921875</v>
      </c>
      <c r="H91" s="150">
        <f t="shared" si="19"/>
        <v>4851.921875</v>
      </c>
      <c r="I91" s="150">
        <f t="shared" si="19"/>
        <v>4851.921875</v>
      </c>
      <c r="J91" s="150">
        <f t="shared" si="19"/>
        <v>4851.921875</v>
      </c>
      <c r="K91" s="150">
        <f t="shared" si="19"/>
        <v>4851.921875</v>
      </c>
      <c r="L91" s="150">
        <f t="shared" si="19"/>
        <v>4851.921875</v>
      </c>
      <c r="M91" s="150">
        <f t="shared" si="19"/>
        <v>4851.921875</v>
      </c>
      <c r="N91" s="150">
        <f t="shared" si="19"/>
        <v>4851.921875</v>
      </c>
      <c r="O91" s="150">
        <f t="shared" si="19"/>
        <v>4851.921875</v>
      </c>
      <c r="P91" s="150">
        <f t="shared" si="19"/>
        <v>4851.921875</v>
      </c>
      <c r="Q91" s="150">
        <f t="shared" si="19"/>
        <v>4851.921875</v>
      </c>
      <c r="R91" s="150">
        <f t="shared" si="19"/>
        <v>4851.921875</v>
      </c>
    </row>
    <row r="92" spans="2:18">
      <c r="B92" s="149" t="s">
        <v>134</v>
      </c>
      <c r="C92" s="198">
        <v>750398000659</v>
      </c>
      <c r="D92" s="204">
        <v>46.655999999999992</v>
      </c>
      <c r="E92" s="200">
        <v>1</v>
      </c>
      <c r="F92" s="50"/>
      <c r="G92" s="150">
        <f t="shared" si="20"/>
        <v>139.96799999999996</v>
      </c>
      <c r="H92" s="150">
        <f t="shared" si="19"/>
        <v>139.96799999999996</v>
      </c>
      <c r="I92" s="150">
        <f t="shared" si="19"/>
        <v>139.96799999999996</v>
      </c>
      <c r="J92" s="150">
        <f t="shared" si="19"/>
        <v>139.96799999999996</v>
      </c>
      <c r="K92" s="150">
        <f t="shared" si="19"/>
        <v>139.96799999999996</v>
      </c>
      <c r="L92" s="150">
        <f t="shared" si="19"/>
        <v>139.96799999999996</v>
      </c>
      <c r="M92" s="150">
        <f t="shared" si="19"/>
        <v>139.96799999999996</v>
      </c>
      <c r="N92" s="150">
        <f t="shared" si="19"/>
        <v>139.96799999999996</v>
      </c>
      <c r="O92" s="150">
        <f t="shared" si="19"/>
        <v>139.96799999999996</v>
      </c>
      <c r="P92" s="150">
        <f t="shared" si="19"/>
        <v>139.96799999999996</v>
      </c>
      <c r="Q92" s="150">
        <f t="shared" si="19"/>
        <v>139.96799999999996</v>
      </c>
      <c r="R92" s="150">
        <f t="shared" si="19"/>
        <v>139.96799999999996</v>
      </c>
    </row>
    <row r="93" spans="2:18">
      <c r="B93" s="149" t="s">
        <v>135</v>
      </c>
      <c r="C93" s="198">
        <v>750201018267</v>
      </c>
      <c r="D93" s="204">
        <v>259.2</v>
      </c>
      <c r="E93" s="200">
        <v>1</v>
      </c>
      <c r="F93" s="50"/>
      <c r="G93" s="150">
        <f t="shared" si="20"/>
        <v>777.59999999999991</v>
      </c>
      <c r="H93" s="150">
        <f t="shared" si="20"/>
        <v>777.59999999999991</v>
      </c>
      <c r="I93" s="150">
        <f t="shared" si="20"/>
        <v>777.59999999999991</v>
      </c>
      <c r="J93" s="150">
        <f t="shared" si="20"/>
        <v>777.59999999999991</v>
      </c>
      <c r="K93" s="150">
        <f t="shared" si="20"/>
        <v>777.59999999999991</v>
      </c>
      <c r="L93" s="150">
        <f t="shared" si="20"/>
        <v>777.59999999999991</v>
      </c>
      <c r="M93" s="150">
        <f t="shared" si="20"/>
        <v>777.59999999999991</v>
      </c>
      <c r="N93" s="150">
        <f t="shared" si="20"/>
        <v>777.59999999999991</v>
      </c>
      <c r="O93" s="150">
        <f t="shared" si="20"/>
        <v>777.59999999999991</v>
      </c>
      <c r="P93" s="150">
        <f t="shared" si="20"/>
        <v>777.59999999999991</v>
      </c>
      <c r="Q93" s="150">
        <f t="shared" si="20"/>
        <v>777.59999999999991</v>
      </c>
      <c r="R93" s="150">
        <f t="shared" si="20"/>
        <v>777.59999999999991</v>
      </c>
    </row>
    <row r="94" spans="2:18">
      <c r="B94" s="149" t="s">
        <v>136</v>
      </c>
      <c r="C94" s="198" t="s">
        <v>140</v>
      </c>
      <c r="D94" s="204">
        <v>654.22500000000002</v>
      </c>
      <c r="E94" s="200">
        <v>1</v>
      </c>
      <c r="F94" s="50"/>
      <c r="G94" s="150">
        <f t="shared" si="20"/>
        <v>1962.6750000000002</v>
      </c>
      <c r="H94" s="150">
        <f t="shared" si="20"/>
        <v>1962.6750000000002</v>
      </c>
      <c r="I94" s="150">
        <f t="shared" si="20"/>
        <v>1962.6750000000002</v>
      </c>
      <c r="J94" s="150">
        <f t="shared" si="20"/>
        <v>1962.6750000000002</v>
      </c>
      <c r="K94" s="150">
        <f t="shared" si="20"/>
        <v>1962.6750000000002</v>
      </c>
      <c r="L94" s="150">
        <f t="shared" si="20"/>
        <v>1962.6750000000002</v>
      </c>
      <c r="M94" s="150">
        <f t="shared" si="20"/>
        <v>1962.6750000000002</v>
      </c>
      <c r="N94" s="150">
        <f t="shared" si="20"/>
        <v>1962.6750000000002</v>
      </c>
      <c r="O94" s="150">
        <f t="shared" si="20"/>
        <v>1962.6750000000002</v>
      </c>
      <c r="P94" s="150">
        <f t="shared" si="20"/>
        <v>1962.6750000000002</v>
      </c>
      <c r="Q94" s="150">
        <f t="shared" si="20"/>
        <v>1962.6750000000002</v>
      </c>
      <c r="R94" s="150">
        <f t="shared" si="20"/>
        <v>1962.6750000000002</v>
      </c>
    </row>
    <row r="95" spans="2:18">
      <c r="B95" s="207" t="s">
        <v>144</v>
      </c>
      <c r="C95" s="198">
        <v>730403010060</v>
      </c>
      <c r="D95" s="204">
        <v>251.625</v>
      </c>
      <c r="E95" s="200">
        <v>1</v>
      </c>
      <c r="F95" s="50"/>
      <c r="G95" s="150">
        <f t="shared" si="20"/>
        <v>754.875</v>
      </c>
      <c r="H95" s="150">
        <f t="shared" si="20"/>
        <v>754.875</v>
      </c>
      <c r="I95" s="150">
        <f t="shared" si="20"/>
        <v>754.875</v>
      </c>
      <c r="J95" s="150">
        <f t="shared" si="20"/>
        <v>754.875</v>
      </c>
      <c r="K95" s="150">
        <f t="shared" si="20"/>
        <v>754.875</v>
      </c>
      <c r="L95" s="150">
        <f t="shared" si="20"/>
        <v>754.875</v>
      </c>
      <c r="M95" s="150">
        <f t="shared" si="20"/>
        <v>754.875</v>
      </c>
      <c r="N95" s="150">
        <f t="shared" si="20"/>
        <v>754.875</v>
      </c>
      <c r="O95" s="150">
        <f t="shared" si="20"/>
        <v>754.875</v>
      </c>
      <c r="P95" s="150">
        <f t="shared" si="20"/>
        <v>754.875</v>
      </c>
      <c r="Q95" s="150">
        <f t="shared" si="20"/>
        <v>754.875</v>
      </c>
      <c r="R95" s="150">
        <f t="shared" si="20"/>
        <v>754.875</v>
      </c>
    </row>
    <row r="96" spans="2:18">
      <c r="B96" s="149" t="s">
        <v>137</v>
      </c>
      <c r="C96" s="198">
        <v>1604032083</v>
      </c>
      <c r="D96" s="204">
        <v>2815.4549999999999</v>
      </c>
      <c r="E96" s="200">
        <v>1</v>
      </c>
      <c r="F96" s="50"/>
      <c r="G96" s="150">
        <f t="shared" si="20"/>
        <v>8446.3649999999998</v>
      </c>
      <c r="H96" s="150">
        <f t="shared" si="20"/>
        <v>8446.3649999999998</v>
      </c>
      <c r="I96" s="150">
        <f t="shared" si="20"/>
        <v>8446.3649999999998</v>
      </c>
      <c r="J96" s="150">
        <f t="shared" si="20"/>
        <v>8446.3649999999998</v>
      </c>
      <c r="K96" s="150">
        <f t="shared" si="20"/>
        <v>8446.3649999999998</v>
      </c>
      <c r="L96" s="150">
        <f t="shared" si="20"/>
        <v>8446.3649999999998</v>
      </c>
      <c r="M96" s="150">
        <f t="shared" si="20"/>
        <v>8446.3649999999998</v>
      </c>
      <c r="N96" s="150">
        <f t="shared" si="20"/>
        <v>8446.3649999999998</v>
      </c>
      <c r="O96" s="150">
        <f t="shared" si="20"/>
        <v>8446.3649999999998</v>
      </c>
      <c r="P96" s="150">
        <f t="shared" si="20"/>
        <v>8446.3649999999998</v>
      </c>
      <c r="Q96" s="150">
        <f t="shared" si="20"/>
        <v>8446.3649999999998</v>
      </c>
      <c r="R96" s="150">
        <f t="shared" si="20"/>
        <v>8446.3649999999998</v>
      </c>
    </row>
    <row r="97" spans="2:18">
      <c r="B97" s="149" t="s">
        <v>138</v>
      </c>
      <c r="C97" s="198" t="s">
        <v>141</v>
      </c>
      <c r="D97" s="204">
        <v>86.16189</v>
      </c>
      <c r="E97" s="200">
        <v>54</v>
      </c>
      <c r="F97" s="50"/>
      <c r="G97" s="150">
        <f t="shared" si="20"/>
        <v>13958.22618</v>
      </c>
      <c r="H97" s="150">
        <f t="shared" si="20"/>
        <v>13958.22618</v>
      </c>
      <c r="I97" s="150">
        <f t="shared" si="20"/>
        <v>13958.22618</v>
      </c>
      <c r="J97" s="150">
        <f t="shared" si="20"/>
        <v>13958.22618</v>
      </c>
      <c r="K97" s="150">
        <f t="shared" si="20"/>
        <v>13958.22618</v>
      </c>
      <c r="L97" s="150">
        <f t="shared" si="20"/>
        <v>13958.22618</v>
      </c>
      <c r="M97" s="150">
        <f t="shared" si="20"/>
        <v>13958.22618</v>
      </c>
      <c r="N97" s="150">
        <f t="shared" si="20"/>
        <v>13958.22618</v>
      </c>
      <c r="O97" s="150">
        <f t="shared" si="20"/>
        <v>13958.22618</v>
      </c>
      <c r="P97" s="150">
        <f t="shared" si="20"/>
        <v>13958.22618</v>
      </c>
      <c r="Q97" s="150">
        <f t="shared" si="20"/>
        <v>13958.22618</v>
      </c>
      <c r="R97" s="150">
        <f t="shared" si="20"/>
        <v>13958.22618</v>
      </c>
    </row>
    <row r="98" spans="2:18">
      <c r="B98" s="149" t="s">
        <v>139</v>
      </c>
      <c r="C98" s="198" t="s">
        <v>142</v>
      </c>
      <c r="D98" s="204">
        <v>454.98599999999993</v>
      </c>
      <c r="E98" s="200">
        <v>1</v>
      </c>
      <c r="F98" s="50"/>
      <c r="G98" s="150">
        <f t="shared" si="20"/>
        <v>1364.9579999999999</v>
      </c>
      <c r="H98" s="150">
        <f t="shared" si="20"/>
        <v>1364.9579999999999</v>
      </c>
      <c r="I98" s="150">
        <f t="shared" si="20"/>
        <v>1364.9579999999999</v>
      </c>
      <c r="J98" s="150">
        <f t="shared" si="20"/>
        <v>1364.9579999999999</v>
      </c>
      <c r="K98" s="150">
        <f t="shared" si="20"/>
        <v>1364.9579999999999</v>
      </c>
      <c r="L98" s="150">
        <f t="shared" si="20"/>
        <v>1364.9579999999999</v>
      </c>
      <c r="M98" s="150">
        <f t="shared" si="20"/>
        <v>1364.9579999999999</v>
      </c>
      <c r="N98" s="150">
        <f t="shared" si="20"/>
        <v>1364.9579999999999</v>
      </c>
      <c r="O98" s="150">
        <f t="shared" si="20"/>
        <v>1364.9579999999999</v>
      </c>
      <c r="P98" s="150">
        <f t="shared" si="20"/>
        <v>1364.9579999999999</v>
      </c>
      <c r="Q98" s="150">
        <f t="shared" si="20"/>
        <v>1364.9579999999999</v>
      </c>
      <c r="R98" s="150">
        <f t="shared" si="20"/>
        <v>1364.9579999999999</v>
      </c>
    </row>
    <row r="99" spans="2:18">
      <c r="B99" s="149" t="s">
        <v>139</v>
      </c>
      <c r="C99" s="198" t="s">
        <v>143</v>
      </c>
      <c r="D99" s="204">
        <v>885.13199999999995</v>
      </c>
      <c r="E99" s="200">
        <v>1</v>
      </c>
      <c r="F99" s="50"/>
      <c r="G99" s="150">
        <f t="shared" si="20"/>
        <v>2655.3959999999997</v>
      </c>
      <c r="H99" s="150">
        <f t="shared" si="20"/>
        <v>2655.3959999999997</v>
      </c>
      <c r="I99" s="150">
        <f t="shared" si="20"/>
        <v>2655.3959999999997</v>
      </c>
      <c r="J99" s="150">
        <f t="shared" si="20"/>
        <v>2655.3959999999997</v>
      </c>
      <c r="K99" s="150">
        <f t="shared" si="20"/>
        <v>2655.3959999999997</v>
      </c>
      <c r="L99" s="150">
        <f t="shared" si="20"/>
        <v>2655.3959999999997</v>
      </c>
      <c r="M99" s="150">
        <f t="shared" si="20"/>
        <v>2655.3959999999997</v>
      </c>
      <c r="N99" s="150">
        <f t="shared" si="20"/>
        <v>2655.3959999999997</v>
      </c>
      <c r="O99" s="150">
        <f t="shared" si="20"/>
        <v>2655.3959999999997</v>
      </c>
      <c r="P99" s="150">
        <f t="shared" si="20"/>
        <v>2655.3959999999997</v>
      </c>
      <c r="Q99" s="150">
        <f t="shared" si="20"/>
        <v>2655.3959999999997</v>
      </c>
      <c r="R99" s="150">
        <f t="shared" si="20"/>
        <v>2655.3959999999997</v>
      </c>
    </row>
    <row r="100" spans="2:18">
      <c r="B100" s="149" t="s">
        <v>145</v>
      </c>
      <c r="C100" s="198">
        <v>302490077658</v>
      </c>
      <c r="D100" s="204">
        <v>1273.8779999999999</v>
      </c>
      <c r="E100" s="200">
        <v>2</v>
      </c>
      <c r="F100" s="50"/>
      <c r="G100" s="150">
        <f t="shared" si="20"/>
        <v>7643.268</v>
      </c>
      <c r="H100" s="150">
        <f t="shared" si="20"/>
        <v>7643.268</v>
      </c>
      <c r="I100" s="150">
        <f t="shared" si="20"/>
        <v>7643.268</v>
      </c>
      <c r="J100" s="150">
        <f t="shared" si="20"/>
        <v>7643.268</v>
      </c>
      <c r="K100" s="150">
        <f t="shared" si="20"/>
        <v>7643.268</v>
      </c>
      <c r="L100" s="150">
        <f t="shared" si="20"/>
        <v>7643.268</v>
      </c>
      <c r="M100" s="150">
        <f t="shared" si="20"/>
        <v>7643.268</v>
      </c>
      <c r="N100" s="150">
        <f t="shared" si="20"/>
        <v>7643.268</v>
      </c>
      <c r="O100" s="150">
        <f t="shared" si="20"/>
        <v>7643.268</v>
      </c>
      <c r="P100" s="150">
        <f t="shared" si="20"/>
        <v>7643.268</v>
      </c>
      <c r="Q100" s="150">
        <f t="shared" si="20"/>
        <v>7643.268</v>
      </c>
      <c r="R100" s="150">
        <f t="shared" si="20"/>
        <v>7643.268</v>
      </c>
    </row>
    <row r="101" spans="2:18">
      <c r="B101" s="149" t="s">
        <v>146</v>
      </c>
      <c r="C101" s="198">
        <v>307990002395</v>
      </c>
      <c r="D101" s="204">
        <v>819.81719999999984</v>
      </c>
      <c r="E101" s="200">
        <v>3</v>
      </c>
      <c r="F101" s="50"/>
      <c r="G101" s="150">
        <f t="shared" si="20"/>
        <v>7378.3547999999982</v>
      </c>
      <c r="H101" s="150">
        <f t="shared" si="20"/>
        <v>7378.3547999999982</v>
      </c>
      <c r="I101" s="150">
        <f t="shared" si="20"/>
        <v>7378.3547999999982</v>
      </c>
      <c r="J101" s="150">
        <f t="shared" si="20"/>
        <v>7378.3547999999982</v>
      </c>
      <c r="K101" s="150">
        <f t="shared" si="20"/>
        <v>7378.3547999999982</v>
      </c>
      <c r="L101" s="150">
        <f t="shared" si="20"/>
        <v>7378.3547999999982</v>
      </c>
      <c r="M101" s="150">
        <f t="shared" si="20"/>
        <v>7378.3547999999982</v>
      </c>
      <c r="N101" s="150">
        <f t="shared" si="20"/>
        <v>7378.3547999999982</v>
      </c>
      <c r="O101" s="150">
        <f t="shared" si="20"/>
        <v>7378.3547999999982</v>
      </c>
      <c r="P101" s="150">
        <f t="shared" si="20"/>
        <v>7378.3547999999982</v>
      </c>
      <c r="Q101" s="150">
        <f t="shared" si="20"/>
        <v>7378.3547999999982</v>
      </c>
      <c r="R101" s="150">
        <f t="shared" si="20"/>
        <v>7378.3547999999982</v>
      </c>
    </row>
    <row r="102" spans="2:18">
      <c r="B102" s="149" t="s">
        <v>147</v>
      </c>
      <c r="C102" s="198">
        <v>750005000414</v>
      </c>
      <c r="D102" s="204">
        <v>1184.04</v>
      </c>
      <c r="E102" s="200">
        <v>1</v>
      </c>
      <c r="F102" s="50"/>
      <c r="G102" s="150">
        <f t="shared" si="20"/>
        <v>3552.12</v>
      </c>
      <c r="H102" s="150">
        <f t="shared" si="20"/>
        <v>3552.12</v>
      </c>
      <c r="I102" s="150">
        <f t="shared" si="20"/>
        <v>3552.12</v>
      </c>
      <c r="J102" s="150">
        <f t="shared" si="20"/>
        <v>3552.12</v>
      </c>
      <c r="K102" s="150">
        <f t="shared" si="20"/>
        <v>3552.12</v>
      </c>
      <c r="L102" s="150">
        <f t="shared" si="20"/>
        <v>3552.12</v>
      </c>
      <c r="M102" s="150">
        <f t="shared" si="20"/>
        <v>3552.12</v>
      </c>
      <c r="N102" s="150">
        <f t="shared" si="20"/>
        <v>3552.12</v>
      </c>
      <c r="O102" s="150">
        <f t="shared" si="20"/>
        <v>3552.12</v>
      </c>
      <c r="P102" s="150">
        <f t="shared" si="20"/>
        <v>3552.12</v>
      </c>
      <c r="Q102" s="150">
        <f t="shared" si="20"/>
        <v>3552.12</v>
      </c>
      <c r="R102" s="150">
        <f t="shared" si="20"/>
        <v>3552.12</v>
      </c>
    </row>
    <row r="103" spans="2:18">
      <c r="B103" s="149" t="s">
        <v>126</v>
      </c>
      <c r="C103" s="199" t="s">
        <v>125</v>
      </c>
      <c r="D103" s="204">
        <v>6.5609999999999999</v>
      </c>
      <c r="E103" s="200">
        <v>75</v>
      </c>
      <c r="F103" s="50"/>
      <c r="G103" s="150">
        <f t="shared" si="20"/>
        <v>1476.2249999999999</v>
      </c>
      <c r="H103" s="150">
        <f t="shared" si="20"/>
        <v>1476.2249999999999</v>
      </c>
      <c r="I103" s="150">
        <f t="shared" si="20"/>
        <v>1476.2249999999999</v>
      </c>
      <c r="J103" s="150">
        <f t="shared" si="20"/>
        <v>1476.2249999999999</v>
      </c>
      <c r="K103" s="150">
        <f t="shared" si="20"/>
        <v>1476.2249999999999</v>
      </c>
      <c r="L103" s="150">
        <f t="shared" si="20"/>
        <v>1476.2249999999999</v>
      </c>
      <c r="M103" s="150">
        <f t="shared" si="20"/>
        <v>1476.2249999999999</v>
      </c>
      <c r="N103" s="150">
        <f t="shared" si="20"/>
        <v>1476.2249999999999</v>
      </c>
      <c r="O103" s="150">
        <f t="shared" si="20"/>
        <v>1476.2249999999999</v>
      </c>
      <c r="P103" s="150">
        <f t="shared" si="20"/>
        <v>1476.2249999999999</v>
      </c>
      <c r="Q103" s="150">
        <f t="shared" si="20"/>
        <v>1476.2249999999999</v>
      </c>
      <c r="R103" s="150">
        <f t="shared" si="20"/>
        <v>1476.2249999999999</v>
      </c>
    </row>
    <row r="104" spans="2:18">
      <c r="B104" s="149" t="s">
        <v>148</v>
      </c>
      <c r="C104" s="199" t="s">
        <v>152</v>
      </c>
      <c r="D104" s="204">
        <v>5.7977999999999996</v>
      </c>
      <c r="E104" s="200">
        <v>850</v>
      </c>
      <c r="F104" s="50"/>
      <c r="G104" s="150">
        <f t="shared" si="20"/>
        <v>14784.39</v>
      </c>
      <c r="H104" s="150">
        <f t="shared" si="20"/>
        <v>14784.39</v>
      </c>
      <c r="I104" s="150">
        <f t="shared" si="20"/>
        <v>14784.39</v>
      </c>
      <c r="J104" s="150">
        <f t="shared" si="20"/>
        <v>14784.39</v>
      </c>
      <c r="K104" s="150">
        <f t="shared" si="20"/>
        <v>14784.39</v>
      </c>
      <c r="L104" s="150">
        <f t="shared" si="20"/>
        <v>14784.39</v>
      </c>
      <c r="M104" s="150">
        <f t="shared" si="20"/>
        <v>14784.39</v>
      </c>
      <c r="N104" s="150">
        <f t="shared" si="20"/>
        <v>14784.39</v>
      </c>
      <c r="O104" s="150">
        <f t="shared" si="20"/>
        <v>14784.39</v>
      </c>
      <c r="P104" s="150">
        <f t="shared" si="20"/>
        <v>14784.39</v>
      </c>
      <c r="Q104" s="150">
        <f t="shared" si="20"/>
        <v>14784.39</v>
      </c>
      <c r="R104" s="150">
        <f t="shared" si="20"/>
        <v>14784.39</v>
      </c>
    </row>
    <row r="105" spans="2:18">
      <c r="B105" s="149" t="s">
        <v>149</v>
      </c>
      <c r="C105" s="199" t="s">
        <v>153</v>
      </c>
      <c r="D105" s="204">
        <v>6.1037999999999988</v>
      </c>
      <c r="E105" s="200">
        <v>120</v>
      </c>
      <c r="F105" s="50"/>
      <c r="G105" s="150">
        <f t="shared" si="20"/>
        <v>2197.3679999999995</v>
      </c>
      <c r="H105" s="150">
        <f t="shared" si="20"/>
        <v>2197.3679999999995</v>
      </c>
      <c r="I105" s="150">
        <f t="shared" si="20"/>
        <v>2197.3679999999995</v>
      </c>
      <c r="J105" s="150">
        <f t="shared" si="20"/>
        <v>2197.3679999999995</v>
      </c>
      <c r="K105" s="150">
        <f t="shared" si="20"/>
        <v>2197.3679999999995</v>
      </c>
      <c r="L105" s="150">
        <f t="shared" si="20"/>
        <v>2197.3679999999995</v>
      </c>
      <c r="M105" s="150">
        <f t="shared" si="20"/>
        <v>2197.3679999999995</v>
      </c>
      <c r="N105" s="150">
        <f t="shared" si="20"/>
        <v>2197.3679999999995</v>
      </c>
      <c r="O105" s="150">
        <f t="shared" si="20"/>
        <v>2197.3679999999995</v>
      </c>
      <c r="P105" s="150">
        <f t="shared" si="20"/>
        <v>2197.3679999999995</v>
      </c>
      <c r="Q105" s="150">
        <f t="shared" si="20"/>
        <v>2197.3679999999995</v>
      </c>
      <c r="R105" s="150">
        <f t="shared" si="20"/>
        <v>2197.3679999999995</v>
      </c>
    </row>
    <row r="106" spans="2:18">
      <c r="B106" s="149" t="s">
        <v>150</v>
      </c>
      <c r="C106" s="199" t="s">
        <v>154</v>
      </c>
      <c r="D106" s="204">
        <v>8.8506</v>
      </c>
      <c r="E106" s="200">
        <v>220</v>
      </c>
      <c r="F106" s="50"/>
      <c r="G106" s="150">
        <f t="shared" si="20"/>
        <v>5841.3959999999997</v>
      </c>
      <c r="H106" s="150">
        <f t="shared" si="20"/>
        <v>5841.3959999999997</v>
      </c>
      <c r="I106" s="150">
        <f t="shared" si="20"/>
        <v>5841.3959999999997</v>
      </c>
      <c r="J106" s="150">
        <f t="shared" si="20"/>
        <v>5841.3959999999997</v>
      </c>
      <c r="K106" s="150">
        <f t="shared" si="20"/>
        <v>5841.3959999999997</v>
      </c>
      <c r="L106" s="150">
        <f t="shared" si="20"/>
        <v>5841.3959999999997</v>
      </c>
      <c r="M106" s="150">
        <f t="shared" si="20"/>
        <v>5841.3959999999997</v>
      </c>
      <c r="N106" s="150">
        <f t="shared" si="20"/>
        <v>5841.3959999999997</v>
      </c>
      <c r="O106" s="150">
        <f t="shared" si="20"/>
        <v>5841.3959999999997</v>
      </c>
      <c r="P106" s="150">
        <f t="shared" si="20"/>
        <v>5841.3959999999997</v>
      </c>
      <c r="Q106" s="150">
        <f t="shared" si="20"/>
        <v>5841.3959999999997</v>
      </c>
      <c r="R106" s="150">
        <f t="shared" si="20"/>
        <v>5841.3959999999997</v>
      </c>
    </row>
    <row r="107" spans="2:18">
      <c r="B107" s="149" t="s">
        <v>151</v>
      </c>
      <c r="C107" s="199" t="s">
        <v>155</v>
      </c>
      <c r="D107" s="204">
        <v>14.497200000000001</v>
      </c>
      <c r="E107" s="200">
        <v>80</v>
      </c>
      <c r="F107" s="50"/>
      <c r="G107" s="150">
        <f t="shared" si="20"/>
        <v>3479.3280000000004</v>
      </c>
      <c r="H107" s="150">
        <f t="shared" si="20"/>
        <v>3479.3280000000004</v>
      </c>
      <c r="I107" s="150">
        <f t="shared" si="20"/>
        <v>3479.3280000000004</v>
      </c>
      <c r="J107" s="150">
        <f t="shared" si="20"/>
        <v>3479.3280000000004</v>
      </c>
      <c r="K107" s="150">
        <f t="shared" si="20"/>
        <v>3479.3280000000004</v>
      </c>
      <c r="L107" s="150">
        <f t="shared" si="20"/>
        <v>3479.3280000000004</v>
      </c>
      <c r="M107" s="150">
        <f t="shared" si="20"/>
        <v>3479.3280000000004</v>
      </c>
      <c r="N107" s="150">
        <f t="shared" si="20"/>
        <v>3479.3280000000004</v>
      </c>
      <c r="O107" s="150">
        <f t="shared" si="20"/>
        <v>3479.3280000000004</v>
      </c>
      <c r="P107" s="150">
        <f t="shared" si="20"/>
        <v>3479.3280000000004</v>
      </c>
      <c r="Q107" s="150">
        <f t="shared" si="20"/>
        <v>3479.3280000000004</v>
      </c>
      <c r="R107" s="150">
        <f t="shared" si="20"/>
        <v>3479.3280000000004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64"/>
  <sheetViews>
    <sheetView tabSelected="1" zoomScale="80" zoomScaleNormal="80" zoomScaleSheetLayoutView="80" workbookViewId="0">
      <pane xSplit="2" ySplit="6" topLeftCell="C30" activePane="bottomRight" state="frozen"/>
      <selection activeCell="AC5" sqref="AC5"/>
      <selection pane="topRight" activeCell="AC5" sqref="AC5"/>
      <selection pane="bottomLeft" activeCell="AC5" sqref="AC5"/>
      <selection pane="bottomRight" activeCell="N67" sqref="N67"/>
    </sheetView>
  </sheetViews>
  <sheetFormatPr defaultColWidth="9.109375" defaultRowHeight="13.2"/>
  <cols>
    <col min="1" max="1" width="5.44140625" style="117" customWidth="1"/>
    <col min="2" max="2" width="34.6640625" style="117" customWidth="1"/>
    <col min="3" max="3" width="12.6640625" style="117" customWidth="1"/>
    <col min="4" max="4" width="14.109375" style="117" customWidth="1"/>
    <col min="5" max="5" width="11.44140625" style="117" customWidth="1"/>
    <col min="6" max="6" width="9.5546875" style="117" bestFit="1" customWidth="1"/>
    <col min="7" max="7" width="10.5546875" style="117" bestFit="1" customWidth="1"/>
    <col min="8" max="8" width="10.5546875" style="117" customWidth="1"/>
    <col min="9" max="9" width="11.21875" style="117" customWidth="1"/>
    <col min="10" max="10" width="10.77734375" style="117" customWidth="1"/>
    <col min="11" max="11" width="10.5546875" style="117" bestFit="1" customWidth="1"/>
    <col min="12" max="12" width="11.33203125" style="117" customWidth="1"/>
    <col min="13" max="13" width="10.5546875" style="117" bestFit="1" customWidth="1"/>
    <col min="14" max="14" width="10.77734375" style="117" customWidth="1"/>
    <col min="15" max="15" width="10.6640625" style="117" bestFit="1" customWidth="1"/>
    <col min="16" max="16" width="11.109375" style="117" customWidth="1"/>
    <col min="17" max="17" width="10.5546875" style="117" bestFit="1" customWidth="1"/>
    <col min="18" max="18" width="3.33203125" style="117" customWidth="1"/>
    <col min="19" max="21" width="6.109375" style="117" customWidth="1"/>
    <col min="22" max="30" width="7.21875" style="117" customWidth="1"/>
    <col min="31" max="34" width="6.109375" style="117" customWidth="1"/>
    <col min="35" max="16384" width="9.109375" style="117"/>
  </cols>
  <sheetData>
    <row r="2" spans="2:17">
      <c r="B2" s="155" t="s">
        <v>29</v>
      </c>
    </row>
    <row r="3" spans="2:17" ht="16.5" customHeight="1" thickBot="1">
      <c r="B3" s="117" t="s">
        <v>114</v>
      </c>
      <c r="F3" s="190">
        <f>'Данные_Буровой станок'!E6</f>
        <v>0.89479459982242504</v>
      </c>
      <c r="G3" s="190">
        <f>'Данные_Буровой станок'!F6</f>
        <v>0.86538376775748349</v>
      </c>
      <c r="H3" s="190">
        <f>'Данные_Буровой станок'!G6</f>
        <v>0.84540659880771174</v>
      </c>
      <c r="I3" s="190">
        <f>'Данные_Буровой станок'!H6</f>
        <v>0.8748174308726534</v>
      </c>
      <c r="J3" s="190">
        <f>'Данные_Буровой станок'!I6</f>
        <v>0.86538376775748349</v>
      </c>
      <c r="K3" s="190">
        <f>'Данные_Буровой станок'!J6</f>
        <v>0.84318691336884821</v>
      </c>
      <c r="L3" s="190">
        <f>'Данные_Буровой станок'!K6</f>
        <v>0.86205423959918825</v>
      </c>
      <c r="M3" s="190">
        <f>'Данные_Буровой станок'!L6</f>
        <v>0.86538376775748349</v>
      </c>
      <c r="N3" s="190">
        <f>'Данные_Буровой станок'!M6</f>
        <v>0.8498459696854388</v>
      </c>
      <c r="O3" s="190">
        <f>'Данные_Буровой станок'!N6</f>
        <v>0.85428534056316585</v>
      </c>
      <c r="P3" s="190">
        <f>'Данные_Буровой станок'!O6</f>
        <v>0.85428534056316585</v>
      </c>
      <c r="Q3" s="190">
        <f>'Данные_Буровой станок'!P6</f>
        <v>0.85428534056316585</v>
      </c>
    </row>
    <row r="4" spans="2:17" s="118" customFormat="1" ht="22.95" customHeight="1">
      <c r="B4" s="171" t="s">
        <v>30</v>
      </c>
      <c r="C4" s="172" t="s">
        <v>111</v>
      </c>
      <c r="D4" s="170"/>
      <c r="E4" s="170"/>
      <c r="F4" s="156">
        <v>1</v>
      </c>
      <c r="G4" s="156">
        <f>F4+1</f>
        <v>2</v>
      </c>
      <c r="H4" s="156">
        <f t="shared" ref="H4:O4" si="0">G4+1</f>
        <v>3</v>
      </c>
      <c r="I4" s="156">
        <f t="shared" si="0"/>
        <v>4</v>
      </c>
      <c r="J4" s="156">
        <f t="shared" si="0"/>
        <v>5</v>
      </c>
      <c r="K4" s="156">
        <f t="shared" si="0"/>
        <v>6</v>
      </c>
      <c r="L4" s="156">
        <f t="shared" si="0"/>
        <v>7</v>
      </c>
      <c r="M4" s="156">
        <f t="shared" si="0"/>
        <v>8</v>
      </c>
      <c r="N4" s="156">
        <f t="shared" si="0"/>
        <v>9</v>
      </c>
      <c r="O4" s="156">
        <f t="shared" si="0"/>
        <v>10</v>
      </c>
      <c r="P4" s="156">
        <f>O4+1</f>
        <v>11</v>
      </c>
      <c r="Q4" s="156">
        <f>P4+1</f>
        <v>12</v>
      </c>
    </row>
    <row r="5" spans="2:17">
      <c r="B5" s="119" t="s">
        <v>31</v>
      </c>
      <c r="C5" s="120" t="s">
        <v>32</v>
      </c>
      <c r="D5" s="121"/>
      <c r="E5" s="122"/>
      <c r="F5" s="123">
        <v>0</v>
      </c>
      <c r="G5" s="123">
        <f>F6+1</f>
        <v>7001</v>
      </c>
      <c r="H5" s="123">
        <f t="shared" ref="H5:Q5" si="1">G6+1</f>
        <v>14001</v>
      </c>
      <c r="I5" s="123">
        <f t="shared" si="1"/>
        <v>21001</v>
      </c>
      <c r="J5" s="123">
        <f t="shared" si="1"/>
        <v>28001</v>
      </c>
      <c r="K5" s="123">
        <f t="shared" si="1"/>
        <v>35001</v>
      </c>
      <c r="L5" s="123">
        <f t="shared" si="1"/>
        <v>42001</v>
      </c>
      <c r="M5" s="123">
        <f t="shared" si="1"/>
        <v>49001</v>
      </c>
      <c r="N5" s="123">
        <f t="shared" si="1"/>
        <v>56001</v>
      </c>
      <c r="O5" s="123">
        <f t="shared" si="1"/>
        <v>63001</v>
      </c>
      <c r="P5" s="123">
        <f t="shared" si="1"/>
        <v>70001</v>
      </c>
      <c r="Q5" s="123">
        <f t="shared" si="1"/>
        <v>77001</v>
      </c>
    </row>
    <row r="6" spans="2:17" ht="13.8" thickBot="1">
      <c r="B6" s="124" t="s">
        <v>33</v>
      </c>
      <c r="C6" s="125" t="s">
        <v>32</v>
      </c>
      <c r="D6" s="126"/>
      <c r="E6" s="51">
        <f>ТО!F6</f>
        <v>7000</v>
      </c>
      <c r="F6" s="127">
        <f>E6</f>
        <v>7000</v>
      </c>
      <c r="G6" s="127">
        <f>F6+$E6</f>
        <v>14000</v>
      </c>
      <c r="H6" s="127">
        <f>G6+$E6</f>
        <v>21000</v>
      </c>
      <c r="I6" s="127">
        <f t="shared" ref="I6:Q6" si="2">H6+$E6</f>
        <v>28000</v>
      </c>
      <c r="J6" s="127">
        <f t="shared" si="2"/>
        <v>35000</v>
      </c>
      <c r="K6" s="127">
        <f t="shared" si="2"/>
        <v>42000</v>
      </c>
      <c r="L6" s="127">
        <f t="shared" si="2"/>
        <v>49000</v>
      </c>
      <c r="M6" s="127">
        <f t="shared" si="2"/>
        <v>56000</v>
      </c>
      <c r="N6" s="127">
        <f t="shared" si="2"/>
        <v>63000</v>
      </c>
      <c r="O6" s="127">
        <f t="shared" si="2"/>
        <v>70000</v>
      </c>
      <c r="P6" s="127">
        <f t="shared" si="2"/>
        <v>77000</v>
      </c>
      <c r="Q6" s="127">
        <f t="shared" si="2"/>
        <v>84000</v>
      </c>
    </row>
    <row r="7" spans="2:17" ht="13.8" thickBot="1"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2:17" ht="21.75" customHeight="1">
      <c r="B8" s="114" t="s">
        <v>56</v>
      </c>
      <c r="C8" s="52" t="s">
        <v>35</v>
      </c>
      <c r="D8" s="52"/>
      <c r="E8" s="52"/>
      <c r="F8" s="53">
        <f>F16</f>
        <v>425.64499999999998</v>
      </c>
      <c r="G8" s="53">
        <f>G16</f>
        <v>690.64499999999998</v>
      </c>
      <c r="H8" s="53">
        <f t="shared" ref="H8:P8" si="3">H16</f>
        <v>870.64499999999998</v>
      </c>
      <c r="I8" s="53">
        <f t="shared" si="3"/>
        <v>605.64499999999998</v>
      </c>
      <c r="J8" s="53">
        <f t="shared" si="3"/>
        <v>690.64499999999998</v>
      </c>
      <c r="K8" s="53">
        <f t="shared" si="3"/>
        <v>890.64499999999998</v>
      </c>
      <c r="L8" s="53">
        <f t="shared" si="3"/>
        <v>720.64499999999998</v>
      </c>
      <c r="M8" s="53">
        <f t="shared" si="3"/>
        <v>690.64499999999998</v>
      </c>
      <c r="N8" s="53">
        <f t="shared" si="3"/>
        <v>830.64499999999998</v>
      </c>
      <c r="O8" s="53">
        <f t="shared" si="3"/>
        <v>790.64499999999998</v>
      </c>
      <c r="P8" s="53">
        <f t="shared" si="3"/>
        <v>790.64499999999998</v>
      </c>
      <c r="Q8" s="53">
        <f>Q16</f>
        <v>790.64499999999998</v>
      </c>
    </row>
    <row r="9" spans="2:17" ht="21" customHeight="1">
      <c r="B9" s="85" t="s">
        <v>24</v>
      </c>
      <c r="C9" s="113" t="s">
        <v>57</v>
      </c>
      <c r="D9" s="9"/>
      <c r="E9" s="9"/>
      <c r="F9" s="26">
        <f>SUM(F10:F12)</f>
        <v>101217.9204</v>
      </c>
      <c r="G9" s="26">
        <f>SUM(G10:G12)</f>
        <v>395757.82209026546</v>
      </c>
      <c r="H9" s="26">
        <f t="shared" ref="H9:Q9" si="4">SUM(H10:H12)</f>
        <v>424352.58229026548</v>
      </c>
      <c r="I9" s="26">
        <f t="shared" si="4"/>
        <v>216412.82740000001</v>
      </c>
      <c r="J9" s="26">
        <f t="shared" si="4"/>
        <v>354760.8670902655</v>
      </c>
      <c r="K9" s="26">
        <f t="shared" si="4"/>
        <v>465349.53729026543</v>
      </c>
      <c r="L9" s="26">
        <f t="shared" si="4"/>
        <v>179685.87239999999</v>
      </c>
      <c r="M9" s="26">
        <f t="shared" si="4"/>
        <v>399805.92209026549</v>
      </c>
      <c r="N9" s="26">
        <f t="shared" si="4"/>
        <v>362205.8302902655</v>
      </c>
      <c r="O9" s="26">
        <f t="shared" si="4"/>
        <v>216412.82740000001</v>
      </c>
      <c r="P9" s="26">
        <f t="shared" si="4"/>
        <v>354760.8670902655</v>
      </c>
      <c r="Q9" s="115">
        <f t="shared" si="4"/>
        <v>101217.9204</v>
      </c>
    </row>
    <row r="10" spans="2:17" ht="23.25" customHeight="1">
      <c r="B10" s="72" t="s">
        <v>26</v>
      </c>
      <c r="C10" s="11" t="s">
        <v>57</v>
      </c>
      <c r="D10" s="11"/>
      <c r="E10" s="11"/>
      <c r="F10" s="31">
        <f>F29</f>
        <v>53174</v>
      </c>
      <c r="G10" s="31">
        <f>G29</f>
        <v>53174</v>
      </c>
      <c r="H10" s="31">
        <f t="shared" ref="H10:Q10" si="5">H29</f>
        <v>53174</v>
      </c>
      <c r="I10" s="31">
        <f t="shared" si="5"/>
        <v>53174</v>
      </c>
      <c r="J10" s="31">
        <f t="shared" si="5"/>
        <v>53174</v>
      </c>
      <c r="K10" s="31">
        <f t="shared" si="5"/>
        <v>53174</v>
      </c>
      <c r="L10" s="31">
        <f t="shared" si="5"/>
        <v>53174</v>
      </c>
      <c r="M10" s="31">
        <f t="shared" si="5"/>
        <v>53174</v>
      </c>
      <c r="N10" s="31">
        <f t="shared" si="5"/>
        <v>53174</v>
      </c>
      <c r="O10" s="31">
        <f t="shared" si="5"/>
        <v>53174</v>
      </c>
      <c r="P10" s="31">
        <f t="shared" si="5"/>
        <v>53174</v>
      </c>
      <c r="Q10" s="116">
        <f t="shared" si="5"/>
        <v>53174</v>
      </c>
    </row>
    <row r="11" spans="2:17" ht="27.75" customHeight="1">
      <c r="B11" s="72" t="s">
        <v>27</v>
      </c>
      <c r="C11" s="11" t="s">
        <v>57</v>
      </c>
      <c r="D11" s="11"/>
      <c r="E11" s="11"/>
      <c r="F11" s="31">
        <f>F33</f>
        <v>35958.770400000001</v>
      </c>
      <c r="G11" s="31">
        <f>G33</f>
        <v>301938.67209026543</v>
      </c>
      <c r="H11" s="31">
        <f t="shared" ref="H11:Q11" si="6">H33</f>
        <v>327733.43229026545</v>
      </c>
      <c r="I11" s="31">
        <f t="shared" si="6"/>
        <v>133082.4774</v>
      </c>
      <c r="J11" s="31">
        <f>J33</f>
        <v>264441.71709026548</v>
      </c>
      <c r="K11" s="31">
        <f t="shared" si="6"/>
        <v>365230.38729026541</v>
      </c>
      <c r="L11" s="31">
        <f>L33</f>
        <v>95585.522399999987</v>
      </c>
      <c r="M11" s="31">
        <f t="shared" si="6"/>
        <v>307316.77209026547</v>
      </c>
      <c r="N11" s="31">
        <f t="shared" si="6"/>
        <v>268106.68029026547</v>
      </c>
      <c r="O11" s="31">
        <f t="shared" si="6"/>
        <v>133082.4774</v>
      </c>
      <c r="P11" s="31">
        <f t="shared" si="6"/>
        <v>264441.71709026548</v>
      </c>
      <c r="Q11" s="116">
        <f t="shared" si="6"/>
        <v>35958.770400000001</v>
      </c>
    </row>
    <row r="12" spans="2:17" ht="23.25" customHeight="1" thickBot="1">
      <c r="B12" s="74" t="s">
        <v>28</v>
      </c>
      <c r="C12" s="54" t="s">
        <v>57</v>
      </c>
      <c r="D12" s="54"/>
      <c r="E12" s="54"/>
      <c r="F12" s="37">
        <f>SUMPRODUCT(F$23:F$26,$D23:$D26)</f>
        <v>12085.15</v>
      </c>
      <c r="G12" s="37">
        <f>SUMPRODUCT(G$23:G$26,$D23:$D26)</f>
        <v>40645.15</v>
      </c>
      <c r="H12" s="37">
        <f t="shared" ref="H12:Q12" si="7">SUMPRODUCT(H$23:H$26,$D23:$D26)</f>
        <v>43445.15</v>
      </c>
      <c r="I12" s="37">
        <f t="shared" si="7"/>
        <v>30156.35</v>
      </c>
      <c r="J12" s="37">
        <f t="shared" si="7"/>
        <v>37145.15</v>
      </c>
      <c r="K12" s="37">
        <f t="shared" si="7"/>
        <v>46945.15</v>
      </c>
      <c r="L12" s="37">
        <f t="shared" si="7"/>
        <v>30926.35</v>
      </c>
      <c r="M12" s="37">
        <f t="shared" si="7"/>
        <v>39315.15</v>
      </c>
      <c r="N12" s="37">
        <f t="shared" si="7"/>
        <v>40925.15</v>
      </c>
      <c r="O12" s="37">
        <f t="shared" si="7"/>
        <v>30156.35</v>
      </c>
      <c r="P12" s="37">
        <f t="shared" si="7"/>
        <v>37145.15</v>
      </c>
      <c r="Q12" s="37">
        <f t="shared" si="7"/>
        <v>12085.15</v>
      </c>
    </row>
    <row r="13" spans="2:17">
      <c r="B13" s="55"/>
      <c r="E13" s="5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spans="2:17" ht="13.8" thickBot="1">
      <c r="B14" s="132" t="s">
        <v>59</v>
      </c>
      <c r="E14" s="5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spans="2:17" ht="13.8" thickBot="1">
      <c r="B15" s="158" t="s">
        <v>109</v>
      </c>
      <c r="C15" s="172" t="s">
        <v>111</v>
      </c>
      <c r="D15" s="178"/>
      <c r="E15" s="178"/>
      <c r="F15" s="176" t="s">
        <v>35</v>
      </c>
      <c r="G15" s="177" t="s">
        <v>35</v>
      </c>
      <c r="H15" s="177" t="s">
        <v>35</v>
      </c>
      <c r="I15" s="177" t="s">
        <v>35</v>
      </c>
      <c r="J15" s="177" t="s">
        <v>35</v>
      </c>
      <c r="K15" s="177" t="s">
        <v>35</v>
      </c>
      <c r="L15" s="177" t="s">
        <v>35</v>
      </c>
      <c r="M15" s="177" t="s">
        <v>35</v>
      </c>
      <c r="N15" s="177" t="s">
        <v>35</v>
      </c>
      <c r="O15" s="177" t="s">
        <v>35</v>
      </c>
      <c r="P15" s="177" t="s">
        <v>35</v>
      </c>
      <c r="Q15" s="192" t="s">
        <v>35</v>
      </c>
    </row>
    <row r="16" spans="2:17" ht="13.5" customHeight="1" thickBot="1">
      <c r="B16" s="181" t="s">
        <v>105</v>
      </c>
      <c r="C16" s="182"/>
      <c r="D16" s="183"/>
      <c r="E16" s="183"/>
      <c r="F16" s="193">
        <f>SUM(F17:F20)</f>
        <v>425.64499999999998</v>
      </c>
      <c r="G16" s="193">
        <f>SUM(G17:G20)</f>
        <v>690.64499999999998</v>
      </c>
      <c r="H16" s="193">
        <f t="shared" ref="H16:P16" si="8">SUM(H17:H20)</f>
        <v>870.64499999999998</v>
      </c>
      <c r="I16" s="193">
        <f t="shared" si="8"/>
        <v>605.64499999999998</v>
      </c>
      <c r="J16" s="193">
        <f t="shared" si="8"/>
        <v>690.64499999999998</v>
      </c>
      <c r="K16" s="193">
        <f t="shared" si="8"/>
        <v>890.64499999999998</v>
      </c>
      <c r="L16" s="193">
        <f t="shared" si="8"/>
        <v>720.64499999999998</v>
      </c>
      <c r="M16" s="193">
        <f t="shared" si="8"/>
        <v>690.64499999999998</v>
      </c>
      <c r="N16" s="193">
        <f t="shared" si="8"/>
        <v>830.64499999999998</v>
      </c>
      <c r="O16" s="193">
        <f t="shared" si="8"/>
        <v>790.64499999999998</v>
      </c>
      <c r="P16" s="193">
        <f t="shared" si="8"/>
        <v>790.64499999999998</v>
      </c>
      <c r="Q16" s="193">
        <f>SUM(Q17:Q20)</f>
        <v>790.64499999999998</v>
      </c>
    </row>
    <row r="17" spans="2:34">
      <c r="B17" s="60" t="s">
        <v>106</v>
      </c>
      <c r="C17" s="184" t="s">
        <v>35</v>
      </c>
      <c r="D17" s="179"/>
      <c r="E17" s="22"/>
      <c r="F17" s="188">
        <v>12.824999999999999</v>
      </c>
      <c r="G17" s="188">
        <v>12.824999999999999</v>
      </c>
      <c r="H17" s="188">
        <v>12.824999999999999</v>
      </c>
      <c r="I17" s="188">
        <v>12.824999999999999</v>
      </c>
      <c r="J17" s="188">
        <v>12.824999999999999</v>
      </c>
      <c r="K17" s="188">
        <v>12.824999999999999</v>
      </c>
      <c r="L17" s="188">
        <v>12.824999999999999</v>
      </c>
      <c r="M17" s="188">
        <v>12.824999999999999</v>
      </c>
      <c r="N17" s="188">
        <v>12.824999999999999</v>
      </c>
      <c r="O17" s="188">
        <v>12.824999999999999</v>
      </c>
      <c r="P17" s="188">
        <v>12.824999999999999</v>
      </c>
      <c r="Q17" s="188">
        <v>12.824999999999999</v>
      </c>
      <c r="T17" s="223"/>
    </row>
    <row r="18" spans="2:34">
      <c r="B18" s="60" t="s">
        <v>107</v>
      </c>
      <c r="C18" s="184" t="s">
        <v>35</v>
      </c>
      <c r="D18" s="180"/>
      <c r="E18" s="22"/>
      <c r="F18" s="189">
        <v>32.159999999999997</v>
      </c>
      <c r="G18" s="189">
        <v>32.159999999999997</v>
      </c>
      <c r="H18" s="189">
        <v>32.159999999999997</v>
      </c>
      <c r="I18" s="189">
        <v>32.159999999999997</v>
      </c>
      <c r="J18" s="189">
        <v>32.159999999999997</v>
      </c>
      <c r="K18" s="189">
        <v>32.159999999999997</v>
      </c>
      <c r="L18" s="189">
        <v>32.159999999999997</v>
      </c>
      <c r="M18" s="189">
        <v>32.159999999999997</v>
      </c>
      <c r="N18" s="189">
        <v>32.159999999999997</v>
      </c>
      <c r="O18" s="189">
        <v>32.159999999999997</v>
      </c>
      <c r="P18" s="189">
        <v>32.159999999999997</v>
      </c>
      <c r="Q18" s="189">
        <v>32.159999999999997</v>
      </c>
      <c r="T18" s="223"/>
    </row>
    <row r="19" spans="2:34">
      <c r="B19" s="60" t="s">
        <v>108</v>
      </c>
      <c r="C19" s="184" t="s">
        <v>35</v>
      </c>
      <c r="D19" s="180"/>
      <c r="E19" s="22"/>
      <c r="F19" s="189">
        <v>25.659999999999997</v>
      </c>
      <c r="G19" s="189">
        <v>25.659999999999997</v>
      </c>
      <c r="H19" s="189">
        <v>25.659999999999997</v>
      </c>
      <c r="I19" s="189">
        <v>25.659999999999997</v>
      </c>
      <c r="J19" s="189">
        <v>25.659999999999997</v>
      </c>
      <c r="K19" s="189">
        <v>25.659999999999997</v>
      </c>
      <c r="L19" s="189">
        <v>25.659999999999997</v>
      </c>
      <c r="M19" s="189">
        <v>25.659999999999997</v>
      </c>
      <c r="N19" s="189">
        <v>25.659999999999997</v>
      </c>
      <c r="O19" s="189">
        <v>25.659999999999997</v>
      </c>
      <c r="P19" s="189">
        <v>25.659999999999997</v>
      </c>
      <c r="Q19" s="189">
        <v>25.659999999999997</v>
      </c>
      <c r="T19" s="223"/>
    </row>
    <row r="20" spans="2:34" ht="26.4">
      <c r="B20" s="60" t="s">
        <v>27</v>
      </c>
      <c r="C20" s="184" t="s">
        <v>35</v>
      </c>
      <c r="D20" s="180"/>
      <c r="E20" s="22"/>
      <c r="F20" s="189">
        <v>355</v>
      </c>
      <c r="G20" s="189">
        <v>620</v>
      </c>
      <c r="H20" s="189">
        <v>800</v>
      </c>
      <c r="I20" s="189">
        <v>535</v>
      </c>
      <c r="J20" s="189">
        <v>620</v>
      </c>
      <c r="K20" s="189">
        <v>820</v>
      </c>
      <c r="L20" s="189">
        <v>650</v>
      </c>
      <c r="M20" s="189">
        <v>620</v>
      </c>
      <c r="N20" s="189">
        <v>760</v>
      </c>
      <c r="O20" s="189">
        <v>720</v>
      </c>
      <c r="P20" s="189">
        <v>720</v>
      </c>
      <c r="Q20" s="189">
        <v>720</v>
      </c>
      <c r="T20" s="223"/>
    </row>
    <row r="21" spans="2:34" ht="13.8" thickBot="1">
      <c r="B21" s="132" t="s">
        <v>112</v>
      </c>
      <c r="D21" s="131">
        <f>ТО!F10</f>
        <v>35</v>
      </c>
      <c r="E21" s="56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spans="2:34" ht="27" thickBot="1">
      <c r="B22" s="158" t="s">
        <v>109</v>
      </c>
      <c r="C22" s="172" t="s">
        <v>111</v>
      </c>
      <c r="D22" s="187" t="s">
        <v>64</v>
      </c>
      <c r="E22" s="187"/>
      <c r="F22" s="186" t="s">
        <v>110</v>
      </c>
      <c r="G22" s="186" t="s">
        <v>110</v>
      </c>
      <c r="H22" s="186" t="s">
        <v>110</v>
      </c>
      <c r="I22" s="186" t="s">
        <v>110</v>
      </c>
      <c r="J22" s="186" t="s">
        <v>110</v>
      </c>
      <c r="K22" s="186" t="s">
        <v>110</v>
      </c>
      <c r="L22" s="186" t="s">
        <v>110</v>
      </c>
      <c r="M22" s="186" t="s">
        <v>110</v>
      </c>
      <c r="N22" s="186" t="s">
        <v>110</v>
      </c>
      <c r="O22" s="186" t="s">
        <v>110</v>
      </c>
      <c r="P22" s="186" t="s">
        <v>110</v>
      </c>
      <c r="Q22" s="194" t="s">
        <v>110</v>
      </c>
    </row>
    <row r="23" spans="2:34">
      <c r="B23" s="185" t="str">
        <f>B17</f>
        <v>ремонт-1</v>
      </c>
      <c r="C23" s="184" t="s">
        <v>110</v>
      </c>
      <c r="D23" s="49">
        <f>$D$21</f>
        <v>35</v>
      </c>
      <c r="E23" s="22"/>
      <c r="F23" s="139">
        <v>25.65</v>
      </c>
      <c r="G23" s="139">
        <v>25.65</v>
      </c>
      <c r="H23" s="139">
        <v>25.65</v>
      </c>
      <c r="I23" s="139">
        <v>25.65</v>
      </c>
      <c r="J23" s="139">
        <v>25.65</v>
      </c>
      <c r="K23" s="139">
        <v>25.65</v>
      </c>
      <c r="L23" s="139">
        <v>25.65</v>
      </c>
      <c r="M23" s="139">
        <v>25.65</v>
      </c>
      <c r="N23" s="139">
        <v>25.65</v>
      </c>
      <c r="O23" s="139">
        <v>25.65</v>
      </c>
      <c r="P23" s="139">
        <v>25.65</v>
      </c>
      <c r="Q23" s="139">
        <v>25.65</v>
      </c>
      <c r="S23" s="226"/>
      <c r="V23" s="226"/>
      <c r="X23" s="226"/>
    </row>
    <row r="24" spans="2:34">
      <c r="B24" s="185" t="str">
        <f>B18</f>
        <v>ремонт-2</v>
      </c>
      <c r="C24" s="184" t="s">
        <v>110</v>
      </c>
      <c r="D24" s="49">
        <f>$D$21</f>
        <v>35</v>
      </c>
      <c r="E24" s="22"/>
      <c r="F24" s="139">
        <v>64.319999999999993</v>
      </c>
      <c r="G24" s="139">
        <v>64.319999999999993</v>
      </c>
      <c r="H24" s="139">
        <v>64.319999999999993</v>
      </c>
      <c r="I24" s="139">
        <v>64.319999999999993</v>
      </c>
      <c r="J24" s="139">
        <v>64.319999999999993</v>
      </c>
      <c r="K24" s="139">
        <v>64.319999999999993</v>
      </c>
      <c r="L24" s="139">
        <v>64.319999999999993</v>
      </c>
      <c r="M24" s="139">
        <v>64.319999999999993</v>
      </c>
      <c r="N24" s="139">
        <v>64.319999999999993</v>
      </c>
      <c r="O24" s="139">
        <v>64.319999999999993</v>
      </c>
      <c r="P24" s="139">
        <v>64.319999999999993</v>
      </c>
      <c r="Q24" s="139">
        <v>64.319999999999993</v>
      </c>
      <c r="S24" s="226"/>
      <c r="V24" s="226"/>
      <c r="X24" s="226"/>
    </row>
    <row r="25" spans="2:34">
      <c r="B25" s="185" t="str">
        <f>B19</f>
        <v>ремонт-3</v>
      </c>
      <c r="C25" s="184" t="s">
        <v>110</v>
      </c>
      <c r="D25" s="49">
        <f>$D$21</f>
        <v>35</v>
      </c>
      <c r="E25" s="22"/>
      <c r="F25" s="139">
        <v>51.319999999999993</v>
      </c>
      <c r="G25" s="139">
        <v>51.319999999999993</v>
      </c>
      <c r="H25" s="139">
        <v>51.319999999999993</v>
      </c>
      <c r="I25" s="139">
        <v>51.319999999999993</v>
      </c>
      <c r="J25" s="139">
        <v>51.319999999999993</v>
      </c>
      <c r="K25" s="139">
        <v>51.319999999999993</v>
      </c>
      <c r="L25" s="139">
        <v>51.319999999999993</v>
      </c>
      <c r="M25" s="139">
        <v>51.319999999999993</v>
      </c>
      <c r="N25" s="139">
        <v>51.319999999999993</v>
      </c>
      <c r="O25" s="139">
        <v>51.319999999999993</v>
      </c>
      <c r="P25" s="139">
        <v>51.319999999999993</v>
      </c>
      <c r="Q25" s="139">
        <v>51.319999999999993</v>
      </c>
      <c r="S25" s="226"/>
      <c r="T25" s="226"/>
      <c r="U25" s="226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</row>
    <row r="26" spans="2:34" ht="26.4">
      <c r="B26" s="185" t="s">
        <v>27</v>
      </c>
      <c r="C26" s="184" t="s">
        <v>35</v>
      </c>
      <c r="D26" s="49">
        <f>$D$21</f>
        <v>35</v>
      </c>
      <c r="E26" s="22"/>
      <c r="F26" s="139">
        <v>204</v>
      </c>
      <c r="G26" s="139">
        <v>1020</v>
      </c>
      <c r="H26" s="139">
        <v>1100</v>
      </c>
      <c r="I26" s="139">
        <v>720.31999999999994</v>
      </c>
      <c r="J26" s="139">
        <v>920</v>
      </c>
      <c r="K26" s="139">
        <v>1200</v>
      </c>
      <c r="L26" s="139">
        <v>742.31999999999994</v>
      </c>
      <c r="M26" s="139">
        <v>982</v>
      </c>
      <c r="N26" s="139">
        <v>1028</v>
      </c>
      <c r="O26" s="139">
        <v>720.31999999999994</v>
      </c>
      <c r="P26" s="139">
        <v>920</v>
      </c>
      <c r="Q26" s="139">
        <v>204</v>
      </c>
      <c r="T26" s="256"/>
    </row>
    <row r="27" spans="2:34" ht="13.8" thickBot="1">
      <c r="B27" s="132" t="s">
        <v>58</v>
      </c>
      <c r="F27" s="130"/>
      <c r="G27" s="255"/>
      <c r="H27" s="255"/>
      <c r="I27" s="255"/>
      <c r="J27" s="255"/>
      <c r="K27" s="255"/>
      <c r="L27" s="255"/>
      <c r="M27" s="255"/>
      <c r="N27" s="255"/>
      <c r="O27" s="255"/>
      <c r="P27" s="255"/>
    </row>
    <row r="28" spans="2:34" s="133" customFormat="1" ht="40.200000000000003" thickBot="1">
      <c r="B28" s="173" t="s">
        <v>60</v>
      </c>
      <c r="C28" s="174" t="s">
        <v>61</v>
      </c>
      <c r="D28" s="166" t="s">
        <v>62</v>
      </c>
      <c r="E28" s="166" t="s">
        <v>63</v>
      </c>
      <c r="F28" s="175" t="s">
        <v>55</v>
      </c>
      <c r="G28" s="175" t="s">
        <v>55</v>
      </c>
      <c r="H28" s="175" t="s">
        <v>55</v>
      </c>
      <c r="I28" s="175" t="s">
        <v>55</v>
      </c>
      <c r="J28" s="175" t="s">
        <v>55</v>
      </c>
      <c r="K28" s="175" t="s">
        <v>55</v>
      </c>
      <c r="L28" s="175" t="s">
        <v>55</v>
      </c>
      <c r="M28" s="175" t="s">
        <v>55</v>
      </c>
      <c r="N28" s="175" t="s">
        <v>55</v>
      </c>
      <c r="O28" s="175" t="s">
        <v>55</v>
      </c>
      <c r="P28" s="175" t="s">
        <v>55</v>
      </c>
      <c r="Q28" s="175" t="s">
        <v>55</v>
      </c>
      <c r="T28" s="257"/>
      <c r="U28" s="257"/>
    </row>
    <row r="29" spans="2:34" ht="28.5" customHeight="1" thickBot="1">
      <c r="B29" s="57" t="s">
        <v>65</v>
      </c>
      <c r="C29" s="58"/>
      <c r="D29" s="59"/>
      <c r="E29" s="59"/>
      <c r="F29" s="134">
        <f>SUM(F30:F32)</f>
        <v>53174</v>
      </c>
      <c r="G29" s="134">
        <f>SUM(G30:G32)</f>
        <v>53174</v>
      </c>
      <c r="H29" s="134">
        <f t="shared" ref="H29:P29" si="9">SUM(H30:H32)</f>
        <v>53174</v>
      </c>
      <c r="I29" s="134">
        <f t="shared" si="9"/>
        <v>53174</v>
      </c>
      <c r="J29" s="134">
        <f t="shared" si="9"/>
        <v>53174</v>
      </c>
      <c r="K29" s="134">
        <f t="shared" si="9"/>
        <v>53174</v>
      </c>
      <c r="L29" s="134">
        <f t="shared" si="9"/>
        <v>53174</v>
      </c>
      <c r="M29" s="134">
        <f t="shared" si="9"/>
        <v>53174</v>
      </c>
      <c r="N29" s="134">
        <f t="shared" si="9"/>
        <v>53174</v>
      </c>
      <c r="O29" s="134">
        <f t="shared" si="9"/>
        <v>53174</v>
      </c>
      <c r="P29" s="134">
        <f t="shared" si="9"/>
        <v>53174</v>
      </c>
      <c r="Q29" s="134">
        <f>SUM(Q30:Q32)</f>
        <v>53174</v>
      </c>
    </row>
    <row r="30" spans="2:34" ht="28.5" customHeight="1">
      <c r="B30" s="136" t="s">
        <v>66</v>
      </c>
      <c r="C30" s="209">
        <v>1872</v>
      </c>
      <c r="D30" s="62">
        <v>1000</v>
      </c>
      <c r="E30" s="63">
        <v>3</v>
      </c>
      <c r="F30" s="123">
        <f>$E$30*$C$30</f>
        <v>5616</v>
      </c>
      <c r="G30" s="123">
        <f t="shared" ref="G30:Q30" si="10">$E$30*$C$30</f>
        <v>5616</v>
      </c>
      <c r="H30" s="123">
        <f>$E$30*$C$30</f>
        <v>5616</v>
      </c>
      <c r="I30" s="123">
        <f t="shared" si="10"/>
        <v>5616</v>
      </c>
      <c r="J30" s="123">
        <f t="shared" si="10"/>
        <v>5616</v>
      </c>
      <c r="K30" s="123">
        <f t="shared" si="10"/>
        <v>5616</v>
      </c>
      <c r="L30" s="123">
        <f t="shared" si="10"/>
        <v>5616</v>
      </c>
      <c r="M30" s="123">
        <f t="shared" si="10"/>
        <v>5616</v>
      </c>
      <c r="N30" s="123">
        <f t="shared" si="10"/>
        <v>5616</v>
      </c>
      <c r="O30" s="123">
        <f t="shared" si="10"/>
        <v>5616</v>
      </c>
      <c r="P30" s="123">
        <f t="shared" si="10"/>
        <v>5616</v>
      </c>
      <c r="Q30" s="123">
        <f t="shared" si="10"/>
        <v>5616</v>
      </c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58"/>
      <c r="AG30" s="258"/>
      <c r="AH30" s="258"/>
    </row>
    <row r="31" spans="2:34" ht="26.4">
      <c r="B31" s="136" t="s">
        <v>66</v>
      </c>
      <c r="C31" s="209">
        <v>4000</v>
      </c>
      <c r="D31" s="62">
        <v>2000</v>
      </c>
      <c r="E31" s="63">
        <v>2</v>
      </c>
      <c r="F31" s="123">
        <f>$E31*$C31</f>
        <v>8000</v>
      </c>
      <c r="G31" s="123">
        <f>$E31*$C31</f>
        <v>8000</v>
      </c>
      <c r="H31" s="123">
        <f>$E31*$C31</f>
        <v>8000</v>
      </c>
      <c r="I31" s="123">
        <f t="shared" ref="H31:O32" si="11">$E31*$C31</f>
        <v>8000</v>
      </c>
      <c r="J31" s="123">
        <f t="shared" si="11"/>
        <v>8000</v>
      </c>
      <c r="K31" s="123">
        <f t="shared" si="11"/>
        <v>8000</v>
      </c>
      <c r="L31" s="123">
        <f t="shared" si="11"/>
        <v>8000</v>
      </c>
      <c r="M31" s="123">
        <f t="shared" si="11"/>
        <v>8000</v>
      </c>
      <c r="N31" s="123">
        <f t="shared" si="11"/>
        <v>8000</v>
      </c>
      <c r="O31" s="123">
        <f t="shared" si="11"/>
        <v>8000</v>
      </c>
      <c r="P31" s="123">
        <f t="shared" ref="P31:Q32" si="12">$E31*$C31</f>
        <v>8000</v>
      </c>
      <c r="Q31" s="123">
        <f>$E31*$C31</f>
        <v>8000</v>
      </c>
      <c r="R31" s="133"/>
    </row>
    <row r="32" spans="2:34" ht="27" thickBot="1">
      <c r="B32" s="136" t="s">
        <v>66</v>
      </c>
      <c r="C32" s="209">
        <v>19779</v>
      </c>
      <c r="D32" s="62">
        <v>3000</v>
      </c>
      <c r="E32" s="63">
        <v>2</v>
      </c>
      <c r="F32" s="123">
        <f>$E32*$C32</f>
        <v>39558</v>
      </c>
      <c r="G32" s="123">
        <f>$E32*$C32</f>
        <v>39558</v>
      </c>
      <c r="H32" s="123">
        <f t="shared" si="11"/>
        <v>39558</v>
      </c>
      <c r="I32" s="123">
        <f t="shared" si="11"/>
        <v>39558</v>
      </c>
      <c r="J32" s="123">
        <f t="shared" si="11"/>
        <v>39558</v>
      </c>
      <c r="K32" s="123">
        <f t="shared" si="11"/>
        <v>39558</v>
      </c>
      <c r="L32" s="123">
        <f t="shared" si="11"/>
        <v>39558</v>
      </c>
      <c r="M32" s="123">
        <f t="shared" si="11"/>
        <v>39558</v>
      </c>
      <c r="N32" s="123">
        <f t="shared" si="11"/>
        <v>39558</v>
      </c>
      <c r="O32" s="123">
        <f t="shared" si="11"/>
        <v>39558</v>
      </c>
      <c r="P32" s="123">
        <f t="shared" si="12"/>
        <v>39558</v>
      </c>
      <c r="Q32" s="123">
        <f t="shared" si="12"/>
        <v>39558</v>
      </c>
      <c r="R32" s="133"/>
    </row>
    <row r="33" spans="2:17" ht="36" customHeight="1" thickBot="1">
      <c r="B33" s="57" t="s">
        <v>27</v>
      </c>
      <c r="C33" s="58"/>
      <c r="D33" s="59"/>
      <c r="E33" s="59"/>
      <c r="F33" s="134">
        <f>SUM(F34:F64)</f>
        <v>35958.770400000001</v>
      </c>
      <c r="G33" s="134">
        <f>SUM(G34:G64)</f>
        <v>301938.67209026543</v>
      </c>
      <c r="H33" s="134">
        <f t="shared" ref="H33:Q33" si="13">SUM(H34:H64)</f>
        <v>327733.43229026545</v>
      </c>
      <c r="I33" s="134">
        <f>SUM(I34:I64)</f>
        <v>133082.4774</v>
      </c>
      <c r="J33" s="134">
        <f t="shared" si="13"/>
        <v>264441.71709026548</v>
      </c>
      <c r="K33" s="134">
        <f t="shared" si="13"/>
        <v>365230.38729026541</v>
      </c>
      <c r="L33" s="134">
        <f t="shared" si="13"/>
        <v>95585.522399999987</v>
      </c>
      <c r="M33" s="134">
        <f t="shared" si="13"/>
        <v>307316.77209026547</v>
      </c>
      <c r="N33" s="134">
        <f t="shared" si="13"/>
        <v>268106.68029026547</v>
      </c>
      <c r="O33" s="134">
        <f>SUM(O34:O64)</f>
        <v>133082.4774</v>
      </c>
      <c r="P33" s="134">
        <f>SUM(P34:P64)</f>
        <v>264441.71709026548</v>
      </c>
      <c r="Q33" s="193">
        <f t="shared" si="13"/>
        <v>35958.770400000001</v>
      </c>
    </row>
    <row r="34" spans="2:17" s="227" customFormat="1">
      <c r="B34" s="228" t="s">
        <v>90</v>
      </c>
      <c r="C34" s="229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1"/>
    </row>
    <row r="35" spans="2:17" s="227" customFormat="1">
      <c r="B35" s="232" t="s">
        <v>176</v>
      </c>
      <c r="C35" s="209">
        <v>168856.19469026546</v>
      </c>
      <c r="D35" s="233">
        <v>10000</v>
      </c>
      <c r="E35" s="234">
        <v>1</v>
      </c>
      <c r="F35" s="235"/>
      <c r="G35" s="235">
        <f>$E$35*$C$35</f>
        <v>168856.19469026546</v>
      </c>
      <c r="H35" s="235">
        <f>$E$35*$C$35</f>
        <v>168856.19469026546</v>
      </c>
      <c r="I35" s="235"/>
      <c r="J35" s="235">
        <f t="shared" ref="J35:P35" si="14">$E$35*$C$35</f>
        <v>168856.19469026546</v>
      </c>
      <c r="K35" s="235">
        <f t="shared" si="14"/>
        <v>168856.19469026546</v>
      </c>
      <c r="L35" s="235"/>
      <c r="M35" s="235">
        <f t="shared" si="14"/>
        <v>168856.19469026546</v>
      </c>
      <c r="N35" s="235">
        <f t="shared" si="14"/>
        <v>168856.19469026546</v>
      </c>
      <c r="O35" s="235"/>
      <c r="P35" s="235">
        <f t="shared" si="14"/>
        <v>168856.19469026546</v>
      </c>
      <c r="Q35" s="236"/>
    </row>
    <row r="36" spans="2:17" s="227" customFormat="1">
      <c r="B36" s="237" t="s">
        <v>91</v>
      </c>
      <c r="C36" s="238"/>
      <c r="D36" s="239"/>
      <c r="E36" s="240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41"/>
    </row>
    <row r="37" spans="2:17" s="227" customFormat="1">
      <c r="B37" s="242" t="s">
        <v>156</v>
      </c>
      <c r="C37" s="209">
        <v>12176.9745</v>
      </c>
      <c r="D37" s="243">
        <v>12000</v>
      </c>
      <c r="E37" s="244">
        <v>2</v>
      </c>
      <c r="F37" s="243"/>
      <c r="G37" s="235">
        <f>$E$37*$C$37</f>
        <v>24353.949000000001</v>
      </c>
      <c r="H37" s="243"/>
      <c r="I37" s="235">
        <f>E37*C37</f>
        <v>24353.949000000001</v>
      </c>
      <c r="J37" s="243"/>
      <c r="K37" s="235">
        <f>E37*C37</f>
        <v>24353.949000000001</v>
      </c>
      <c r="L37" s="243"/>
      <c r="M37" s="235">
        <f>E37*C37</f>
        <v>24353.949000000001</v>
      </c>
      <c r="N37" s="243"/>
      <c r="O37" s="235">
        <f>E37*C37</f>
        <v>24353.949000000001</v>
      </c>
      <c r="P37" s="243"/>
      <c r="Q37" s="236"/>
    </row>
    <row r="38" spans="2:17" s="227" customFormat="1">
      <c r="B38" s="242" t="s">
        <v>157</v>
      </c>
      <c r="C38" s="209">
        <v>380.36550000000005</v>
      </c>
      <c r="D38" s="243">
        <v>12000</v>
      </c>
      <c r="E38" s="244">
        <v>2</v>
      </c>
      <c r="F38" s="243"/>
      <c r="G38" s="235">
        <f>$E$38*$C$38</f>
        <v>760.73100000000011</v>
      </c>
      <c r="H38" s="243"/>
      <c r="I38" s="235">
        <f t="shared" ref="I38:I43" si="15">E38*C38</f>
        <v>760.73100000000011</v>
      </c>
      <c r="J38" s="243"/>
      <c r="K38" s="235">
        <f t="shared" ref="K38:K43" si="16">E38*C38</f>
        <v>760.73100000000011</v>
      </c>
      <c r="L38" s="243"/>
      <c r="M38" s="235">
        <f t="shared" ref="M38:M43" si="17">E38*C38</f>
        <v>760.73100000000011</v>
      </c>
      <c r="N38" s="243"/>
      <c r="O38" s="235">
        <f t="shared" ref="O38:O43" si="18">E38*C38</f>
        <v>760.73100000000011</v>
      </c>
      <c r="P38" s="243"/>
      <c r="Q38" s="236"/>
    </row>
    <row r="39" spans="2:17" s="227" customFormat="1">
      <c r="B39" s="242" t="s">
        <v>158</v>
      </c>
      <c r="C39" s="209">
        <v>1.4384999999999999</v>
      </c>
      <c r="D39" s="243">
        <v>12000</v>
      </c>
      <c r="E39" s="244">
        <v>80</v>
      </c>
      <c r="F39" s="243"/>
      <c r="G39" s="235">
        <f>$E$39*$C$39</f>
        <v>115.07999999999998</v>
      </c>
      <c r="H39" s="243"/>
      <c r="I39" s="235">
        <f t="shared" si="15"/>
        <v>115.07999999999998</v>
      </c>
      <c r="J39" s="243"/>
      <c r="K39" s="235">
        <f t="shared" si="16"/>
        <v>115.07999999999998</v>
      </c>
      <c r="L39" s="243"/>
      <c r="M39" s="235">
        <f t="shared" si="17"/>
        <v>115.07999999999998</v>
      </c>
      <c r="N39" s="243"/>
      <c r="O39" s="235">
        <f t="shared" si="18"/>
        <v>115.07999999999998</v>
      </c>
      <c r="P39" s="243"/>
      <c r="Q39" s="236"/>
    </row>
    <row r="40" spans="2:17" s="227" customFormat="1">
      <c r="B40" s="242" t="s">
        <v>159</v>
      </c>
      <c r="C40" s="209">
        <v>4748.0204999999996</v>
      </c>
      <c r="D40" s="243">
        <v>12000</v>
      </c>
      <c r="E40" s="244">
        <v>2</v>
      </c>
      <c r="F40" s="243"/>
      <c r="G40" s="235">
        <f>$E$40*$C$40</f>
        <v>9496.0409999999993</v>
      </c>
      <c r="H40" s="243"/>
      <c r="I40" s="235">
        <f t="shared" si="15"/>
        <v>9496.0409999999993</v>
      </c>
      <c r="J40" s="243"/>
      <c r="K40" s="235">
        <f t="shared" si="16"/>
        <v>9496.0409999999993</v>
      </c>
      <c r="L40" s="243"/>
      <c r="M40" s="235">
        <f t="shared" si="17"/>
        <v>9496.0409999999993</v>
      </c>
      <c r="N40" s="243"/>
      <c r="O40" s="235">
        <f t="shared" si="18"/>
        <v>9496.0409999999993</v>
      </c>
      <c r="P40" s="243"/>
      <c r="Q40" s="236"/>
    </row>
    <row r="41" spans="2:17" s="227" customFormat="1">
      <c r="B41" s="242" t="s">
        <v>160</v>
      </c>
      <c r="C41" s="209">
        <v>578.38499999999999</v>
      </c>
      <c r="D41" s="243">
        <v>12000</v>
      </c>
      <c r="E41" s="244">
        <v>2</v>
      </c>
      <c r="F41" s="243"/>
      <c r="G41" s="235">
        <f>$E$41*$C$41</f>
        <v>1156.77</v>
      </c>
      <c r="H41" s="243"/>
      <c r="I41" s="235">
        <f t="shared" si="15"/>
        <v>1156.77</v>
      </c>
      <c r="J41" s="243"/>
      <c r="K41" s="235">
        <f t="shared" si="16"/>
        <v>1156.77</v>
      </c>
      <c r="L41" s="243"/>
      <c r="M41" s="235">
        <f t="shared" si="17"/>
        <v>1156.77</v>
      </c>
      <c r="N41" s="243"/>
      <c r="O41" s="235">
        <f t="shared" si="18"/>
        <v>1156.77</v>
      </c>
      <c r="P41" s="243"/>
      <c r="Q41" s="236"/>
    </row>
    <row r="42" spans="2:17" s="227" customFormat="1">
      <c r="B42" s="242" t="s">
        <v>161</v>
      </c>
      <c r="C42" s="209">
        <v>798.26400000000001</v>
      </c>
      <c r="D42" s="243">
        <v>12000</v>
      </c>
      <c r="E42" s="244">
        <v>2</v>
      </c>
      <c r="F42" s="243"/>
      <c r="G42" s="235">
        <f>$E$42*$C$42</f>
        <v>1596.528</v>
      </c>
      <c r="H42" s="243"/>
      <c r="I42" s="235">
        <f>E42*C42</f>
        <v>1596.528</v>
      </c>
      <c r="J42" s="243"/>
      <c r="K42" s="235">
        <f t="shared" si="16"/>
        <v>1596.528</v>
      </c>
      <c r="L42" s="243"/>
      <c r="M42" s="235">
        <f t="shared" si="17"/>
        <v>1596.528</v>
      </c>
      <c r="N42" s="243"/>
      <c r="O42" s="235">
        <f t="shared" si="18"/>
        <v>1596.528</v>
      </c>
      <c r="P42" s="243"/>
      <c r="Q42" s="236"/>
    </row>
    <row r="43" spans="2:17" s="227" customFormat="1">
      <c r="B43" s="242" t="s">
        <v>162</v>
      </c>
      <c r="C43" s="209">
        <v>0.14399999999999999</v>
      </c>
      <c r="D43" s="243">
        <v>12000</v>
      </c>
      <c r="E43" s="244">
        <v>124</v>
      </c>
      <c r="F43" s="243"/>
      <c r="G43" s="235">
        <f>$E$43*$C$43</f>
        <v>17.855999999999998</v>
      </c>
      <c r="H43" s="243"/>
      <c r="I43" s="235">
        <f t="shared" si="15"/>
        <v>17.855999999999998</v>
      </c>
      <c r="J43" s="243"/>
      <c r="K43" s="235">
        <f t="shared" si="16"/>
        <v>17.855999999999998</v>
      </c>
      <c r="L43" s="243"/>
      <c r="M43" s="235">
        <f t="shared" si="17"/>
        <v>17.855999999999998</v>
      </c>
      <c r="N43" s="243"/>
      <c r="O43" s="235">
        <f t="shared" si="18"/>
        <v>17.855999999999998</v>
      </c>
      <c r="P43" s="243"/>
      <c r="Q43" s="236"/>
    </row>
    <row r="44" spans="2:17" s="227" customFormat="1">
      <c r="B44" s="242" t="s">
        <v>163</v>
      </c>
      <c r="C44" s="209">
        <v>180.477</v>
      </c>
      <c r="D44" s="243">
        <v>6000</v>
      </c>
      <c r="E44" s="244">
        <v>28</v>
      </c>
      <c r="F44" s="235">
        <f>$E$44*$C$44</f>
        <v>5053.3559999999998</v>
      </c>
      <c r="G44" s="235">
        <f t="shared" ref="G44:Q44" si="19">$E$44*$C$44</f>
        <v>5053.3559999999998</v>
      </c>
      <c r="H44" s="235">
        <f t="shared" si="19"/>
        <v>5053.3559999999998</v>
      </c>
      <c r="I44" s="235">
        <f t="shared" si="19"/>
        <v>5053.3559999999998</v>
      </c>
      <c r="J44" s="235">
        <f t="shared" si="19"/>
        <v>5053.3559999999998</v>
      </c>
      <c r="K44" s="235">
        <f t="shared" si="19"/>
        <v>5053.3559999999998</v>
      </c>
      <c r="L44" s="235">
        <f t="shared" si="19"/>
        <v>5053.3559999999998</v>
      </c>
      <c r="M44" s="235">
        <f>$E$44*$C$44*2</f>
        <v>10106.712</v>
      </c>
      <c r="N44" s="235">
        <f t="shared" si="19"/>
        <v>5053.3559999999998</v>
      </c>
      <c r="O44" s="235">
        <f t="shared" si="19"/>
        <v>5053.3559999999998</v>
      </c>
      <c r="P44" s="235">
        <f t="shared" si="19"/>
        <v>5053.3559999999998</v>
      </c>
      <c r="Q44" s="235">
        <f t="shared" si="19"/>
        <v>5053.3559999999998</v>
      </c>
    </row>
    <row r="45" spans="2:17" s="227" customFormat="1">
      <c r="B45" s="242" t="s">
        <v>158</v>
      </c>
      <c r="C45" s="209">
        <v>2.8994999999999997</v>
      </c>
      <c r="D45" s="243">
        <v>6000</v>
      </c>
      <c r="E45" s="244">
        <v>112</v>
      </c>
      <c r="F45" s="235">
        <f>$E$45*$C$45</f>
        <v>324.74399999999997</v>
      </c>
      <c r="G45" s="235">
        <f>$E$45*$C$45</f>
        <v>324.74399999999997</v>
      </c>
      <c r="H45" s="235">
        <f t="shared" ref="H45:Q45" si="20">$E$45*$C$45</f>
        <v>324.74399999999997</v>
      </c>
      <c r="I45" s="235">
        <f t="shared" si="20"/>
        <v>324.74399999999997</v>
      </c>
      <c r="J45" s="235">
        <f t="shared" si="20"/>
        <v>324.74399999999997</v>
      </c>
      <c r="K45" s="235">
        <f t="shared" si="20"/>
        <v>324.74399999999997</v>
      </c>
      <c r="L45" s="235">
        <f t="shared" si="20"/>
        <v>324.74399999999997</v>
      </c>
      <c r="M45" s="235">
        <f>$E$45*$C$45*2</f>
        <v>649.48799999999994</v>
      </c>
      <c r="N45" s="235">
        <f t="shared" si="20"/>
        <v>324.74399999999997</v>
      </c>
      <c r="O45" s="235">
        <f t="shared" si="20"/>
        <v>324.74399999999997</v>
      </c>
      <c r="P45" s="235">
        <f t="shared" si="20"/>
        <v>324.74399999999997</v>
      </c>
      <c r="Q45" s="235">
        <f t="shared" si="20"/>
        <v>324.74399999999997</v>
      </c>
    </row>
    <row r="46" spans="2:17" s="227" customFormat="1">
      <c r="B46" s="237" t="s">
        <v>92</v>
      </c>
      <c r="C46" s="238"/>
      <c r="D46" s="239"/>
      <c r="E46" s="240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41"/>
    </row>
    <row r="47" spans="2:17" s="227" customFormat="1">
      <c r="B47" s="232" t="s">
        <v>177</v>
      </c>
      <c r="C47" s="209">
        <v>14447.257499999998</v>
      </c>
      <c r="D47" s="233">
        <v>8000</v>
      </c>
      <c r="E47" s="234">
        <v>1</v>
      </c>
      <c r="F47" s="235"/>
      <c r="G47" s="235">
        <f>$E$47*$C$47</f>
        <v>14447.257499999998</v>
      </c>
      <c r="H47" s="235">
        <f t="shared" ref="H47:M47" si="21">$E$47*$C$47</f>
        <v>14447.257499999998</v>
      </c>
      <c r="I47" s="235">
        <f t="shared" si="21"/>
        <v>14447.257499999998</v>
      </c>
      <c r="J47" s="235">
        <f t="shared" si="21"/>
        <v>14447.257499999998</v>
      </c>
      <c r="K47" s="235">
        <f t="shared" si="21"/>
        <v>14447.257499999998</v>
      </c>
      <c r="L47" s="235">
        <f t="shared" si="21"/>
        <v>14447.257499999998</v>
      </c>
      <c r="M47" s="235">
        <f t="shared" si="21"/>
        <v>14447.257499999998</v>
      </c>
      <c r="N47" s="235"/>
      <c r="O47" s="235">
        <f t="shared" ref="O47:P47" si="22">$E$47*$C$47</f>
        <v>14447.257499999998</v>
      </c>
      <c r="P47" s="235">
        <f t="shared" si="22"/>
        <v>14447.257499999998</v>
      </c>
      <c r="Q47" s="235"/>
    </row>
    <row r="48" spans="2:17" s="227" customFormat="1">
      <c r="B48" s="232" t="s">
        <v>178</v>
      </c>
      <c r="C48" s="209">
        <v>10577.629499999999</v>
      </c>
      <c r="D48" s="233">
        <v>8000</v>
      </c>
      <c r="E48" s="234">
        <v>1</v>
      </c>
      <c r="F48" s="235"/>
      <c r="G48" s="235">
        <f>$E$48*$C$48</f>
        <v>10577.629499999999</v>
      </c>
      <c r="H48" s="235">
        <f t="shared" ref="H48:M48" si="23">$E$48*$C$48</f>
        <v>10577.629499999999</v>
      </c>
      <c r="I48" s="235">
        <f t="shared" si="23"/>
        <v>10577.629499999999</v>
      </c>
      <c r="J48" s="235">
        <f t="shared" si="23"/>
        <v>10577.629499999999</v>
      </c>
      <c r="K48" s="235">
        <f t="shared" si="23"/>
        <v>10577.629499999999</v>
      </c>
      <c r="L48" s="235">
        <f t="shared" si="23"/>
        <v>10577.629499999999</v>
      </c>
      <c r="M48" s="235">
        <f t="shared" si="23"/>
        <v>10577.629499999999</v>
      </c>
      <c r="N48" s="235"/>
      <c r="O48" s="235">
        <f t="shared" ref="O48:P48" si="24">$E$48*$C$48</f>
        <v>10577.629499999999</v>
      </c>
      <c r="P48" s="235">
        <f t="shared" si="24"/>
        <v>10577.629499999999</v>
      </c>
      <c r="Q48" s="235"/>
    </row>
    <row r="49" spans="2:17" s="227" customFormat="1">
      <c r="B49" s="232" t="s">
        <v>178</v>
      </c>
      <c r="C49" s="209">
        <v>10577.629499999999</v>
      </c>
      <c r="D49" s="233">
        <v>8000</v>
      </c>
      <c r="E49" s="234">
        <v>1</v>
      </c>
      <c r="F49" s="235"/>
      <c r="G49" s="235">
        <f>$E$49*$C$49</f>
        <v>10577.629499999999</v>
      </c>
      <c r="H49" s="235">
        <f t="shared" ref="H49:M49" si="25">$E$49*$C$49</f>
        <v>10577.629499999999</v>
      </c>
      <c r="I49" s="235">
        <f t="shared" si="25"/>
        <v>10577.629499999999</v>
      </c>
      <c r="J49" s="235">
        <f t="shared" si="25"/>
        <v>10577.629499999999</v>
      </c>
      <c r="K49" s="235">
        <f t="shared" si="25"/>
        <v>10577.629499999999</v>
      </c>
      <c r="L49" s="235">
        <f t="shared" si="25"/>
        <v>10577.629499999999</v>
      </c>
      <c r="M49" s="235">
        <f t="shared" si="25"/>
        <v>10577.629499999999</v>
      </c>
      <c r="N49" s="235"/>
      <c r="O49" s="235">
        <f t="shared" ref="O49:P49" si="26">$E$49*$C$49</f>
        <v>10577.629499999999</v>
      </c>
      <c r="P49" s="235">
        <f t="shared" si="26"/>
        <v>10577.629499999999</v>
      </c>
      <c r="Q49" s="235"/>
    </row>
    <row r="50" spans="2:17" s="227" customFormat="1">
      <c r="B50" s="232" t="s">
        <v>178</v>
      </c>
      <c r="C50" s="209">
        <v>3590.0714999999996</v>
      </c>
      <c r="D50" s="233">
        <v>8000</v>
      </c>
      <c r="E50" s="234">
        <v>1</v>
      </c>
      <c r="F50" s="235"/>
      <c r="G50" s="235">
        <f>$E$50*$C$50</f>
        <v>3590.0714999999996</v>
      </c>
      <c r="H50" s="235">
        <f t="shared" ref="H50:M50" si="27">$E$50*$C$50</f>
        <v>3590.0714999999996</v>
      </c>
      <c r="I50" s="235">
        <f t="shared" si="27"/>
        <v>3590.0714999999996</v>
      </c>
      <c r="J50" s="235">
        <f t="shared" si="27"/>
        <v>3590.0714999999996</v>
      </c>
      <c r="K50" s="235">
        <f t="shared" si="27"/>
        <v>3590.0714999999996</v>
      </c>
      <c r="L50" s="235">
        <f t="shared" si="27"/>
        <v>3590.0714999999996</v>
      </c>
      <c r="M50" s="235">
        <f t="shared" si="27"/>
        <v>3590.0714999999996</v>
      </c>
      <c r="N50" s="235"/>
      <c r="O50" s="235">
        <f t="shared" ref="O50:P50" si="28">$E$50*$C$50</f>
        <v>3590.0714999999996</v>
      </c>
      <c r="P50" s="235">
        <f t="shared" si="28"/>
        <v>3590.0714999999996</v>
      </c>
      <c r="Q50" s="235"/>
    </row>
    <row r="51" spans="2:17" s="227" customFormat="1">
      <c r="B51" s="232" t="s">
        <v>179</v>
      </c>
      <c r="C51" s="209">
        <v>798.40800000000002</v>
      </c>
      <c r="D51" s="233">
        <v>8000</v>
      </c>
      <c r="E51" s="234">
        <v>2</v>
      </c>
      <c r="F51" s="235"/>
      <c r="G51" s="235">
        <f>$E$51*$C$51</f>
        <v>1596.816</v>
      </c>
      <c r="H51" s="235">
        <f t="shared" ref="H51:P51" si="29">$E$51*$C$51</f>
        <v>1596.816</v>
      </c>
      <c r="I51" s="235">
        <f t="shared" si="29"/>
        <v>1596.816</v>
      </c>
      <c r="J51" s="235">
        <f t="shared" si="29"/>
        <v>1596.816</v>
      </c>
      <c r="K51" s="235">
        <f t="shared" si="29"/>
        <v>1596.816</v>
      </c>
      <c r="L51" s="235">
        <f t="shared" si="29"/>
        <v>1596.816</v>
      </c>
      <c r="M51" s="235">
        <f t="shared" si="29"/>
        <v>1596.816</v>
      </c>
      <c r="N51" s="235"/>
      <c r="O51" s="235">
        <f t="shared" si="29"/>
        <v>1596.816</v>
      </c>
      <c r="P51" s="235">
        <f t="shared" si="29"/>
        <v>1596.816</v>
      </c>
      <c r="Q51" s="236"/>
    </row>
    <row r="52" spans="2:17" s="227" customFormat="1">
      <c r="B52" s="232" t="s">
        <v>179</v>
      </c>
      <c r="C52" s="209">
        <v>3278.7615000000001</v>
      </c>
      <c r="D52" s="233">
        <v>8000</v>
      </c>
      <c r="E52" s="234">
        <v>2</v>
      </c>
      <c r="F52" s="235"/>
      <c r="G52" s="235">
        <f>$E$52*$C$52</f>
        <v>6557.5230000000001</v>
      </c>
      <c r="H52" s="235">
        <f t="shared" ref="H52:P52" si="30">$E$52*$C$52</f>
        <v>6557.5230000000001</v>
      </c>
      <c r="I52" s="235">
        <f t="shared" si="30"/>
        <v>6557.5230000000001</v>
      </c>
      <c r="J52" s="235">
        <f t="shared" si="30"/>
        <v>6557.5230000000001</v>
      </c>
      <c r="K52" s="235">
        <f t="shared" si="30"/>
        <v>6557.5230000000001</v>
      </c>
      <c r="L52" s="235">
        <f t="shared" si="30"/>
        <v>6557.5230000000001</v>
      </c>
      <c r="M52" s="235">
        <f t="shared" si="30"/>
        <v>6557.5230000000001</v>
      </c>
      <c r="N52" s="235"/>
      <c r="O52" s="235">
        <f t="shared" si="30"/>
        <v>6557.5230000000001</v>
      </c>
      <c r="P52" s="235">
        <f t="shared" si="30"/>
        <v>6557.5230000000001</v>
      </c>
      <c r="Q52" s="236"/>
    </row>
    <row r="53" spans="2:17" s="227" customFormat="1">
      <c r="B53" s="232" t="s">
        <v>180</v>
      </c>
      <c r="C53" s="209">
        <v>945.31949999999995</v>
      </c>
      <c r="D53" s="233">
        <v>8000</v>
      </c>
      <c r="E53" s="234">
        <v>1</v>
      </c>
      <c r="F53" s="235"/>
      <c r="G53" s="235">
        <f>$E$53*$C$53</f>
        <v>945.31949999999995</v>
      </c>
      <c r="H53" s="235">
        <f t="shared" ref="H53:P53" si="31">$E$53*$C$53</f>
        <v>945.31949999999995</v>
      </c>
      <c r="I53" s="235">
        <f t="shared" si="31"/>
        <v>945.31949999999995</v>
      </c>
      <c r="J53" s="235">
        <f t="shared" si="31"/>
        <v>945.31949999999995</v>
      </c>
      <c r="K53" s="235">
        <f t="shared" si="31"/>
        <v>945.31949999999995</v>
      </c>
      <c r="L53" s="235">
        <f t="shared" si="31"/>
        <v>945.31949999999995</v>
      </c>
      <c r="M53" s="235">
        <f t="shared" si="31"/>
        <v>945.31949999999995</v>
      </c>
      <c r="N53" s="235"/>
      <c r="O53" s="235">
        <f t="shared" si="31"/>
        <v>945.31949999999995</v>
      </c>
      <c r="P53" s="235">
        <f t="shared" si="31"/>
        <v>945.31949999999995</v>
      </c>
      <c r="Q53" s="236"/>
    </row>
    <row r="54" spans="2:17" s="227" customFormat="1">
      <c r="B54" s="232" t="s">
        <v>181</v>
      </c>
      <c r="C54" s="209">
        <v>596.04449999999997</v>
      </c>
      <c r="D54" s="233">
        <v>8000</v>
      </c>
      <c r="E54" s="234">
        <v>1</v>
      </c>
      <c r="F54" s="235"/>
      <c r="G54" s="235">
        <f>$E$54*$C$54</f>
        <v>596.04449999999997</v>
      </c>
      <c r="H54" s="235">
        <f t="shared" ref="H54:P54" si="32">$E$54*$C$54</f>
        <v>596.04449999999997</v>
      </c>
      <c r="I54" s="235">
        <f t="shared" si="32"/>
        <v>596.04449999999997</v>
      </c>
      <c r="J54" s="235">
        <f t="shared" si="32"/>
        <v>596.04449999999997</v>
      </c>
      <c r="K54" s="235">
        <f t="shared" si="32"/>
        <v>596.04449999999997</v>
      </c>
      <c r="L54" s="235">
        <f t="shared" si="32"/>
        <v>596.04449999999997</v>
      </c>
      <c r="M54" s="235">
        <f t="shared" si="32"/>
        <v>596.04449999999997</v>
      </c>
      <c r="N54" s="235"/>
      <c r="O54" s="235">
        <f t="shared" si="32"/>
        <v>596.04449999999997</v>
      </c>
      <c r="P54" s="235">
        <f t="shared" si="32"/>
        <v>596.04449999999997</v>
      </c>
      <c r="Q54" s="236"/>
    </row>
    <row r="55" spans="2:17" s="227" customFormat="1">
      <c r="B55" s="232" t="s">
        <v>182</v>
      </c>
      <c r="C55" s="61">
        <v>5369.2305000000006</v>
      </c>
      <c r="D55" s="233">
        <v>8000</v>
      </c>
      <c r="E55" s="234">
        <v>2</v>
      </c>
      <c r="F55" s="235"/>
      <c r="G55" s="235">
        <f>$E$55*$C$55</f>
        <v>10738.461000000001</v>
      </c>
      <c r="H55" s="235">
        <f t="shared" ref="H55:P55" si="33">$E$55*$C$55</f>
        <v>10738.461000000001</v>
      </c>
      <c r="I55" s="235">
        <f t="shared" si="33"/>
        <v>10738.461000000001</v>
      </c>
      <c r="J55" s="235">
        <f t="shared" si="33"/>
        <v>10738.461000000001</v>
      </c>
      <c r="K55" s="235">
        <f t="shared" si="33"/>
        <v>10738.461000000001</v>
      </c>
      <c r="L55" s="235">
        <f t="shared" si="33"/>
        <v>10738.461000000001</v>
      </c>
      <c r="M55" s="235">
        <f t="shared" si="33"/>
        <v>10738.461000000001</v>
      </c>
      <c r="N55" s="235"/>
      <c r="O55" s="235">
        <f t="shared" si="33"/>
        <v>10738.461000000001</v>
      </c>
      <c r="P55" s="235">
        <f t="shared" si="33"/>
        <v>10738.461000000001</v>
      </c>
      <c r="Q55" s="236"/>
    </row>
    <row r="56" spans="2:17" s="227" customFormat="1">
      <c r="B56" s="237" t="s">
        <v>93</v>
      </c>
      <c r="C56" s="238"/>
      <c r="D56" s="239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5"/>
    </row>
    <row r="57" spans="2:17" s="227" customFormat="1">
      <c r="B57" s="232" t="s">
        <v>173</v>
      </c>
      <c r="C57" s="209">
        <v>14447.159999999998</v>
      </c>
      <c r="D57" s="233">
        <v>7000</v>
      </c>
      <c r="E57" s="234">
        <v>2</v>
      </c>
      <c r="F57" s="246">
        <f>$E$57*$C$57</f>
        <v>28894.319999999996</v>
      </c>
      <c r="G57" s="246">
        <f>$E$57*$C$57</f>
        <v>28894.319999999996</v>
      </c>
      <c r="H57" s="246">
        <f>$E$57*$C$57</f>
        <v>28894.319999999996</v>
      </c>
      <c r="I57" s="246">
        <f t="shared" ref="I57:Q57" si="34">$E$57*$C$57</f>
        <v>28894.319999999996</v>
      </c>
      <c r="J57" s="246">
        <f t="shared" si="34"/>
        <v>28894.319999999996</v>
      </c>
      <c r="K57" s="246">
        <f t="shared" si="34"/>
        <v>28894.319999999996</v>
      </c>
      <c r="L57" s="246">
        <f t="shared" si="34"/>
        <v>28894.319999999996</v>
      </c>
      <c r="M57" s="246">
        <f t="shared" si="34"/>
        <v>28894.319999999996</v>
      </c>
      <c r="N57" s="246">
        <f t="shared" si="34"/>
        <v>28894.319999999996</v>
      </c>
      <c r="O57" s="246">
        <f t="shared" si="34"/>
        <v>28894.319999999996</v>
      </c>
      <c r="P57" s="246">
        <f t="shared" si="34"/>
        <v>28894.319999999996</v>
      </c>
      <c r="Q57" s="246">
        <f t="shared" si="34"/>
        <v>28894.319999999996</v>
      </c>
    </row>
    <row r="58" spans="2:17" s="227" customFormat="1">
      <c r="B58" s="232" t="s">
        <v>174</v>
      </c>
      <c r="C58" s="209">
        <v>3.1751999999999998</v>
      </c>
      <c r="D58" s="233">
        <v>7000</v>
      </c>
      <c r="E58" s="234">
        <v>2</v>
      </c>
      <c r="F58" s="246">
        <f>$E$58*$C$58</f>
        <v>6.3503999999999996</v>
      </c>
      <c r="G58" s="246">
        <f>$E$58*$C$58</f>
        <v>6.3503999999999996</v>
      </c>
      <c r="H58" s="246">
        <f>$E$58*$C$58</f>
        <v>6.3503999999999996</v>
      </c>
      <c r="I58" s="246">
        <f t="shared" ref="I58:Q58" si="35">$E$58*$C$58</f>
        <v>6.3503999999999996</v>
      </c>
      <c r="J58" s="246">
        <f t="shared" si="35"/>
        <v>6.3503999999999996</v>
      </c>
      <c r="K58" s="246">
        <f t="shared" si="35"/>
        <v>6.3503999999999996</v>
      </c>
      <c r="L58" s="246">
        <f t="shared" si="35"/>
        <v>6.3503999999999996</v>
      </c>
      <c r="M58" s="246">
        <f t="shared" si="35"/>
        <v>6.3503999999999996</v>
      </c>
      <c r="N58" s="246">
        <f t="shared" si="35"/>
        <v>6.3503999999999996</v>
      </c>
      <c r="O58" s="246">
        <f t="shared" si="35"/>
        <v>6.3503999999999996</v>
      </c>
      <c r="P58" s="246">
        <f t="shared" si="35"/>
        <v>6.3503999999999996</v>
      </c>
      <c r="Q58" s="246">
        <f t="shared" si="35"/>
        <v>6.3503999999999996</v>
      </c>
    </row>
    <row r="59" spans="2:17" s="227" customFormat="1">
      <c r="B59" s="232" t="s">
        <v>183</v>
      </c>
      <c r="C59" s="209">
        <v>35</v>
      </c>
      <c r="D59" s="233">
        <v>7000</v>
      </c>
      <c r="E59" s="234">
        <v>24</v>
      </c>
      <c r="F59" s="246">
        <f>$E$59*$C$59</f>
        <v>840</v>
      </c>
      <c r="G59" s="246">
        <f>$E$59*$C$59</f>
        <v>840</v>
      </c>
      <c r="H59" s="246">
        <f t="shared" ref="H59:Q59" si="36">$E$59*$C$59</f>
        <v>840</v>
      </c>
      <c r="I59" s="246">
        <f t="shared" si="36"/>
        <v>840</v>
      </c>
      <c r="J59" s="246">
        <f t="shared" si="36"/>
        <v>840</v>
      </c>
      <c r="K59" s="246">
        <f t="shared" si="36"/>
        <v>840</v>
      </c>
      <c r="L59" s="246">
        <f t="shared" si="36"/>
        <v>840</v>
      </c>
      <c r="M59" s="246">
        <f t="shared" si="36"/>
        <v>840</v>
      </c>
      <c r="N59" s="246">
        <f t="shared" si="36"/>
        <v>840</v>
      </c>
      <c r="O59" s="246">
        <f t="shared" si="36"/>
        <v>840</v>
      </c>
      <c r="P59" s="246">
        <f t="shared" si="36"/>
        <v>840</v>
      </c>
      <c r="Q59" s="247">
        <f t="shared" si="36"/>
        <v>840</v>
      </c>
    </row>
    <row r="60" spans="2:17" s="227" customFormat="1">
      <c r="B60" s="237" t="s">
        <v>96</v>
      </c>
      <c r="C60" s="238"/>
      <c r="D60" s="239"/>
      <c r="E60" s="240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41"/>
    </row>
    <row r="61" spans="2:17" s="227" customFormat="1">
      <c r="B61" s="232" t="s">
        <v>175</v>
      </c>
      <c r="C61" s="209">
        <v>63291.715199999991</v>
      </c>
      <c r="D61" s="233">
        <v>20000</v>
      </c>
      <c r="E61" s="234">
        <v>1</v>
      </c>
      <c r="F61" s="246"/>
      <c r="G61" s="246"/>
      <c r="H61" s="246">
        <f t="shared" ref="H61:N61" si="37">$E$61*$C$61</f>
        <v>63291.715199999991</v>
      </c>
      <c r="I61" s="246"/>
      <c r="J61" s="246"/>
      <c r="K61" s="246">
        <f t="shared" si="37"/>
        <v>63291.715199999991</v>
      </c>
      <c r="L61" s="246"/>
      <c r="M61" s="246"/>
      <c r="N61" s="246">
        <f t="shared" si="37"/>
        <v>63291.715199999991</v>
      </c>
      <c r="O61" s="246"/>
      <c r="P61" s="246"/>
      <c r="Q61" s="247"/>
    </row>
    <row r="62" spans="2:17" s="227" customFormat="1">
      <c r="B62" s="248" t="s">
        <v>95</v>
      </c>
      <c r="C62" s="238"/>
      <c r="D62" s="239"/>
      <c r="E62" s="240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41"/>
    </row>
    <row r="63" spans="2:17" s="227" customFormat="1">
      <c r="B63" s="232" t="s">
        <v>184</v>
      </c>
      <c r="C63" s="209">
        <v>35</v>
      </c>
      <c r="D63" s="233">
        <v>7000</v>
      </c>
      <c r="E63" s="234">
        <v>24</v>
      </c>
      <c r="F63" s="246">
        <f>$E$63*$C$63</f>
        <v>840</v>
      </c>
      <c r="G63" s="246">
        <f>$E$63*$C$63</f>
        <v>840</v>
      </c>
      <c r="H63" s="246">
        <f t="shared" ref="H63:Q63" si="38">$E$63*$C$63</f>
        <v>840</v>
      </c>
      <c r="I63" s="246">
        <f t="shared" si="38"/>
        <v>840</v>
      </c>
      <c r="J63" s="246">
        <f t="shared" si="38"/>
        <v>840</v>
      </c>
      <c r="K63" s="246">
        <f t="shared" si="38"/>
        <v>840</v>
      </c>
      <c r="L63" s="246">
        <f t="shared" si="38"/>
        <v>840</v>
      </c>
      <c r="M63" s="246">
        <f t="shared" si="38"/>
        <v>840</v>
      </c>
      <c r="N63" s="246">
        <f t="shared" si="38"/>
        <v>840</v>
      </c>
      <c r="O63" s="246">
        <f t="shared" si="38"/>
        <v>840</v>
      </c>
      <c r="P63" s="246">
        <f t="shared" si="38"/>
        <v>840</v>
      </c>
      <c r="Q63" s="247">
        <f t="shared" si="38"/>
        <v>840</v>
      </c>
    </row>
    <row r="64" spans="2:17" s="227" customFormat="1" ht="13.8" thickBot="1">
      <c r="B64" s="249"/>
      <c r="C64" s="224"/>
      <c r="D64" s="250"/>
      <c r="E64" s="251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3"/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5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Вячеслав Лебедь</cp:lastModifiedBy>
  <cp:lastPrinted>2021-11-26T15:02:37Z</cp:lastPrinted>
  <dcterms:created xsi:type="dcterms:W3CDTF">2015-08-04T10:07:23Z</dcterms:created>
  <dcterms:modified xsi:type="dcterms:W3CDTF">2026-07-23T11:57:16Z</dcterms:modified>
</cp:coreProperties>
</file>